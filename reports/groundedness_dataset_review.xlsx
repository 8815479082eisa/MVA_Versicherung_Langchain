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1d02714f9c4a10" /></Relationships>
</file>

<file path=xl/workbook.xml><?xml version="1.0" encoding="utf-8"?>
<x:workbook xmlns:x="http://schemas.openxmlformats.org/spreadsheetml/2006/main">
  <x:sheets>
    <x:sheet xmlns:r="http://schemas.openxmlformats.org/officeDocument/2006/relationships" name="Instructions" sheetId="1" r:id="R46bd0b7c8cc449e6"/>
    <x:sheet xmlns:r="http://schemas.openxmlformats.org/officeDocument/2006/relationships" name="Reviewer_1" sheetId="2" r:id="Ra3491fbd29814033"/>
    <x:sheet xmlns:r="http://schemas.openxmlformats.org/officeDocument/2006/relationships" name="Reviewer_2" sheetId="3" r:id="R71ea91c22c5c4b13"/>
    <x:sheet xmlns:r="http://schemas.openxmlformats.org/officeDocument/2006/relationships" name="Adjudication" sheetId="4" r:id="R5824a006d1a94ecd"/>
    <x:sheet xmlns:r="http://schemas.openxmlformats.org/officeDocument/2006/relationships" name="Data_Dictionary" sheetId="5" r:id="R5dffe363f68e4048"/>
    <x:sheet xmlns:r="http://schemas.openxmlformats.org/officeDocument/2006/relationships" name="Summary" sheetId="6" r:id="R7be4dc71ef9041f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8"/>
      <x:color rgb="FFFFFFFF"/>
      <x:name val="Carlito"/>
    </x:font>
    <x:font>
      <x:b/>
      <x:sz val="11"/>
      <x:color rgb="FF7A4E00"/>
      <x:name val="Carlito"/>
    </x:font>
    <x:font>
      <x:b/>
      <x:sz val="11"/>
      <x:color rgb="FF8B1E1E"/>
      <x:name val="Carlito"/>
    </x:font>
    <x:font>
      <x:sz val="11"/>
      <x:color rgb="FF17324D"/>
      <x:name val="Carlito"/>
    </x:font>
  </x:fonts>
  <x:fills count="7">
    <x:fill>
      <x:patternFill patternType="none"/>
    </x:fill>
    <x:fill>
      <x:patternFill patternType="gray125"/>
    </x:fill>
    <x:fill>
      <x:patternFill patternType="solid">
        <x:fgColor rgb="FF17324D"/>
      </x:patternFill>
    </x:fill>
    <x:fill>
      <x:patternFill patternType="solid">
        <x:fgColor rgb="FFFFF4D6"/>
      </x:patternFill>
    </x:fill>
    <x:fill>
      <x:patternFill patternType="solid">
        <x:fgColor rgb="FF2563A6"/>
      </x:patternFill>
    </x:fill>
    <x:fill>
      <x:patternFill patternType="solid">
        <x:fgColor rgb="FFFCE8E6"/>
      </x:patternFill>
    </x:fill>
    <x:fill>
      <x:patternFill patternType="solid">
        <x:fgColor rgb="FFEAF2F8"/>
      </x:patternFill>
    </x:fill>
  </x:fills>
  <x:borders count="2">
    <x:border/>
    <x:border>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x:xf numFmtId="0" fontId="0" fillId="0" borderId="1" xfId="0" applyNumberFormat="1" applyFont="1" applyFill="1" applyBorder="1"/>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094e9c179c4038" /><Relationship Type="http://schemas.openxmlformats.org/officeDocument/2006/relationships/theme" Target="/xl/theme/theme1.xml" Id="R81f494312acc43f4" /><Relationship Type="http://schemas.openxmlformats.org/officeDocument/2006/relationships/sharedStrings" Target="/xl/sharedStrings.xml" Id="R1183c4df1ce042ca" /><Relationship Type="http://schemas.openxmlformats.org/officeDocument/2006/relationships/worksheet" Target="/xl/worksheets/sheet1.xml" Id="R46bd0b7c8cc449e6" /><Relationship Type="http://schemas.openxmlformats.org/officeDocument/2006/relationships/worksheet" Target="/xl/worksheets/sheet2.xml" Id="Ra3491fbd29814033" /><Relationship Type="http://schemas.openxmlformats.org/officeDocument/2006/relationships/worksheet" Target="/xl/worksheets/sheet3.xml" Id="R71ea91c22c5c4b13" /><Relationship Type="http://schemas.openxmlformats.org/officeDocument/2006/relationships/worksheet" Target="/xl/worksheets/sheet4.xml" Id="R5824a006d1a94ecd" /><Relationship Type="http://schemas.openxmlformats.org/officeDocument/2006/relationships/worksheet" Target="/xl/worksheets/sheet5.xml" Id="R5dffe363f68e4048" /><Relationship Type="http://schemas.openxmlformats.org/officeDocument/2006/relationships/worksheet" Target="/xl/worksheets/sheet6.xml" Id="R7be4dc71ef9041f5" /></Relationships>
</file>

<file path=xl/tables/table1.xml><?xml version="1.0" encoding="utf-8"?>
<x:table xmlns:x="http://schemas.openxmlformats.org/spreadsheetml/2006/main" id="1" name="reviewer1Table" displayName="reviewer1Table" ref="A1:P499" headerRowCount="1" totalsRowCount="0" totalsRowShown="0">
  <x:tableColumns count="16">
    <x:tableColumn id="1" name="case_id"/>
    <x:tableColumn id="2" name="source_type"/>
    <x:tableColumn id="3" name="source_file"/>
    <x:tableColumn id="4" name="source_document_id"/>
    <x:tableColumn id="5" name="source_page"/>
    <x:tableColumn id="6" name="question"/>
    <x:tableColumn id="7" name="context"/>
    <x:tableColumn id="8" name="candidate_answer"/>
    <x:tableColumn id="9" name="product_group"/>
    <x:tableColumn id="10" name="split"/>
    <x:tableColumn id="11" name="quality_flags"/>
    <x:tableColumn id="12" name="reviewer_1_label"/>
    <x:tableColumn id="13" name="reviewer_1_error_category"/>
    <x:tableColumn id="14" name="reviewer_1_criticality"/>
    <x:tableColumn id="15" name="reviewer_1_confidence"/>
    <x:tableColumn id="16" name="reviewer_1_notes"/>
  </x:tableColumns>
  <x:tableStyleInfo name="TableStyleMedium2" showFirstColumn="0" showLastColumn="0" showRowStripes="1" showColumnStripes="0"/>
</x:table>
</file>

<file path=xl/tables/table2.xml><?xml version="1.0" encoding="utf-8"?>
<x:table xmlns:x="http://schemas.openxmlformats.org/spreadsheetml/2006/main" id="2" name="reviewer2Table" displayName="reviewer2Table" ref="A1:P499" headerRowCount="1" totalsRowCount="0" totalsRowShown="0">
  <x:tableColumns count="16">
    <x:tableColumn id="1" name="case_id"/>
    <x:tableColumn id="2" name="source_type"/>
    <x:tableColumn id="3" name="source_file"/>
    <x:tableColumn id="4" name="source_document_id"/>
    <x:tableColumn id="5" name="source_page"/>
    <x:tableColumn id="6" name="question"/>
    <x:tableColumn id="7" name="context"/>
    <x:tableColumn id="8" name="candidate_answer"/>
    <x:tableColumn id="9" name="product_group"/>
    <x:tableColumn id="10" name="split"/>
    <x:tableColumn id="11" name="quality_flags"/>
    <x:tableColumn id="12" name="reviewer_2_label"/>
    <x:tableColumn id="13" name="reviewer_2_error_category"/>
    <x:tableColumn id="14" name="reviewer_2_criticality"/>
    <x:tableColumn id="15" name="reviewer_2_confidence"/>
    <x:tableColumn id="16" name="reviewer_2_notes"/>
  </x:tableColumns>
  <x:tableStyleInfo name="TableStyleMedium2" showFirstColumn="0" showLastColumn="0" showRowStripes="1" showColumnStripes="0"/>
</x:table>
</file>

<file path=xl/tables/table3.xml><?xml version="1.0" encoding="utf-8"?>
<x:table xmlns:x="http://schemas.openxmlformats.org/spreadsheetml/2006/main" id="3" name="AdjudicationTable" displayName="AdjudicationTable" ref="A1:O499" headerRowCount="1" totalsRowCount="0" totalsRowShown="0">
  <x:tableColumns count="15">
    <x:tableColumn id="1" name="case_id"/>
    <x:tableColumn id="2" name="question"/>
    <x:tableColumn id="3" name="candidate_answer"/>
    <x:tableColumn id="4" name="reviewer_1_label"/>
    <x:tableColumn id="5" name="reviewer_2_label"/>
    <x:tableColumn id="6" name="adjudicated_label"/>
    <x:tableColumn id="7" name="reviewer_1_error_category"/>
    <x:tableColumn id="8" name="reviewer_2_error_category"/>
    <x:tableColumn id="9" name="adjudicated_error_category"/>
    <x:tableColumn id="10" name="reviewer_1_criticality"/>
    <x:tableColumn id="11" name="reviewer_2_criticality"/>
    <x:tableColumn id="12" name="adjudicated_criticality"/>
    <x:tableColumn id="13" name="adjudicated_confidence"/>
    <x:tableColumn id="14" name="adjudication_notes"/>
    <x:tableColumn id="15" name="conflict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9532c4a4444007" /></Relationships>
</file>

<file path=xl/worksheets/_rels/sheet3.xml.rels>&#65279;<?xml version="1.0" encoding="utf-8"?><Relationships xmlns="http://schemas.openxmlformats.org/package/2006/relationships"><Relationship Type="http://schemas.openxmlformats.org/officeDocument/2006/relationships/table" Target="/xl/tables/table2.xml" Id="R38e482346d984e4c" /></Relationships>
</file>

<file path=xl/worksheets/_rels/sheet4.xml.rels>&#65279;<?xml version="1.0" encoding="utf-8"?><Relationships xmlns="http://schemas.openxmlformats.org/package/2006/relationships"><Relationship Type="http://schemas.openxmlformats.org/officeDocument/2006/relationships/table" Target="/xl/tables/table3.xml" Id="Rfd8741c87c43489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2" customHeight="1">
      <x:c r="A1" s="15" t="str">
        <x:v>Groundedness Annotation Review</x:v>
      </x:c>
      <x:c r="B1" s="15"/>
      <x:c r="C1" s="15"/>
      <x:c r="D1" s="15"/>
      <x:c r="E1" s="15"/>
      <x:c r="F1" s="15"/>
      <x:c r="G1" s="15"/>
      <x:c r="H1" s="15"/>
    </x:row>
    <x:row r="2" ht="32" customHeight="1">
      <x:c r="A2" s="15"/>
      <x:c r="B2" s="15"/>
      <x:c r="C2" s="15"/>
      <x:c r="D2" s="15"/>
      <x:c r="E2" s="15"/>
      <x:c r="F2" s="15"/>
      <x:c r="G2" s="15"/>
      <x:c r="H2" s="15"/>
    </x:row>
    <x:row r="4">
      <x:c r="A4" s="17" t="str">
        <x:v>Status: BLIND HUMAN REVIEW PENDING - no scores and no technical expected labels</x:v>
      </x:c>
      <x:c r="B4" s="17"/>
      <x:c r="C4" s="17"/>
      <x:c r="D4" s="17"/>
      <x:c r="E4" s="17"/>
      <x:c r="F4" s="17"/>
      <x:c r="G4" s="17"/>
      <x:c r="H4" s="17"/>
    </x:row>
    <x:row r="6">
      <x:c r="A6" s="5" t="str">
        <x:v>Metric</x:v>
      </x:c>
      <x:c r="B6" s="5" t="str">
        <x:v>Value</x:v>
      </x:c>
    </x:row>
    <x:row r="7">
      <x:c r="A7" t="str">
        <x:v>Candidate cases</x:v>
      </x:c>
      <x:c r="B7" t="n">
        <x:f>COUNTA(Reviewer_1!A2:A499)</x:f>
        <x:v>498</x:v>
      </x:c>
    </x:row>
    <x:row r="8">
      <x:c r="A8" t="str">
        <x:v>Reviewer 1 completed</x:v>
      </x:c>
      <x:c r="B8" t="n">
        <x:f>COUNTIF(Reviewer_1!L2:L499,"PASS")+COUNTIF(Reviewer_1!L2:L499,"FAIL")+COUNTIF(Reviewer_1!L2:L499,"AMBIGUOUS")+COUNTIF(Reviewer_1!L2:L499,"EXCLUDE")</x:f>
        <x:v>0</x:v>
      </x:c>
    </x:row>
    <x:row r="9">
      <x:c r="A9" t="str">
        <x:v>Reviewer 2 completed</x:v>
      </x:c>
      <x:c r="B9" t="n">
        <x:f>COUNTIF(Reviewer_2!L2:L499,"PASS")+COUNTIF(Reviewer_2!L2:L499,"FAIL")+COUNTIF(Reviewer_2!L2:L499,"AMBIGUOUS")+COUNTIF(Reviewer_2!L2:L499,"EXCLUDE")</x:f>
        <x:v>0</x:v>
      </x:c>
    </x:row>
    <x:row r="10">
      <x:c r="A10" t="str">
        <x:v>Adjudicated labels</x:v>
      </x:c>
      <x:c r="B10" t="n">
        <x:f>COUNTIF(Adjudication!F2:F499,"PASS")+COUNTIF(Adjudication!F2:F499,"FAIL")+COUNTIF(Adjudication!F2:F499,"AMBIGUOUS")+COUNTIF(Adjudication!F2:F499,"EXCLUDE")</x:f>
        <x:v>0</x:v>
      </x:c>
    </x:row>
    <x:row r="11">
      <x:c r="A11" t="str">
        <x:v>Label conflicts</x:v>
      </x:c>
      <x:c r="B11" t="n">
        <x:f>COUNTIF(Adjudication!O2:O499,"CONFLICT")</x:f>
        <x:v>0</x:v>
      </x:c>
    </x:row>
    <x:row r="12">
      <x:c r="A12" t="str">
        <x:v>Ready for isolated scoring</x:v>
      </x:c>
      <x:c r="B12" t="str">
        <x:f>IF(AND(B8=B7,B9=B7,B10=B7),"YES","NO")</x:f>
        <x:v>NO</x:v>
      </x:c>
    </x:row>
    <x:row r="14">
      <x:c r="A14" s="19" t="str">
        <x:v>Required workflow</x:v>
      </x:c>
      <x:c r="B14" s="19"/>
      <x:c r="C14" s="19"/>
      <x:c r="D14" s="19"/>
      <x:c r="E14" s="19"/>
      <x:c r="F14" s="19"/>
      <x:c r="G14" s="19"/>
      <x:c r="H14" s="19"/>
    </x:row>
    <x:row r="15">
      <x:c r="A15" s="10" t="str">
        <x:v>1</x:v>
      </x:c>
      <x:c r="B15" s="10" t="str">
        <x:v>Reviewer 1 annotates only the yellow fields on Reviewer_1.</x:v>
      </x:c>
      <x:c r="C15" s="10" t="str"/>
      <x:c r="D15" s="10" t="str"/>
      <x:c r="E15" s="10" t="str"/>
      <x:c r="F15" s="10" t="str"/>
      <x:c r="G15" s="10" t="str"/>
      <x:c r="H15" s="10" t="str"/>
    </x:row>
    <x:row r="16">
      <x:c r="A16" s="10" t="str">
        <x:v>2</x:v>
      </x:c>
      <x:c r="B16" s="10" t="str">
        <x:v>Reviewer 2 independently annotates only the yellow fields on Reviewer_2.</x:v>
      </x:c>
      <x:c r="C16" s="10" t="str"/>
      <x:c r="D16" s="10" t="str"/>
      <x:c r="E16" s="10" t="str"/>
      <x:c r="F16" s="10" t="str"/>
      <x:c r="G16" s="10" t="str"/>
      <x:c r="H16" s="10" t="str"/>
    </x:row>
    <x:row r="17">
      <x:c r="A17" s="10" t="str">
        <x:v>3</x:v>
      </x:c>
      <x:c r="B17" s="10" t="str">
        <x:v>Run scripts/analyze_groundedness_annotations.py and resolve every conflict.</x:v>
      </x:c>
      <x:c r="C17" s="10" t="str"/>
      <x:c r="D17" s="10" t="str"/>
      <x:c r="E17" s="10" t="str"/>
      <x:c r="F17" s="10" t="str"/>
      <x:c r="G17" s="10" t="str"/>
      <x:c r="H17" s="10" t="str"/>
    </x:row>
    <x:row r="18">
      <x:c r="A18" s="10" t="str">
        <x:v>4</x:v>
      </x:c>
      <x:c r="B18" s="10" t="str">
        <x:v>Adjudicator completes final fields on Adjudication; add a rationale for conflicts.</x:v>
      </x:c>
      <x:c r="C18" s="10" t="str"/>
      <x:c r="D18" s="10" t="str"/>
      <x:c r="E18" s="10" t="str"/>
      <x:c r="F18" s="10" t="str"/>
      <x:c r="G18" s="10" t="str"/>
      <x:c r="H18" s="10" t="str"/>
    </x:row>
    <x:row r="19">
      <x:c r="A19" s="10" t="str">
        <x:v>5</x:v>
      </x:c>
      <x:c r="B19" s="10" t="str">
        <x:v>Only after completion may isolated groundedness scores be generated.</x:v>
      </x:c>
      <x:c r="C19" s="10" t="str"/>
      <x:c r="D19" s="10" t="str"/>
      <x:c r="E19" s="10" t="str"/>
      <x:c r="F19" s="10" t="str"/>
      <x:c r="G19" s="10" t="str"/>
      <x:c r="H19" s="10" t="str"/>
    </x:row>
    <x:row r="20">
      <x:c r="A20" s="11" t="str">
        <x:v>6</x:v>
      </x:c>
      <x:c r="B20" s="11" t="str">
        <x:v>Finalize and lock group splits before future calibration; open holdout once.</x:v>
      </x:c>
      <x:c r="C20" s="11" t="str"/>
      <x:c r="D20" s="11" t="str"/>
      <x:c r="E20" s="11" t="str"/>
      <x:c r="F20" s="11" t="str"/>
      <x:c r="G20" s="11" t="str"/>
      <x:c r="H20" s="11" t="str"/>
    </x:row>
    <x:row r="22">
      <x:c r="A22" s="24" t="str">
        <x:v>Important: generator expectations are technical construction metadata, not ground truth. They are intentionally excluded from this workbook. Scores must remain hidden until independent annotation and adjudication are complete.</x:v>
      </x:c>
      <x:c r="B22" s="24"/>
      <x:c r="C22" s="24"/>
      <x:c r="D22" s="24"/>
      <x:c r="E22" s="24"/>
      <x:c r="F22" s="24"/>
      <x:c r="G22" s="24"/>
      <x:c r="H22" s="24"/>
    </x:row>
    <x:row r="23">
      <x:c r="A23" s="24"/>
      <x:c r="B23" s="24"/>
      <x:c r="C23" s="24"/>
      <x:c r="D23" s="24"/>
      <x:c r="E23" s="24"/>
      <x:c r="F23" s="24"/>
      <x:c r="G23" s="24"/>
      <x:c r="H23" s="24"/>
    </x:row>
    <x:row r="24">
      <x:c r="A24" s="24"/>
      <x:c r="B24" s="24"/>
      <x:c r="C24" s="24"/>
      <x:c r="D24" s="24"/>
      <x:c r="E24" s="24"/>
      <x:c r="F24" s="24"/>
      <x:c r="G24" s="24"/>
      <x:c r="H24" s="24"/>
    </x:row>
    <x:row r="26">
      <x:c r="A26" s="19" t="str">
        <x:v>Human label definitions</x:v>
      </x:c>
      <x:c r="B26" s="19"/>
      <x:c r="C26" s="19"/>
      <x:c r="D26" s="19"/>
      <x:c r="E26" s="19"/>
      <x:c r="F26" s="19"/>
      <x:c r="G26" s="19"/>
      <x:c r="H26" s="19"/>
    </x:row>
    <x:row r="27">
      <x:c r="A27" s="10" t="str">
        <x:v>PASS</x:v>
      </x:c>
      <x:c r="B27" s="10" t="str">
        <x:v>All material claims are supported by the context, refer to the correct entity, and answer the question.</x:v>
      </x:c>
      <x:c r="C27" s="10"/>
      <x:c r="D27" s="10"/>
      <x:c r="E27" s="10"/>
      <x:c r="F27" s="10"/>
      <x:c r="G27" s="10"/>
      <x:c r="H27" s="10"/>
    </x:row>
    <x:row r="28">
      <x:c r="A28" s="10" t="str">
        <x:v>FAIL</x:v>
      </x:c>
      <x:c r="B28" s="10" t="str">
        <x:v>At least one material claim is unsupported, contradictory, tied to the wrong entity, or factually answers the question incorrectly.</x:v>
      </x:c>
      <x:c r="C28" s="10"/>
      <x:c r="D28" s="10"/>
      <x:c r="E28" s="10"/>
      <x:c r="F28" s="10"/>
      <x:c r="G28" s="10"/>
      <x:c r="H28" s="10"/>
    </x:row>
    <x:row r="29">
      <x:c r="A29" s="10" t="str">
        <x:v>AMBIGUOUS</x:v>
      </x:c>
      <x:c r="B29" s="10" t="str">
        <x:v>The question, context, or answer does not permit a unique expert judgment.</x:v>
      </x:c>
      <x:c r="C29" s="10"/>
      <x:c r="D29" s="10"/>
      <x:c r="E29" s="10"/>
      <x:c r="F29" s="10"/>
      <x:c r="G29" s="10"/>
      <x:c r="H29" s="10"/>
    </x:row>
    <x:row r="30">
      <x:c r="A30" s="11" t="str">
        <x:v>EXCLUDE</x:v>
      </x:c>
      <x:c r="B30" s="11" t="str">
        <x:v>The case is technically defective, duplicated, or unsuitable for the study.</x:v>
      </x:c>
      <x:c r="C30" s="11"/>
      <x:c r="D30" s="11"/>
      <x:c r="E30" s="11"/>
      <x:c r="F30" s="11"/>
      <x:c r="G30" s="11"/>
      <x:c r="H30" s="11"/>
    </x:row>
    <x:row r="32">
      <x:c r="A32" s="19" t="str">
        <x:v>Additional required annotations</x:v>
      </x:c>
      <x:c r="B32" s="19"/>
      <x:c r="C32" s="19"/>
      <x:c r="D32" s="19"/>
      <x:c r="E32" s="19"/>
      <x:c r="F32" s="19"/>
      <x:c r="G32" s="19"/>
      <x:c r="H32" s="19"/>
    </x:row>
    <x:row r="33">
      <x:c r="A33" s="10" t="str">
        <x:v>Error category</x:v>
      </x:c>
      <x:c r="B33" s="10" t="str">
        <x:v>Select the best matching category; use none for PASS and other with an explanation when needed.</x:v>
      </x:c>
      <x:c r="C33" s="10" t="str"/>
      <x:c r="D33" s="10" t="str"/>
      <x:c r="E33" s="10" t="str"/>
      <x:c r="F33" s="10" t="str"/>
      <x:c r="G33" s="10" t="str"/>
      <x:c r="H33" s="10" t="str"/>
    </x:row>
    <x:row r="34">
      <x:c r="A34" s="10" t="str">
        <x:v>Criticality</x:v>
      </x:c>
      <x:c r="B34" s="10" t="str">
        <x:v>Select CRITICAL, NON_CRITICAL, or REVIEW_REQUIRED. Do not infer it from the technical case construction.</x:v>
      </x:c>
      <x:c r="C34" s="10" t="str"/>
      <x:c r="D34" s="10" t="str"/>
      <x:c r="E34" s="10" t="str"/>
      <x:c r="F34" s="10" t="str"/>
      <x:c r="G34" s="10" t="str"/>
      <x:c r="H34" s="10" t="str"/>
    </x:row>
    <x:row r="35">
      <x:c r="A35" s="11" t="str">
        <x:v>Rationale + confidence</x:v>
      </x:c>
      <x:c r="B35" s="11" t="str">
        <x:v>Provide an evidence-based note and confidence from 1 (very uncertain) to 5 (highly confident).</x:v>
      </x:c>
      <x:c r="C35" s="11" t="str"/>
      <x:c r="D35" s="11" t="str"/>
      <x:c r="E35" s="11" t="str"/>
      <x:c r="F35" s="11" t="str"/>
      <x:c r="G35" s="11" t="str"/>
      <x:c r="H35" s="11" t="str"/>
    </x:row>
  </x:sheetData>
  <x:mergeCells>
    <x:mergeCell ref="A1:H2"/>
    <x:mergeCell ref="A4:H4"/>
    <x:mergeCell ref="A14:H14"/>
    <x:mergeCell ref="B15:H15"/>
    <x:mergeCell ref="B16:H16"/>
    <x:mergeCell ref="B17:H17"/>
    <x:mergeCell ref="B18:H18"/>
    <x:mergeCell ref="B19:H19"/>
    <x:mergeCell ref="B20:H20"/>
    <x:mergeCell ref="A22:H22"/>
    <x:mergeCell ref="A23:H23"/>
    <x:mergeCell ref="A24:H24"/>
    <x:mergeCell ref="A26:H26"/>
    <x:mergeCell ref="B27:H27"/>
    <x:mergeCell ref="B28:H28"/>
    <x:mergeCell ref="B29:H29"/>
    <x:mergeCell ref="B30:H30"/>
    <x:mergeCell ref="A32:H32"/>
    <x:mergeCell ref="B33:H33"/>
    <x:mergeCell ref="B34:H34"/>
    <x:mergeCell ref="B35:H3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20" hidden="0" customWidth="1"/>
    <x:col min="3" max="3" width="34" hidden="0" customWidth="1"/>
    <x:col min="4" max="4" width="34" hidden="0" customWidth="1"/>
    <x:col min="5" max="5" width="10" hidden="0" customWidth="1"/>
    <x:col min="6" max="6" width="43" hidden="0" customWidth="1"/>
    <x:col min="7" max="7" width="64" hidden="0" customWidth="1"/>
    <x:col min="8" max="8" width="64" hidden="0" customWidth="1"/>
    <x:col min="9" max="9" width="21" hidden="0" customWidth="1"/>
    <x:col min="10" max="10" width="21" hidden="0" customWidth="1"/>
    <x:col min="11" max="11" width="28" hidden="0" customWidth="1"/>
    <x:col min="12" max="12" width="22" hidden="0" customWidth="1"/>
    <x:col min="13" max="13" width="22" hidden="0" customWidth="1"/>
    <x:col min="14" max="14" width="22" hidden="0" customWidth="1"/>
    <x:col min="15" max="15" width="22" hidden="0" customWidth="1"/>
    <x:col min="16" max="16" width="45" hidden="0" customWidth="1"/>
  </x:cols>
  <x:sheetData>
    <x:row r="1" ht="34" customHeight="1">
      <x:c r="A1" s="5" t="str">
        <x:v>case_id</x:v>
      </x:c>
      <x:c r="B1" s="5" t="str">
        <x:v>source_type</x:v>
      </x:c>
      <x:c r="C1" s="5" t="str">
        <x:v>source_file</x:v>
      </x:c>
      <x:c r="D1" s="5" t="str">
        <x:v>source_document_id</x:v>
      </x:c>
      <x:c r="E1" s="5" t="str">
        <x:v>source_page</x:v>
      </x:c>
      <x:c r="F1" s="5" t="str">
        <x:v>question</x:v>
      </x:c>
      <x:c r="G1" s="5" t="str">
        <x:v>context</x:v>
      </x:c>
      <x:c r="H1" s="5" t="str">
        <x:v>candidate_answer</x:v>
      </x:c>
      <x:c r="I1" s="5" t="str">
        <x:v>product_group</x:v>
      </x:c>
      <x:c r="J1" s="5" t="str">
        <x:v>split</x:v>
      </x:c>
      <x:c r="K1" s="5" t="str">
        <x:v>quality_flags</x:v>
      </x:c>
      <x:c r="L1" s="5" t="str">
        <x:v>reviewer_1_label</x:v>
      </x:c>
      <x:c r="M1" s="5" t="str">
        <x:v>reviewer_1_error_category</x:v>
      </x:c>
      <x:c r="N1" s="5" t="str">
        <x:v>reviewer_1_criticality</x:v>
      </x:c>
      <x:c r="O1" s="5" t="str">
        <x:v>reviewer_1_confidence</x:v>
      </x:c>
      <x:c r="P1" s="5" t="str">
        <x:v>reviewer_1_notes</x:v>
      </x:c>
    </x:row>
    <x:row r="2">
      <x:c r="A2" s="8" t="str">
        <x:v>ext-iqa-pass-001</x:v>
      </x:c>
      <x:c r="B2" s="8" t="str">
        <x:v>insuranceqa</x:v>
      </x:c>
      <x:c r="C2" s="8" t="str">
        <x:v>data/benchmarks/qa/insuranceqa/data_insuranceqa_1000.jsonl</x:v>
      </x:c>
      <x:c r="D2" s="8" t="str">
        <x:v>insuranceqa:917</x:v>
      </x:c>
      <x:c r="E2" s="8" t="str"/>
      <x:c r="F2" s="10" t="str">
        <x:v>Does Home Insurance Cover Flood?</x:v>
      </x:c>
      <x:c r="G2" s="10" t="str">
        <x:v>Question: Does Home Insurance Cover Flood?
Answer: The short and direct answer is no , a Homeowners ' Insurance policy does noit cover for a flood . Flood Insurance must be obtained separately . FEMA administers the plans and they can be written through a number of different insurance companies . Check their website and look for Flood Certified Agents who would be happy to answer your questions and help you through the process .</x:v>
      </x:c>
      <x:c r="H2" s="10" t="str">
        <x:v>The short and direct answer is no , a Homeowners ' Insurance policy does noit cover for a flood . Flood Insurance must be obtained separately . FEMA administers the plans and they can be written through a number of different insurance companies . Check their website and look for Flood Certified Agents who would be happy to answer your questions and help you through the process .</x:v>
      </x:c>
      <x:c r="I2" s="8" t="str">
        <x:v>household</x:v>
      </x:c>
      <x:c r="J2" s="8" t="str">
        <x:v>LOCKED_HOLDOUT_CANDIDATE</x:v>
      </x:c>
      <x:c r="K2" s="10" t="str"/>
      <x:c r="L2" s="12" t="str"/>
      <x:c r="M2" s="12" t="str"/>
      <x:c r="N2" s="12" t="str"/>
      <x:c r="O2" s="12" t="str"/>
      <x:c r="P2" s="12" t="str"/>
    </x:row>
    <x:row r="3">
      <x:c r="A3" s="8" t="str">
        <x:v>ext-iqa-pass-002</x:v>
      </x:c>
      <x:c r="B3" s="8" t="str">
        <x:v>insuranceqa</x:v>
      </x:c>
      <x:c r="C3" s="8" t="str">
        <x:v>data/benchmarks/qa/insuranceqa/data_insuranceqa_1000.jsonl</x:v>
      </x:c>
      <x:c r="D3" s="8" t="str">
        <x:v>insuranceqa:512</x:v>
      </x:c>
      <x:c r="E3" s="8" t="str"/>
      <x:c r="F3" s="10" t="str">
        <x:v>When Can I Enroll In Medicare Part A?</x:v>
      </x:c>
      <x:c r="G3" s="10" t="str">
        <x:v>Question: When Can I Enroll In Medicare Part A?
Answer: You will automatically be enrolled in Medicare when you reach age 65 provided you have worked long enough and paid into the system . You will have the choice to opt out of part B of Medicare , but I do not recommend it unless you are still working and in a group . You will also get Medicare if you are on Social Security Disability . There is about a two year wait when you get disability before you are eligible .</x:v>
      </x:c>
      <x:c r="H3" s="10" t="str">
        <x:v>You will automatically be enrolled in Medicare when you reach age 65 provided you have worked long enough and paid into the system . You will have the choice to opt out of part B of Medicare , but I do not recommend it unless you are still working and in a group . You will also get Medicare if you are on Social Security Disability . There is about a two year wait when you get disability before you are eligible .</x:v>
      </x:c>
      <x:c r="I3" s="8" t="str">
        <x:v>health</x:v>
      </x:c>
      <x:c r="J3" s="8" t="str">
        <x:v>LOCKED_HOLDOUT_CANDIDATE</x:v>
      </x:c>
      <x:c r="K3" s="10" t="str"/>
      <x:c r="L3" s="12" t="str"/>
      <x:c r="M3" s="12" t="str"/>
      <x:c r="N3" s="12" t="str"/>
      <x:c r="O3" s="12" t="str"/>
      <x:c r="P3" s="12" t="str"/>
    </x:row>
    <x:row r="4">
      <x:c r="A4" s="8" t="str">
        <x:v>ext-iqa-pass-003</x:v>
      </x:c>
      <x:c r="B4" s="8" t="str">
        <x:v>insuranceqa</x:v>
      </x:c>
      <x:c r="C4" s="8" t="str">
        <x:v>data/benchmarks/qa/insuranceqa/data_insuranceqa_1000.jsonl</x:v>
      </x:c>
      <x:c r="D4" s="8" t="str">
        <x:v>insuranceqa:97</x:v>
      </x:c>
      <x:c r="E4" s="8" t="str"/>
      <x:c r="F4" s="10" t="str">
        <x:v>Do I Need Home Insurance For A Condo?</x:v>
      </x:c>
      <x:c r="G4" s="10" t="str">
        <x:v>Question: Do I Need Home Insurance For A Condo?
Answer: Condominium coverage requires a different form from the standard homeowners package . However , it provides many of the same coverages . The chief difference is that the structure itself is generally insured under a blanket condominium association policy , not the condominium form . The owner of each unit is normally not responsible for the structure , its maintenance or insurance . The owner of a unit is not responsible for the general areas such as gardens and walkways surrounding the condominium . The owners responsibility is for property contained within the structure , to include internal walls , and paint . When a person purchases a condominium they generally secure a mortgage . The mortgage companies will require the owner to purchase a policy to protect the lenders interest in the property . They want coverage for what they loaned you money to purchase . The amount of coverage under a condominium policy includes the amount required to restore the condominium in the event of a covered loss . At the same time the condominium policy provides a way for the homeowner to insure their own personal property -LRB- furniture , decorations , appliances and other property . -RRB-</x:v>
      </x:c>
      <x:c r="H4" s="10" t="str">
        <x:v>Condominium coverage requires a different form from the standard homeowners package . However , it provides many of the same coverages . The chief difference is that the structure itself is generally insured under a blanket condominium association policy , not the condominium form . The owner of each unit is normally not responsible for the structure , its maintenance or insurance . The owner of a unit is not responsible for the general areas such as gardens and walkways surrounding the condominium . The owners responsibility is for property contained within the structure , to include internal walls , and paint . When a person purchases a condominium they generally secure a mortgage . The mortgage companies will require the owner to purchase a policy to protect the lenders interest in the property . They want coverage for what they loaned you money to purchase . The amount of coverage under a condominium policy includes the amount required to restore the condominium in the event of a covered loss . At the same time the condominium policy provides a way for the homeowner to insure their own personal property -LRB- furniture , decorations , appliances and other property . -RRB-</x:v>
      </x:c>
      <x:c r="I4" s="8" t="str">
        <x:v>household</x:v>
      </x:c>
      <x:c r="J4" s="8" t="str">
        <x:v>VALIDATION</x:v>
      </x:c>
      <x:c r="K4" s="10" t="str"/>
      <x:c r="L4" s="12" t="str"/>
      <x:c r="M4" s="12" t="str"/>
      <x:c r="N4" s="12" t="str"/>
      <x:c r="O4" s="12" t="str"/>
      <x:c r="P4" s="12" t="str"/>
    </x:row>
    <x:row r="5">
      <x:c r="A5" s="8" t="str">
        <x:v>ext-iqa-pass-004</x:v>
      </x:c>
      <x:c r="B5" s="8" t="str">
        <x:v>insuranceqa</x:v>
      </x:c>
      <x:c r="C5" s="8" t="str">
        <x:v>data/benchmarks/qa/insuranceqa/data_insuranceqa_1000.jsonl</x:v>
      </x:c>
      <x:c r="D5" s="8" t="str">
        <x:v>insuranceqa:163</x:v>
      </x:c>
      <x:c r="E5" s="8" t="str"/>
      <x:c r="F5" s="10" t="str">
        <x:v>How Much Does Car Insurance Increase After DUI?</x:v>
      </x:c>
      <x:c r="G5" s="10" t="str">
        <x:v>Question: How Much Does Car Insurance Increase After DUI?
Answer: Car insurance rates typically increase after a DUI ... although the amount of the increase will vary depending on the company you are insured with . There are other costs associated with getting a DUI , including possible reinstatement of your driver 's license and purchase of a Bond , as required by the state . Question answered by E. Harris ... Car insurance broker since 1980 with top-rated website .</x:v>
      </x:c>
      <x:c r="H5" s="10" t="str">
        <x:v>Car insurance rates typically increase after a DUI ... although the amount of the increase will vary depending on the company you are insured with . There are other costs associated with getting a DUI , including possible reinstatement of your driver 's license and purchase of a Bond , as required by the state . Question answered by E. Harris ... Car insurance broker since 1980 with top-rated website .</x:v>
      </x:c>
      <x:c r="I5" s="8" t="str">
        <x:v>motor</x:v>
      </x:c>
      <x:c r="J5" s="8" t="str">
        <x:v>CALIBRATION</x:v>
      </x:c>
      <x:c r="K5" s="10" t="str"/>
      <x:c r="L5" s="12" t="str"/>
      <x:c r="M5" s="12" t="str"/>
      <x:c r="N5" s="12" t="str"/>
      <x:c r="O5" s="12" t="str"/>
      <x:c r="P5" s="12" t="str"/>
    </x:row>
    <x:row r="6">
      <x:c r="A6" s="8" t="str">
        <x:v>ext-iqa-pass-005</x:v>
      </x:c>
      <x:c r="B6" s="8" t="str">
        <x:v>insuranceqa</x:v>
      </x:c>
      <x:c r="C6" s="8" t="str">
        <x:v>data/benchmarks/qa/insuranceqa/data_insuranceqa_1000.jsonl</x:v>
      </x:c>
      <x:c r="D6" s="8" t="str">
        <x:v>insuranceqa:49</x:v>
      </x:c>
      <x:c r="E6" s="8" t="str"/>
      <x:c r="F6" s="10" t="str">
        <x:v>Does Home Owners Insurance Cover Asbestos Removal?</x:v>
      </x:c>
      <x:c r="G6" s="10" t="str">
        <x:v>Question: Does Home Owners Insurance Cover Asbestos Removal?
Answer: Generally the answer to that would be no . Your Homeowners is not designed to cover this type of renovation . If your home is damaged by a covered peril then the removal of asbestos would be covered as part of the repairs , but otherwise you will have to pay .</x:v>
      </x:c>
      <x:c r="H6" s="10" t="str">
        <x:v>Generally the answer to that would be no . Your Homeowners is not designed to cover this type of renovation . If your home is damaged by a covered peril then the removal of asbestos would be covered as part of the repairs , but otherwise you will have to pay .</x:v>
      </x:c>
      <x:c r="I6" s="8" t="str">
        <x:v>household</x:v>
      </x:c>
      <x:c r="J6" s="8" t="str">
        <x:v>CALIBRATION</x:v>
      </x:c>
      <x:c r="K6" s="10" t="str"/>
      <x:c r="L6" s="12" t="str"/>
      <x:c r="M6" s="12" t="str"/>
      <x:c r="N6" s="12" t="str"/>
      <x:c r="O6" s="12" t="str"/>
      <x:c r="P6" s="12" t="str"/>
    </x:row>
    <x:row r="7">
      <x:c r="A7" s="8" t="str">
        <x:v>ext-iqa-pass-006</x:v>
      </x:c>
      <x:c r="B7" s="8" t="str">
        <x:v>insuranceqa</x:v>
      </x:c>
      <x:c r="C7" s="8" t="str">
        <x:v>data/benchmarks/qa/insuranceqa/data_insuranceqa_1000.jsonl</x:v>
      </x:c>
      <x:c r="D7" s="8" t="str">
        <x:v>insuranceqa:312</x:v>
      </x:c>
      <x:c r="E7" s="8" t="str"/>
      <x:c r="F7" s="10" t="str">
        <x:v>Why Get Medigap?</x:v>
      </x:c>
      <x:c r="G7" s="10" t="str">
        <x:v>Question: Why Get Medigap?
Answer: Medigap is a Medicare supplement that can help pay some of the health care costs that original Medicare does n't cover , like copayments , coinsurance , and deductibles . It also covers medical care for some travel outside the US . If you have an Medicare Advantage Plan , you would not want to get Medigap .</x:v>
      </x:c>
      <x:c r="H7" s="10" t="str">
        <x:v>Medigap is a Medicare supplement that can help pay some of the health care costs that original Medicare does n't cover , like copayments , coinsurance , and deductibles . It also covers medical care for some travel outside the US . If you have an Medicare Advantage Plan , you would not want to get Medigap .</x:v>
      </x:c>
      <x:c r="I7" s="8" t="str">
        <x:v>health</x:v>
      </x:c>
      <x:c r="J7" s="8" t="str">
        <x:v>LOCKED_HOLDOUT_CANDIDATE</x:v>
      </x:c>
      <x:c r="K7" s="10" t="str"/>
      <x:c r="L7" s="12" t="str"/>
      <x:c r="M7" s="12" t="str"/>
      <x:c r="N7" s="12" t="str"/>
      <x:c r="O7" s="12" t="str"/>
      <x:c r="P7" s="12" t="str"/>
    </x:row>
    <x:row r="8">
      <x:c r="A8" s="8" t="str">
        <x:v>ext-iqa-pass-007</x:v>
      </x:c>
      <x:c r="B8" s="8" t="str">
        <x:v>insuranceqa</x:v>
      </x:c>
      <x:c r="C8" s="8" t="str">
        <x:v>data/benchmarks/qa/insuranceqa/data_insuranceqa_1000.jsonl</x:v>
      </x:c>
      <x:c r="D8" s="8" t="str">
        <x:v>insuranceqa:685</x:v>
      </x:c>
      <x:c r="E8" s="8" t="str"/>
      <x:c r="F8" s="10" t="str">
        <x:v>Does Renters Insurance Transfer?</x:v>
      </x:c>
      <x:c r="G8" s="10" t="str">
        <x:v>Question: Does Renters Insurance Transfer?
Answer: If by transfer you mean does the coverage apply at a new location , the answer is yes . The coverage is limited during the transfer itself -LRB- when things are being transported by a moving company or friend . -RRB- The coverage remains in force in most cases for a relatively short period of time . Since underwriting needs to re-evaluate this new location it is necessary for you to contact your agent immediately .</x:v>
      </x:c>
      <x:c r="H8" s="10" t="str">
        <x:v>If by transfer you mean does the coverage apply at a new location , the answer is yes . The coverage is limited during the transfer itself -LRB- when things are being transported by a moving company or friend . -RRB- The coverage remains in force in most cases for a relatively short period of time . Since underwriting needs to re-evaluate this new location it is necessary for you to contact your agent immediately .</x:v>
      </x:c>
      <x:c r="I8" s="8" t="str">
        <x:v>household</x:v>
      </x:c>
      <x:c r="J8" s="8" t="str">
        <x:v>CALIBRATION</x:v>
      </x:c>
      <x:c r="K8" s="10" t="str"/>
      <x:c r="L8" s="12" t="str"/>
      <x:c r="M8" s="12" t="str"/>
      <x:c r="N8" s="12" t="str"/>
      <x:c r="O8" s="12" t="str"/>
      <x:c r="P8" s="12" t="str"/>
    </x:row>
    <x:row r="9">
      <x:c r="A9" s="8" t="str">
        <x:v>ext-iqa-pass-008</x:v>
      </x:c>
      <x:c r="B9" s="8" t="str">
        <x:v>insuranceqa</x:v>
      </x:c>
      <x:c r="C9" s="8" t="str">
        <x:v>data/benchmarks/qa/insuranceqa/data_insuranceqa_1000.jsonl</x:v>
      </x:c>
      <x:c r="D9" s="8" t="str">
        <x:v>insuranceqa:705</x:v>
      </x:c>
      <x:c r="E9" s="8" t="str"/>
      <x:c r="F9" s="10" t="str">
        <x:v>What Is Universal Life Insurance And How Does It Work?</x:v>
      </x:c>
      <x:c r="G9" s="10" t="str">
        <x:v>Question: What Is Universal Life Insurance And How Does It Work?
Answer: Universal life insurance is a form of permanent/cash value life insurance known for it 's flexible premium and adjustable -LRB- downward in most cases -RRB- death benefit . Like all permanent products , the policy is driven by cash values -LRB- a reserve -RRB- in the policy that covers policy expenses . The policy holder also has access to this cash value either as a withdrawal or as a policy loan . Universal life insurance is also very well known for it 's transparency , as all expenses are readily available to the insured if he or she wishes to see them .</x:v>
      </x:c>
      <x:c r="H9" s="10" t="str">
        <x:v>Universal life insurance is a form of permanent/cash value life insurance known for it 's flexible premium and adjustable -LRB- downward in most cases -RRB- death benefit . Like all permanent products , the policy is driven by cash values -LRB- a reserve -RRB- in the policy that covers policy expenses . The policy holder also has access to this cash value either as a withdrawal or as a policy loan . Universal life insurance is also very well known for it 's transparency , as all expenses are readily available to the insured if he or she wishes to see them .</x:v>
      </x:c>
      <x:c r="I9" s="8" t="str">
        <x:v>life</x:v>
      </x:c>
      <x:c r="J9" s="8" t="str">
        <x:v>LOCKED_HOLDOUT_CANDIDATE</x:v>
      </x:c>
      <x:c r="K9" s="10" t="str"/>
      <x:c r="L9" s="12" t="str"/>
      <x:c r="M9" s="12" t="str"/>
      <x:c r="N9" s="12" t="str"/>
      <x:c r="O9" s="12" t="str"/>
      <x:c r="P9" s="12" t="str"/>
    </x:row>
    <x:row r="10">
      <x:c r="A10" s="8" t="str">
        <x:v>ext-iqa-pass-009</x:v>
      </x:c>
      <x:c r="B10" s="8" t="str">
        <x:v>insuranceqa</x:v>
      </x:c>
      <x:c r="C10" s="8" t="str">
        <x:v>data/benchmarks/qa/insuranceqa/data_insuranceqa_1000.jsonl</x:v>
      </x:c>
      <x:c r="D10" s="8" t="str">
        <x:v>insuranceqa:264</x:v>
      </x:c>
      <x:c r="E10" s="8" t="str"/>
      <x:c r="F10" s="10" t="str">
        <x:v>Does AAA Have Term Life Insurance?</x:v>
      </x:c>
      <x:c r="G10" s="10" t="str">
        <x:v>Question: Does AAA Have Term Life Insurance?
Answer: AAA while being best known for its ' auto towing services and for those of us old enough to remember , their tripticket map service , does indeed sell term insurance . However their are many carriers with higher financial ratings that charge less . In fact , I once had a client who worked for AAA but decided on a less expensive policy with better ratings and a lower cost .</x:v>
      </x:c>
      <x:c r="H10" s="10" t="str">
        <x:v>AAA while being best known for its ' auto towing services and for those of us old enough to remember , their tripticket map service , does indeed sell term insurance . However their are many carriers with higher financial ratings that charge less . In fact , I once had a client who worked for AAA but decided on a less expensive policy with better ratings and a lower cost .</x:v>
      </x:c>
      <x:c r="I10" s="8" t="str">
        <x:v>life</x:v>
      </x:c>
      <x:c r="J10" s="8" t="str">
        <x:v>VALIDATION</x:v>
      </x:c>
      <x:c r="K10" s="10" t="str"/>
      <x:c r="L10" s="12" t="str"/>
      <x:c r="M10" s="12" t="str"/>
      <x:c r="N10" s="12" t="str"/>
      <x:c r="O10" s="12" t="str"/>
      <x:c r="P10" s="12" t="str"/>
    </x:row>
    <x:row r="11">
      <x:c r="A11" s="8" t="str">
        <x:v>ext-iqa-pass-010</x:v>
      </x:c>
      <x:c r="B11" s="8" t="str">
        <x:v>insuranceqa</x:v>
      </x:c>
      <x:c r="C11" s="8" t="str">
        <x:v>data/benchmarks/qa/insuranceqa/data_insuranceqa_1000.jsonl</x:v>
      </x:c>
      <x:c r="D11" s="8" t="str">
        <x:v>insuranceqa:727</x:v>
      </x:c>
      <x:c r="E11" s="8" t="str"/>
      <x:c r="F11" s="10" t="str">
        <x:v>Does ADP Offer Health Insurance?</x:v>
      </x:c>
      <x:c r="G11" s="10" t="str">
        <x:v>Question: Does ADP Offer Health Insurance?
Answer: ADP Inc. is a worldwide company that offers payroll and resource management expertise to many companies.Presumably they offer healthcare to their employees . Many large and small businesses offer group health , dental and life benefits to their full-time and part-time employees . Depending on the company , they will pay a portion of the premium of those benefits .</x:v>
      </x:c>
      <x:c r="H11" s="10" t="str">
        <x:v>ADP Inc. is a worldwide company that offers payroll and resource management expertise to many companies.Presumably they offer healthcare to their employees . Many large and small businesses offer group health , dental and life benefits to their full-time and part-time employees . Depending on the company , they will pay a portion of the premium of those benefits .</x:v>
      </x:c>
      <x:c r="I11" s="8" t="str">
        <x:v>health</x:v>
      </x:c>
      <x:c r="J11" s="8" t="str">
        <x:v>LOCKED_HOLDOUT_CANDIDATE</x:v>
      </x:c>
      <x:c r="K11" s="10" t="str"/>
      <x:c r="L11" s="12" t="str"/>
      <x:c r="M11" s="12" t="str"/>
      <x:c r="N11" s="12" t="str"/>
      <x:c r="O11" s="12" t="str"/>
      <x:c r="P11" s="12" t="str"/>
    </x:row>
    <x:row r="12">
      <x:c r="A12" s="8" t="str">
        <x:v>ext-iqa-pass-011</x:v>
      </x:c>
      <x:c r="B12" s="8" t="str">
        <x:v>insuranceqa</x:v>
      </x:c>
      <x:c r="C12" s="8" t="str">
        <x:v>data/benchmarks/qa/insuranceqa/data_insuranceqa_1000.jsonl</x:v>
      </x:c>
      <x:c r="D12" s="8" t="str">
        <x:v>insuranceqa:437</x:v>
      </x:c>
      <x:c r="E12" s="8" t="str"/>
      <x:c r="F12" s="10" t="str">
        <x:v>Can I Get Life Insurance After Breast Cancer?</x:v>
      </x:c>
      <x:c r="G12" s="10" t="str">
        <x:v>Question: Can I Get Life Insurance After Breast Cancer?
Answer: The short answer is yes , you can buy life insurance after cancer . The type , amount and terms depends on the cancer itselfand how long you have been cancer free after your last treatment . To get into the standard ratings after breast cancer practically all carriers will want to see you cancer free for 10 years . Anything less than10 yearswill be a higher risk policy of either rated premiums or graduated benefits .</x:v>
      </x:c>
      <x:c r="H12" s="10" t="str">
        <x:v>The short answer is yes , you can buy life insurance after cancer . The type , amount and terms depends on the cancer itselfand how long you have been cancer free after your last treatment . To get into the standard ratings after breast cancer practically all carriers will want to see you cancer free for 10 years . Anything less than10 yearswill be a higher risk policy of either rated premiums or graduated benefits .</x:v>
      </x:c>
      <x:c r="I12" s="8" t="str">
        <x:v>life</x:v>
      </x:c>
      <x:c r="J12" s="8" t="str">
        <x:v>LOCKED_HOLDOUT_CANDIDATE</x:v>
      </x:c>
      <x:c r="K12" s="10" t="str"/>
      <x:c r="L12" s="12" t="str"/>
      <x:c r="M12" s="12" t="str"/>
      <x:c r="N12" s="12" t="str"/>
      <x:c r="O12" s="12" t="str"/>
      <x:c r="P12" s="12" t="str"/>
    </x:row>
    <x:row r="13">
      <x:c r="A13" s="8" t="str">
        <x:v>ext-iqa-pass-012</x:v>
      </x:c>
      <x:c r="B13" s="8" t="str">
        <x:v>insuranceqa</x:v>
      </x:c>
      <x:c r="C13" s="8" t="str">
        <x:v>data/benchmarks/qa/insuranceqa/data_insuranceqa_1000.jsonl</x:v>
      </x:c>
      <x:c r="D13" s="8" t="str">
        <x:v>insuranceqa:335</x:v>
      </x:c>
      <x:c r="E13" s="8" t="str"/>
      <x:c r="F13" s="10" t="str">
        <x:v>Do Insurance Companies Look At Psychiatric Records?</x:v>
      </x:c>
      <x:c r="G13" s="10" t="str">
        <x:v>Question: Do Insurance Companies Look At Psychiatric Records?
Answer: In respect to life insurance , underwriters are most concerned with conditions that impair or prevent a potential insured from completing daily tasks , interactions and living . In the event that your answers to the medical questionnaire on insurance application , attending physician statement &amp; recordsor results from a insurance examindicate that you are being treated through therapy or medication , the underwriters will first seek clarification through your agent . Depending on the severity of the condition , the course of treatment and time elapsed since last episode or event related to your condition , the underwriter may not have much concern and thus not require additional information . Simply put mild conditions such as milddepression , anxiety or stress treated by counseling and low dose medicine may not require deep underwriting depending on the age of the insured and history of condition . More significant conditions , for example schizophrenia , treated with significant medication and therapy , will require additional records from treating physicians to ensure that the insured fits within their risk parameters . In your case , grief counselingcan soundambiguous ; if it were for the loss of a loved one , the absence of whom is not preventing your daily living , it should not require additional review . If the on the other hand , it is being used to cope with another traumatic event , additional questions or requests may be posed by the underwriters . A letter from your treating psychiatrist highlighting your improvements from treatment will help mitigate the need for additional information . In order to ensure that you get the best underwriting class , I suggest that you work with an independent agent that works with multiple carriers as different carriers each have their own points of view on various healthy issues . Additionally , question your insurance agent ! Ask them what experience , if any , have they had with placing business on clients such as yourself . At the end of the day , the most experienced agents will get the best underwriting results for their clients with the least disruption and scrutiny of one 's private issues . Please feel free to contact me to discuss your facts in order to give you more accurate information .</x:v>
      </x:c>
      <x:c r="H13" s="10" t="str">
        <x:v>In respect to life insurance , underwriters are most concerned with conditions that impair or prevent a potential insured from completing daily tasks , interactions and living . In the event that your answers to the medical questionnaire on insurance application , attending physician statement &amp; recordsor results from a insurance examindicate that you are being treated through therapy or medication , the underwriters will first seek clarification through your agent . Depending on the severity of the condition , the course of treatment and time elapsed since last episode or event related to your condition , the underwriter may not have much concern and thus not require additional information . Simply put mild conditions such as milddepression , anxiety or stress treated by counseling and low dose medicine may not require deep underwriting depending on the age of the insured and history of condition . More significant conditions , for example schizophrenia , treated with significant medication and therapy , will require additional records from treating physicians to ensure that the insured fits within their risk parameters . In your case , grief counselingcan soundambiguous ; if it were for the loss of a loved one , the absence of whom is not preventing your daily living , it should not require additional review . If the on the other hand , it is being used to cope with another traumatic event , additional questions or requests may be posed by the underwriters . A letter from your treating psychiatrist highlighting your improvements from treatment will help mitigate the need for additional information . In order to ensure that you get the best underwriting class , I suggest that you work with an independent agent that works with multiple carriers as different carriers each have their own points of view on various healthy issues . Additionally , question your insurance agent ! Ask them what experience , if any , have they had with placing business on clients such as yourself . At the end of the day , the most experienced agents will get the best underwriting results for their clients with the least disruption and scrutiny of one 's private issues . Please feel free to contact me to discuss your facts in order to give you more accurate information .</x:v>
      </x:c>
      <x:c r="I13" s="8" t="str">
        <x:v>general_insurance</x:v>
      </x:c>
      <x:c r="J13" s="8" t="str">
        <x:v>CALIBRATION</x:v>
      </x:c>
      <x:c r="K13" s="10" t="str"/>
      <x:c r="L13" s="12" t="str"/>
      <x:c r="M13" s="12" t="str"/>
      <x:c r="N13" s="12" t="str"/>
      <x:c r="O13" s="12" t="str"/>
      <x:c r="P13" s="12" t="str"/>
    </x:row>
    <x:row r="14">
      <x:c r="A14" s="8" t="str">
        <x:v>ext-iqa-pass-013</x:v>
      </x:c>
      <x:c r="B14" s="8" t="str">
        <x:v>insuranceqa</x:v>
      </x:c>
      <x:c r="C14" s="8" t="str">
        <x:v>data/benchmarks/qa/insuranceqa/data_insuranceqa_1000.jsonl</x:v>
      </x:c>
      <x:c r="D14" s="8" t="str">
        <x:v>insuranceqa:504</x:v>
      </x:c>
      <x:c r="E14" s="8" t="str"/>
      <x:c r="F14" s="10" t="str">
        <x:v>Is Cancer Covered Under Disability Insurance?</x:v>
      </x:c>
      <x:c r="G14" s="10" t="str">
        <x:v>Question: Is Cancer Covered Under Disability Insurance?
Answer: Disability income plans pay as long as you meet the definition of disability , regardless of the disabling condition . If you are unable to work for any reason , illness or accident , and meet the policy definition that qualifies you for benefit , the carrier will pay your monthly benefit until you recover , die or exhaust your benefits .</x:v>
      </x:c>
      <x:c r="H14" s="10" t="str">
        <x:v>Disability income plans pay as long as you meet the definition of disability , regardless of the disabling condition . If you are unable to work for any reason , illness or accident , and meet the policy definition that qualifies you for benefit , the carrier will pay your monthly benefit until you recover , die or exhaust your benefits .</x:v>
      </x:c>
      <x:c r="I14" s="8" t="str">
        <x:v>health</x:v>
      </x:c>
      <x:c r="J14" s="8" t="str">
        <x:v>LOCKED_HOLDOUT_CANDIDATE</x:v>
      </x:c>
      <x:c r="K14" s="10" t="str"/>
      <x:c r="L14" s="12" t="str"/>
      <x:c r="M14" s="12" t="str"/>
      <x:c r="N14" s="12" t="str"/>
      <x:c r="O14" s="12" t="str"/>
      <x:c r="P14" s="12" t="str"/>
    </x:row>
    <x:row r="15">
      <x:c r="A15" s="8" t="str">
        <x:v>ext-iqa-pass-014</x:v>
      </x:c>
      <x:c r="B15" s="8" t="str">
        <x:v>insuranceqa</x:v>
      </x:c>
      <x:c r="C15" s="8" t="str">
        <x:v>data/benchmarks/qa/insuranceqa/data_insuranceqa_1000.jsonl</x:v>
      </x:c>
      <x:c r="D15" s="8" t="str">
        <x:v>insuranceqa:748</x:v>
      </x:c>
      <x:c r="E15" s="8" t="str"/>
      <x:c r="F15" s="10" t="str">
        <x:v>What Does Long Term Care Insurance Mean?</x:v>
      </x:c>
      <x:c r="G15" s="10" t="str">
        <x:v>Question: What Does Long Term Care Insurance Mean?
Answer: Long term care insurance is coverage that pays for personal care needs and other related chronic care services for individuals who are limited in their abilities to perform the activities of daily living -LRB- two or more -RRB- . Activities of Daily Living -LRB- ADLs -RRB- include eating , bathing , toileting , dressing , moving between a chair and the bed , and remaining continent . The policy typically pays for care that is provided in the individuals home , in an assisted living facility , or in a nursing home . Long term care insurance is available on an individual or a group basis .</x:v>
      </x:c>
      <x:c r="H15" s="10" t="str">
        <x:v>Long term care insurance is coverage that pays for personal care needs and other related chronic care services for individuals who are limited in their abilities to perform the activities of daily living -LRB- two or more -RRB- . Activities of Daily Living -LRB- ADLs -RRB- include eating , bathing , toileting , dressing , moving between a chair and the bed , and remaining continent . The policy typically pays for care that is provided in the individuals home , in an assisted living facility , or in a nursing home . Long term care insurance is available on an individual or a group basis .</x:v>
      </x:c>
      <x:c r="I15" s="8" t="str">
        <x:v>general_insurance</x:v>
      </x:c>
      <x:c r="J15" s="8" t="str">
        <x:v>VALIDATION</x:v>
      </x:c>
      <x:c r="K15" s="10" t="str"/>
      <x:c r="L15" s="12" t="str"/>
      <x:c r="M15" s="12" t="str"/>
      <x:c r="N15" s="12" t="str"/>
      <x:c r="O15" s="12" t="str"/>
      <x:c r="P15" s="12" t="str"/>
    </x:row>
    <x:row r="16">
      <x:c r="A16" s="8" t="str">
        <x:v>ext-iqa-pass-015</x:v>
      </x:c>
      <x:c r="B16" s="8" t="str">
        <x:v>insuranceqa</x:v>
      </x:c>
      <x:c r="C16" s="8" t="str">
        <x:v>data/benchmarks/qa/insuranceqa/data_insuranceqa_1000.jsonl</x:v>
      </x:c>
      <x:c r="D16" s="8" t="str">
        <x:v>insuranceqa:239</x:v>
      </x:c>
      <x:c r="E16" s="8" t="str"/>
      <x:c r="F16" s="10" t="str">
        <x:v>Does Nationwide Offer Long Term Care Insurance?</x:v>
      </x:c>
      <x:c r="G16" s="10" t="str">
        <x:v>Question: Does Nationwide Offer Long Term Care Insurance?
Answer: Actually , Nationwide has a very good hybrid policy that combines permanent life insurance and a comprehensive long term care rider . I use this product alot in my practice for people that have a need for both life insurance and LTC . Advantages of this product is that the benefit will always be used no matter what happens to the individual ; either they will have a long term care claim , or they will pass away and the death benefit will pass to their beneficiaries . Disadvantages of this approach to LTC planning is that there is no potential for any premium write-off and no Partnership protection .</x:v>
      </x:c>
      <x:c r="H16" s="10" t="str">
        <x:v>Actually , Nationwide has a very good hybrid policy that combines permanent life insurance and a comprehensive long term care rider . I use this product alot in my practice for people that have a need for both life insurance and LTC . Advantages of this product is that the benefit will always be used no matter what happens to the individual ; either they will have a long term care claim , or they will pass away and the death benefit will pass to their beneficiaries . Disadvantages of this approach to LTC planning is that there is no potential for any premium write-off and no Partnership protection .</x:v>
      </x:c>
      <x:c r="I16" s="8" t="str">
        <x:v>general_insurance</x:v>
      </x:c>
      <x:c r="J16" s="8" t="str">
        <x:v>VALIDATION</x:v>
      </x:c>
      <x:c r="K16" s="10" t="str"/>
      <x:c r="L16" s="12" t="str"/>
      <x:c r="M16" s="12" t="str"/>
      <x:c r="N16" s="12" t="str"/>
      <x:c r="O16" s="12" t="str"/>
      <x:c r="P16" s="12" t="str"/>
    </x:row>
    <x:row r="17">
      <x:c r="A17" s="8" t="str">
        <x:v>ext-iqa-pass-016</x:v>
      </x:c>
      <x:c r="B17" s="8" t="str">
        <x:v>insuranceqa</x:v>
      </x:c>
      <x:c r="C17" s="8" t="str">
        <x:v>data/benchmarks/qa/insuranceqa/data_insuranceqa_1000.jsonl</x:v>
      </x:c>
      <x:c r="D17" s="8" t="str">
        <x:v>insuranceqa:815</x:v>
      </x:c>
      <x:c r="E17" s="8" t="str"/>
      <x:c r="F17" s="10" t="str">
        <x:v>When Should Someone Buy Long Term Care Insurance?</x:v>
      </x:c>
      <x:c r="G17" s="10" t="str">
        <x:v>Question: When Should Someone Buy Long Term Care Insurance?
Answer: As a retirement planning specialist , I spend alot of time doing long term care planning . Why would I do this ? Because NOTHING will derail a person 's life-time savings faster than a custodial -LRB- AKA long term care -RRB- claim . There are two reasons why a person should purchase LTC ; the first is that they care about the quality of care , and having a say in where care will be provided , should they require it . The second reason is that they care about protecting the assets that they have acquired over the course of their life-time , and they want to protect those assets for their healthy spouse and/or children , rather then have those assets eaten up by impairment , or having them signed over to medicaid or a nursing home . As far as WHEN a person should purchase coverage ; my youngest clients are usually in their 40 's , and with them I usually recommend a hybrid life insurance-LTC product ; my average clients are in their mid 50 's to late 60 's , and for them I recommend either traditional long term care or a single premium policy with refund provisions , and my oldest clients are in their mid 70 's . I think the best time to purchase for most people is in their mid to late 50 's , because most will get better underwriting and a favorable premium . I hope this helps .</x:v>
      </x:c>
      <x:c r="H17" s="10" t="str">
        <x:v>As a retirement planning specialist , I spend alot of time doing long term care planning . Why would I do this ? Because NOTHING will derail a person 's life-time savings faster than a custodial -LRB- AKA long term care -RRB- claim . There are two reasons why a person should purchase LTC ; the first is that they care about the quality of care , and having a say in where care will be provided , should they require it . The second reason is that they care about protecting the assets that they have acquired over the course of their life-time , and they want to protect those assets for their healthy spouse and/or children , rather then have those assets eaten up by impairment , or having them signed over to medicaid or a nursing home . As far as WHEN a person should purchase coverage ; my youngest clients are usually in their 40 's , and with them I usually recommend a hybrid life insurance-LTC product ; my average clients are in their mid 50 's to late 60 's , and for them I recommend either traditional long term care or a single premium policy with refund provisions , and my oldest clients are in their mid 70 's . I think the best time to purchase for most people is in their mid to late 50 's , because most will get better underwriting and a favorable premium . I hope this helps .</x:v>
      </x:c>
      <x:c r="I17" s="8" t="str">
        <x:v>general_insurance</x:v>
      </x:c>
      <x:c r="J17" s="8" t="str">
        <x:v>VALIDATION</x:v>
      </x:c>
      <x:c r="K17" s="10" t="str"/>
      <x:c r="L17" s="12" t="str"/>
      <x:c r="M17" s="12" t="str"/>
      <x:c r="N17" s="12" t="str"/>
      <x:c r="O17" s="12" t="str"/>
      <x:c r="P17" s="12" t="str"/>
    </x:row>
    <x:row r="18">
      <x:c r="A18" s="8" t="str">
        <x:v>ext-iqa-pass-017</x:v>
      </x:c>
      <x:c r="B18" s="8" t="str">
        <x:v>insuranceqa</x:v>
      </x:c>
      <x:c r="C18" s="8" t="str">
        <x:v>data/benchmarks/qa/insuranceqa/data_insuranceqa_1000.jsonl</x:v>
      </x:c>
      <x:c r="D18" s="8" t="str">
        <x:v>insuranceqa:91</x:v>
      </x:c>
      <x:c r="E18" s="8" t="str"/>
      <x:c r="F18" s="10" t="str">
        <x:v>Can I change medicare providers after 3/1/2015 in Indiana?</x:v>
      </x:c>
      <x:c r="G18" s="10" t="str">
        <x:v>Question: Can I change medicare providers after 3/1/2015 in Indiana?
Answer: Are you referring to a Medicare Supplement plan -LRB- also known as a Medigap plan -RRB- , a Medicare Advantage plan , or a Medicare Part D prescription drug plan ? Your original Medicare coverage -LRB- Medicare Parts A &amp; B -RRB- is provided by the federal government . You can apply for a new Medicare Supplement plan anytime during the year . You can be subject to medical underwriting -LRB- answering yes/no health questions , a phone interview with the carrier , and a prescription check -RRB- if you 're outside your initial enrollment period -LRB- when you were new to Medicare Part B -RRB- and do not have a guarantee-issue right available to you . Medical underwriting for Medicare Supplement plans can be done in less than a week . There are no exams for these products . Please note , a common concern I hear a lot from individuals looking to replace their Medicare Supplement plans is they 're worried they 're at risk of losing the existing one if they apply for a new one and get declined . This is NOT true ! Even if you apply for a new Medicare Supplement plan and get declined , you can always keep the existing plan because Medicare Supplement plans are guaranteed renewable . If you 're looking to change your prescription drug plan provider or your Medicare Advantage plan provider , you can only make a change during certain times of the year . For the most part , you can only make changes during the annual enrollment period each year -LRB- between October 15 - December 7 -RRB- with changes becoming effective January 1 . Outside of this enrollment period , you can only make changes under certain situations -LRB- known as special enrollment periods -RRB- . An example of this is if you moved outside of the plan 's service area . For a full list of situations that qualify you for special enrollment periods to make changes , please visit the Medicare.gov website . I hope the information is helpful - please feel free to contact me for help with your coverage and if you have any other questions . Thanks very much .</x:v>
      </x:c>
      <x:c r="H18" s="10" t="str">
        <x:v>Are you referring to a Medicare Supplement plan -LRB- also known as a Medigap plan -RRB- , a Medicare Advantage plan , or a Medicare Part D prescription drug plan ? Your original Medicare coverage -LRB- Medicare Parts A &amp; B -RRB- is provided by the federal government . You can apply for a new Medicare Supplement plan anytime during the year . You can be subject to medical underwriting -LRB- answering yes/no health questions , a phone interview with the carrier , and a prescription check -RRB- if you 're outside your initial enrollment period -LRB- when you were new to Medicare Part B -RRB- and do not have a guarantee-issue right available to you . Medical underwriting for Medicare Supplement plans can be done in less than a week . There are no exams for these products . Please note , a common concern I hear a lot from individuals looking to replace their Medicare Supplement plans is they 're worried they 're at risk of losing the existing one if they apply for a new one and get declined . This is NOT true ! Even if you apply for a new Medicare Supplement plan and get declined , you can always keep the existing plan because Medicare Supplement plans are guaranteed renewable . If you 're looking to change your prescription drug plan provider or your Medicare Advantage plan provider , you can only make a change during certain times of the year . For the most part , you can only make changes during the annual enrollment period each year -LRB- between October 15 - December 7 -RRB- with changes becoming effective January 1 . Outside of this enrollment period , you can only make changes under certain situations -LRB- known as special enrollment periods -RRB- . An example of this is if you moved outside of the plan 's service area . For a full list of situations that qualify you for special enrollment periods to make changes , please visit the Medicare.gov website . I hope the information is helpful - please feel free to contact me for help with your coverage and if you have any other questions . Thanks very much .</x:v>
      </x:c>
      <x:c r="I18" s="8" t="str">
        <x:v>health</x:v>
      </x:c>
      <x:c r="J18" s="8" t="str">
        <x:v>CALIBRATION</x:v>
      </x:c>
      <x:c r="K18" s="10" t="str"/>
      <x:c r="L18" s="12" t="str"/>
      <x:c r="M18" s="12" t="str"/>
      <x:c r="N18" s="12" t="str"/>
      <x:c r="O18" s="12" t="str"/>
      <x:c r="P18" s="12" t="str"/>
    </x:row>
    <x:row r="19">
      <x:c r="A19" s="8" t="str">
        <x:v>ext-iqa-pass-018</x:v>
      </x:c>
      <x:c r="B19" s="8" t="str">
        <x:v>insuranceqa</x:v>
      </x:c>
      <x:c r="C19" s="8" t="str">
        <x:v>data/benchmarks/qa/insuranceqa/data_insuranceqa_1000.jsonl</x:v>
      </x:c>
      <x:c r="D19" s="8" t="str">
        <x:v>insuranceqa:602</x:v>
      </x:c>
      <x:c r="E19" s="8" t="str"/>
      <x:c r="F19" s="10" t="str">
        <x:v>How Do Body Shops Work With Car Insurance?</x:v>
      </x:c>
      <x:c r="G19" s="10" t="str">
        <x:v>Question: How Do Body Shops Work With Car Insurance?
Answer: That is a great question ! Generally , your auto insurance company will have a contract or agreement with a local garage , mechanic , and body shop . They will refer you to them to have your work done . By doing this , they have an agreement with the garages to keep costs under control . Should you choose to use a different mechanic , you are certainly welcome to , but my experience has been that the insurance company is much more difficult to work with . Thanks for asking !</x:v>
      </x:c>
      <x:c r="H19" s="10" t="str">
        <x:v>That is a great question ! Generally , your auto insurance company will have a contract or agreement with a local garage , mechanic , and body shop . They will refer you to them to have your work done . By doing this , they have an agreement with the garages to keep costs under control . Should you choose to use a different mechanic , you are certainly welcome to , but my experience has been that the insurance company is much more difficult to work with . Thanks for asking !</x:v>
      </x:c>
      <x:c r="I19" s="8" t="str">
        <x:v>motor</x:v>
      </x:c>
      <x:c r="J19" s="8" t="str">
        <x:v>VALIDATION</x:v>
      </x:c>
      <x:c r="K19" s="10" t="str"/>
      <x:c r="L19" s="12" t="str"/>
      <x:c r="M19" s="12" t="str"/>
      <x:c r="N19" s="12" t="str"/>
      <x:c r="O19" s="12" t="str"/>
      <x:c r="P19" s="12" t="str"/>
    </x:row>
    <x:row r="20">
      <x:c r="A20" s="8" t="str">
        <x:v>ext-iqa-pass-019</x:v>
      </x:c>
      <x:c r="B20" s="8" t="str">
        <x:v>insuranceqa</x:v>
      </x:c>
      <x:c r="C20" s="8" t="str">
        <x:v>data/benchmarks/qa/insuranceqa/data_insuranceqa_1000.jsonl</x:v>
      </x:c>
      <x:c r="D20" s="8" t="str">
        <x:v>insuranceqa:409</x:v>
      </x:c>
      <x:c r="E20" s="8" t="str"/>
      <x:c r="F20" s="10" t="str">
        <x:v>How Does Medicare D Work?</x:v>
      </x:c>
      <x:c r="G20" s="10" t="str">
        <x:v>Question: How Does Medicare D Work?
Answer: I assume you are asking about Medicare Part D which is the prescription drug plan , as opposed to Medicare supplement plan D. Medicare Part D is offered by private insurance carriers . Each plan is different . Some have deductibles , some do n't . All have copay 's and a few have coinsurance for tier 4 drugs</x:v>
      </x:c>
      <x:c r="H20" s="10" t="str">
        <x:v>I assume you are asking about Medicare Part D which is the prescription drug plan , as opposed to Medicare supplement plan D. Medicare Part D is offered by private insurance carriers . Each plan is different . Some have deductibles , some do n't . All have copay 's and a few have coinsurance for tier 4 drugs</x:v>
      </x:c>
      <x:c r="I20" s="8" t="str">
        <x:v>health</x:v>
      </x:c>
      <x:c r="J20" s="8" t="str">
        <x:v>VALIDATION</x:v>
      </x:c>
      <x:c r="K20" s="10" t="str"/>
      <x:c r="L20" s="12" t="str"/>
      <x:c r="M20" s="12" t="str"/>
      <x:c r="N20" s="12" t="str"/>
      <x:c r="O20" s="12" t="str"/>
      <x:c r="P20" s="12" t="str"/>
    </x:row>
    <x:row r="21">
      <x:c r="A21" s="8" t="str">
        <x:v>ext-iqa-pass-020</x:v>
      </x:c>
      <x:c r="B21" s="8" t="str">
        <x:v>insuranceqa</x:v>
      </x:c>
      <x:c r="C21" s="8" t="str">
        <x:v>data/benchmarks/qa/insuranceqa/data_insuranceqa_1000.jsonl</x:v>
      </x:c>
      <x:c r="D21" s="8" t="str">
        <x:v>insuranceqa:222</x:v>
      </x:c>
      <x:c r="E21" s="8" t="str"/>
      <x:c r="F21" s="10" t="str">
        <x:v>Is Car Insurance For A Lease More Expensive?</x:v>
      </x:c>
      <x:c r="G21" s="10" t="str">
        <x:v>Question: Is Car Insurance For A Lease More Expensive?
Answer: Many leases will require you to carry 100/300 liability limits so if for some reason you want to carry lower limits you will see a premium difference there . Other then that the premiums are no different then if you owned the car yourself . If you are in a position to lease a car you should be carrying a minimum of 100/300 liability limits anyway .</x:v>
      </x:c>
      <x:c r="H21" s="10" t="str">
        <x:v>Many leases will require you to carry 100/300 liability limits so if for some reason you want to carry lower limits you will see a premium difference there . Other then that the premiums are no different then if you owned the car yourself . If you are in a position to lease a car you should be carrying a minimum of 100/300 liability limits anyway .</x:v>
      </x:c>
      <x:c r="I21" s="8" t="str">
        <x:v>motor</x:v>
      </x:c>
      <x:c r="J21" s="8" t="str">
        <x:v>VALIDATION</x:v>
      </x:c>
      <x:c r="K21" s="10" t="str"/>
      <x:c r="L21" s="12" t="str"/>
      <x:c r="M21" s="12" t="str"/>
      <x:c r="N21" s="12" t="str"/>
      <x:c r="O21" s="12" t="str"/>
      <x:c r="P21" s="12" t="str"/>
    </x:row>
    <x:row r="22">
      <x:c r="A22" s="8" t="str">
        <x:v>ext-iqa-pass-021</x:v>
      </x:c>
      <x:c r="B22" s="8" t="str">
        <x:v>insuranceqa</x:v>
      </x:c>
      <x:c r="C22" s="8" t="str">
        <x:v>data/benchmarks/qa/insuranceqa/data_insuranceqa_1000.jsonl</x:v>
      </x:c>
      <x:c r="D22" s="8" t="str">
        <x:v>insuranceqa:570</x:v>
      </x:c>
      <x:c r="E22" s="8" t="str"/>
      <x:c r="F22" s="10" t="str">
        <x:v>Can Homeowners Insurance Cancel Your Policy?</x:v>
      </x:c>
      <x:c r="G22" s="10" t="str">
        <x:v>Question: Can Homeowners Insurance Cancel Your Policy?
Answer: The insurance company can cancel your policy for failure to pay the premium . It can also cancel the policy if the underwriter determines that the property was not correctly described or that the agent acted beyond his authority to bind coverage . Companies routinely cancel policies when they determine that a property has been vacated .</x:v>
      </x:c>
      <x:c r="H22" s="10" t="str">
        <x:v>The insurance company can cancel your policy for failure to pay the premium . It can also cancel the policy if the underwriter determines that the property was not correctly described or that the agent acted beyond his authority to bind coverage . Companies routinely cancel policies when they determine that a property has been vacated .</x:v>
      </x:c>
      <x:c r="I22" s="8" t="str">
        <x:v>general_insurance</x:v>
      </x:c>
      <x:c r="J22" s="8" t="str">
        <x:v>VALIDATION</x:v>
      </x:c>
      <x:c r="K22" s="10" t="str"/>
      <x:c r="L22" s="12" t="str"/>
      <x:c r="M22" s="12" t="str"/>
      <x:c r="N22" s="12" t="str"/>
      <x:c r="O22" s="12" t="str"/>
      <x:c r="P22" s="12" t="str"/>
    </x:row>
    <x:row r="23">
      <x:c r="A23" s="8" t="str">
        <x:v>ext-iqa-pass-022</x:v>
      </x:c>
      <x:c r="B23" s="8" t="str">
        <x:v>insuranceqa</x:v>
      </x:c>
      <x:c r="C23" s="8" t="str">
        <x:v>data/benchmarks/qa/insuranceqa/data_insuranceqa_1000.jsonl</x:v>
      </x:c>
      <x:c r="D23" s="8" t="str">
        <x:v>insuranceqa:622</x:v>
      </x:c>
      <x:c r="E23" s="8" t="str"/>
      <x:c r="F23" s="10" t="str">
        <x:v>How Does Home Insurance Escrow Work?</x:v>
      </x:c>
      <x:c r="G23" s="10" t="str">
        <x:v>Question: How Does Home Insurance Escrow Work?
Answer: Some banks these days require that your Homeowners Insurance be paid by them froman escrow account . If that is the case , then when you are closing on your home and obtaining insurance , they will require you to pay your insurance professional an amount equal to the full first year 's premium . The policy will then be set up to bill your mortgage company upon each renewal . The monthly payments that you make to your mortgage company , in addition to principal and interest , will include an amount for the next renewal on your Homeowners Insurance . Your insurance company will bill your mortgage company at the renewal and the annual premium will then be paid by your mortgage company from your escrow account .</x:v>
      </x:c>
      <x:c r="H23" s="10" t="str">
        <x:v>Some banks these days require that your Homeowners Insurance be paid by them froman escrow account . If that is the case , then when you are closing on your home and obtaining insurance , they will require you to pay your insurance professional an amount equal to the full first year 's premium . The policy will then be set up to bill your mortgage company upon each renewal . The monthly payments that you make to your mortgage company , in addition to principal and interest , will include an amount for the next renewal on your Homeowners Insurance . Your insurance company will bill your mortgage company at the renewal and the annual premium will then be paid by your mortgage company from your escrow account .</x:v>
      </x:c>
      <x:c r="I23" s="8" t="str">
        <x:v>household</x:v>
      </x:c>
      <x:c r="J23" s="8" t="str">
        <x:v>CALIBRATION</x:v>
      </x:c>
      <x:c r="K23" s="10" t="str"/>
      <x:c r="L23" s="12" t="str"/>
      <x:c r="M23" s="12" t="str"/>
      <x:c r="N23" s="12" t="str"/>
      <x:c r="O23" s="12" t="str"/>
      <x:c r="P23" s="12" t="str"/>
    </x:row>
    <x:row r="24">
      <x:c r="A24" s="8" t="str">
        <x:v>ext-iqa-pass-023</x:v>
      </x:c>
      <x:c r="B24" s="8" t="str">
        <x:v>insuranceqa</x:v>
      </x:c>
      <x:c r="C24" s="8" t="str">
        <x:v>data/benchmarks/qa/insuranceqa/data_insuranceqa_1000.jsonl</x:v>
      </x:c>
      <x:c r="D24" s="8" t="str">
        <x:v>insuranceqa:800</x:v>
      </x:c>
      <x:c r="E24" s="8" t="str"/>
      <x:c r="F24" s="10" t="str">
        <x:v>How Much Disability Insurance Is Enough?</x:v>
      </x:c>
      <x:c r="G24" s="10" t="str">
        <x:v>Question: How Much Disability Insurance Is Enough?
Answer: Typically disability insurance benefits are equal to a maximum of 60 % of the insured 's income . The maximum one can buy then is based on the annual income of the individual . If you can live comfortably on a lesser amount than 60 % of what you earn , then you may consider buying a policy that would pay less than 60 % of your earned income .</x:v>
      </x:c>
      <x:c r="H24" s="10" t="str">
        <x:v>Typically disability insurance benefits are equal to a maximum of 60 % of the insured 's income . The maximum one can buy then is based on the annual income of the individual . If you can live comfortably on a lesser amount than 60 % of what you earn , then you may consider buying a policy that would pay less than 60 % of your earned income .</x:v>
      </x:c>
      <x:c r="I24" s="8" t="str">
        <x:v>health</x:v>
      </x:c>
      <x:c r="J24" s="8" t="str">
        <x:v>VALIDATION</x:v>
      </x:c>
      <x:c r="K24" s="10" t="str"/>
      <x:c r="L24" s="12" t="str"/>
      <x:c r="M24" s="12" t="str"/>
      <x:c r="N24" s="12" t="str"/>
      <x:c r="O24" s="12" t="str"/>
      <x:c r="P24" s="12" t="str"/>
    </x:row>
    <x:row r="25">
      <x:c r="A25" s="8" t="str">
        <x:v>ext-iqa-pass-024</x:v>
      </x:c>
      <x:c r="B25" s="8" t="str">
        <x:v>insuranceqa</x:v>
      </x:c>
      <x:c r="C25" s="8" t="str">
        <x:v>data/benchmarks/qa/insuranceqa/data_insuranceqa_1000.jsonl</x:v>
      </x:c>
      <x:c r="D25" s="8" t="str">
        <x:v>insuranceqa:120</x:v>
      </x:c>
      <x:c r="E25" s="8" t="str"/>
      <x:c r="F25" s="10" t="str">
        <x:v>What Is Occupational Disability Insurance?</x:v>
      </x:c>
      <x:c r="G25" s="10" t="str">
        <x:v>Question: What Is Occupational Disability Insurance?
Answer: What is occupational disability insurance ? Usually it is called own occupation and it is used in the definition of disability . It is very much to the insured 's favor to have that definition in their disability policy . It is a specific rather than general definition . For example your disability policy would pay if you could n't work in that specific job , and it would continue to pay you if you could work in another occupation .</x:v>
      </x:c>
      <x:c r="H25" s="10" t="str">
        <x:v>What is occupational disability insurance ? Usually it is called own occupation and it is used in the definition of disability . It is very much to the insured 's favor to have that definition in their disability policy . It is a specific rather than general definition . For example your disability policy would pay if you could n't work in that specific job , and it would continue to pay you if you could work in another occupation .</x:v>
      </x:c>
      <x:c r="I25" s="8" t="str">
        <x:v>health</x:v>
      </x:c>
      <x:c r="J25" s="8" t="str">
        <x:v>VALIDATION</x:v>
      </x:c>
      <x:c r="K25" s="10" t="str"/>
      <x:c r="L25" s="12" t="str"/>
      <x:c r="M25" s="12" t="str"/>
      <x:c r="N25" s="12" t="str"/>
      <x:c r="O25" s="12" t="str"/>
      <x:c r="P25" s="12" t="str"/>
    </x:row>
    <x:row r="26">
      <x:c r="A26" s="8" t="str">
        <x:v>ext-iqa-pass-025</x:v>
      </x:c>
      <x:c r="B26" s="8" t="str">
        <x:v>insuranceqa</x:v>
      </x:c>
      <x:c r="C26" s="8" t="str">
        <x:v>data/benchmarks/qa/insuranceqa/data_insuranceqa_1000.jsonl</x:v>
      </x:c>
      <x:c r="D26" s="8" t="str">
        <x:v>insuranceqa:896</x:v>
      </x:c>
      <x:c r="E26" s="8" t="str"/>
      <x:c r="F26" s="10" t="str">
        <x:v>Can You Get Car Insurance With A Suspended Drivers License?</x:v>
      </x:c>
      <x:c r="G26" s="10" t="str">
        <x:v>Question: Can You Get Car Insurance With A Suspended Drivers License?
Answer: That is a great question ! While it will be difficult to get insurance , it is possible . What you will need to do is contact your agent , and find out what they will need to issue you a policy . In most cases , that will mean satisfying the requirements to get your license reinstated - fines paid , classes taken , whatever was required of you . Having your license suspended is bad , but it will be infinitely worse for you if you get caught driving on it , and you are uninsured . Please do n't even consider it ! Good luck , and thanks for asking !</x:v>
      </x:c>
      <x:c r="H26" s="10" t="str">
        <x:v>That is a great question ! While it will be difficult to get insurance , it is possible . What you will need to do is contact your agent , and find out what they will need to issue you a policy . In most cases , that will mean satisfying the requirements to get your license reinstated - fines paid , classes taken , whatever was required of you . Having your license suspended is bad , but it will be infinitely worse for you if you get caught driving on it , and you are uninsured . Please do n't even consider it ! Good luck , and thanks for asking !</x:v>
      </x:c>
      <x:c r="I26" s="8" t="str">
        <x:v>motor</x:v>
      </x:c>
      <x:c r="J26" s="8" t="str">
        <x:v>VALIDATION</x:v>
      </x:c>
      <x:c r="K26" s="10" t="str"/>
      <x:c r="L26" s="12" t="str"/>
      <x:c r="M26" s="12" t="str"/>
      <x:c r="N26" s="12" t="str"/>
      <x:c r="O26" s="12" t="str"/>
      <x:c r="P26" s="12" t="str"/>
    </x:row>
    <x:row r="27">
      <x:c r="A27" s="8" t="str">
        <x:v>ext-iqa-pass-026</x:v>
      </x:c>
      <x:c r="B27" s="8" t="str">
        <x:v>insuranceqa</x:v>
      </x:c>
      <x:c r="C27" s="8" t="str">
        <x:v>data/benchmarks/qa/insuranceqa/data_insuranceqa_1000.jsonl</x:v>
      </x:c>
      <x:c r="D27" s="8" t="str">
        <x:v>insuranceqa:224</x:v>
      </x:c>
      <x:c r="E27" s="8" t="str"/>
      <x:c r="F27" s="10" t="str">
        <x:v>How Long Does A Homeowners Insurance Claim Stay On Record?</x:v>
      </x:c>
      <x:c r="G27" s="10" t="str">
        <x:v>Question: How Long Does A Homeowners Insurance Claim Stay On Record?
Answer: As a matter of practice most insurance companies look back at three years of losses . Companies are particularly concerned about recurring losses . These usually indicate poor maintenance or a design flaw in the residence . Recurring water damage losses from a leaky roof are a concern . There are situations where the initial repair did not fix the root cause and continued claims can be expected .</x:v>
      </x:c>
      <x:c r="H27" s="10" t="str">
        <x:v>As a matter of practice most insurance companies look back at three years of losses . Companies are particularly concerned about recurring losses . These usually indicate poor maintenance or a design flaw in the residence . Recurring water damage losses from a leaky roof are a concern . There are situations where the initial repair did not fix the root cause and continued claims can be expected .</x:v>
      </x:c>
      <x:c r="I27" s="8" t="str">
        <x:v>general_insurance</x:v>
      </x:c>
      <x:c r="J27" s="8" t="str">
        <x:v>LOCKED_HOLDOUT_CANDIDATE</x:v>
      </x:c>
      <x:c r="K27" s="10" t="str"/>
      <x:c r="L27" s="12" t="str"/>
      <x:c r="M27" s="12" t="str"/>
      <x:c r="N27" s="12" t="str"/>
      <x:c r="O27" s="12" t="str"/>
      <x:c r="P27" s="12" t="str"/>
    </x:row>
    <x:row r="28">
      <x:c r="A28" s="8" t="str">
        <x:v>ext-iqa-pass-027</x:v>
      </x:c>
      <x:c r="B28" s="8" t="str">
        <x:v>insuranceqa</x:v>
      </x:c>
      <x:c r="C28" s="8" t="str">
        <x:v>data/benchmarks/qa/insuranceqa/data_insuranceqa_1000.jsonl</x:v>
      </x:c>
      <x:c r="D28" s="8" t="str">
        <x:v>insuranceqa:773</x:v>
      </x:c>
      <x:c r="E28" s="8" t="str"/>
      <x:c r="F28" s="10" t="str">
        <x:v>What Services Does Medicare Part D Cover?</x:v>
      </x:c>
      <x:c r="G28" s="10" t="str">
        <x:v>Question: What Services Does Medicare Part D Cover?
Answer: Medicare Part D covers a portion of your outpatient Rx benefits . Part D is available from private insurance carriers and has a monthly premium of anywhere from $ 15 monthly on up to over $ 100 . Each plan is different . Some have deductibles , some do n't . All have copay 's . Check your formulary before signing up .</x:v>
      </x:c>
      <x:c r="H28" s="10" t="str">
        <x:v>Medicare Part D covers a portion of your outpatient Rx benefits . Part D is available from private insurance carriers and has a monthly premium of anywhere from $ 15 monthly on up to over $ 100 . Each plan is different . Some have deductibles , some do n't . All have copay 's . Check your formulary before signing up .</x:v>
      </x:c>
      <x:c r="I28" s="8" t="str">
        <x:v>health</x:v>
      </x:c>
      <x:c r="J28" s="8" t="str">
        <x:v>VALIDATION</x:v>
      </x:c>
      <x:c r="K28" s="10" t="str"/>
      <x:c r="L28" s="12" t="str"/>
      <x:c r="M28" s="12" t="str"/>
      <x:c r="N28" s="12" t="str"/>
      <x:c r="O28" s="12" t="str"/>
      <x:c r="P28" s="12" t="str"/>
    </x:row>
    <x:row r="29">
      <x:c r="A29" s="8" t="str">
        <x:v>ext-iqa-pass-028</x:v>
      </x:c>
      <x:c r="B29" s="8" t="str">
        <x:v>insuranceqa</x:v>
      </x:c>
      <x:c r="C29" s="8" t="str">
        <x:v>data/benchmarks/qa/insuranceqa/data_insuranceqa_1000.jsonl</x:v>
      </x:c>
      <x:c r="D29" s="8" t="str">
        <x:v>insuranceqa:10</x:v>
      </x:c>
      <x:c r="E29" s="8" t="str"/>
      <x:c r="F29" s="10" t="str">
        <x:v>I Have A Qualified Variable Annuity. What Is That Exactly?</x:v>
      </x:c>
      <x:c r="G29" s="10" t="str">
        <x:v>Question: I Have A Qualified Variable Annuity. What Is That Exactly?
Answer: That is a great question ! I 'd strongly advise that you check with your annuity 's agent or your tax adviser before doing anything . You mentioned that you were willing to pay penalties and taxes , so I 'm assuming that there is a pressing need for cash , or a great dislike for the policy/agent/company that has caused you to decide to gut your annuity ? If so , I 'd again advise caution . If you surrender your annuity , and it was meant to fuel your retirement , what is your plan to replace it ? Will you end up suffering for many years for a temporary hardship if you surrender the annuity ? Maybe it might be wiser to see what cash withdrawal you can make from the annuity without fees -LRB- you are allowed a certain amount without penalties or fees , and more if you are willing to pay any surrender fees that may still be applicable -RRB- and leave the annuity intact ; you may also want to look at borrowing from a cash value of any whole life policy that you may have , as that also is a quick and relatively painless way to get cash . If your heart is set upon surrendering it , please bear in mind that there will be a 10 % penalty , possible surrender fees , and a major tax bite from the amount that you might expect to get . Please assume that if you are lucky , you will recieve roughly half of what you are expecting to receive , depending upon your tax bracket . This type of investment is designed specifically for saving , and stopping the process is very costly . To start the process , contact your agent who sold you the annuity , or the plan administrator , and tell them of your intentions . If you would like to discuss this further , please do not hesitate to contact me , okay ? I 'd be happy to help . Good luck , and thank you for asking !</x:v>
      </x:c>
      <x:c r="H29" s="10" t="str">
        <x:v>That is a great question ! I 'd strongly advise that you check with your annuity 's agent or your tax adviser before doing anything . You mentioned that you were willing to pay penalties and taxes , so I 'm assuming that there is a pressing need for cash , or a great dislike for the policy/agent/company that has caused you to decide to gut your annuity ? If so , I 'd again advise caution . If you surrender your annuity , and it was meant to fuel your retirement , what is your plan to replace it ? Will you end up suffering for many years for a temporary hardship if you surrender the annuity ? Maybe it might be wiser to see what cash withdrawal you can make from the annuity without fees -LRB- you are allowed a certain amount without penalties or fees , and more if you are willing to pay any surrender fees that may still be applicable -RRB- and leave the annuity intact ; you may also want to look at borrowing from a cash value of any whole life policy that you may have , as that also is a quick and relatively painless way to get cash . If your heart is set upon surrendering it , please bear in mind that there will be a 10 % penalty , possible surrender fees , and a major tax bite from the amount that you might expect to get . Please assume that if you are lucky , you will recieve roughly half of what you are expecting to receive , depending upon your tax bracket . This type of investment is designed specifically for saving , and stopping the process is very costly . To start the process , contact your agent who sold you the annuity , or the plan administrator , and tell them of your intentions . If you would like to discuss this further , please do not hesitate to contact me , okay ? I 'd be happy to help . Good luck , and thank you for asking !</x:v>
      </x:c>
      <x:c r="I29" s="8" t="str">
        <x:v>life</x:v>
      </x:c>
      <x:c r="J29" s="8" t="str">
        <x:v>CALIBRATION</x:v>
      </x:c>
      <x:c r="K29" s="10" t="str"/>
      <x:c r="L29" s="12" t="str"/>
      <x:c r="M29" s="12" t="str"/>
      <x:c r="N29" s="12" t="str"/>
      <x:c r="O29" s="12" t="str"/>
      <x:c r="P29" s="12" t="str"/>
    </x:row>
    <x:row r="30">
      <x:c r="A30" s="8" t="str">
        <x:v>ext-iqa-pass-029</x:v>
      </x:c>
      <x:c r="B30" s="8" t="str">
        <x:v>insuranceqa</x:v>
      </x:c>
      <x:c r="C30" s="8" t="str">
        <x:v>data/benchmarks/qa/insuranceqa/data_insuranceqa_1000.jsonl</x:v>
      </x:c>
      <x:c r="D30" s="8" t="str">
        <x:v>insuranceqa:765</x:v>
      </x:c>
      <x:c r="E30" s="8" t="str"/>
      <x:c r="F30" s="10" t="str">
        <x:v>What Good Is Long Term Care Insurance?</x:v>
      </x:c>
      <x:c r="G30" s="10" t="str">
        <x:v>Question: What Good Is Long Term Care Insurance?
Answer: A long term care policy is only as good as the contract stipulates . And the contract is only as good as the insurance company that issued the policy . But long term care insurance can fund periods of assisted living and/or nursing home care , that can be very expensive . It 's part of defensive retirement planning .</x:v>
      </x:c>
      <x:c r="H30" s="10" t="str">
        <x:v>A long term care policy is only as good as the contract stipulates . And the contract is only as good as the insurance company that issued the policy . But long term care insurance can fund periods of assisted living and/or nursing home care , that can be very expensive . It 's part of defensive retirement planning .</x:v>
      </x:c>
      <x:c r="I30" s="8" t="str">
        <x:v>general_insurance</x:v>
      </x:c>
      <x:c r="J30" s="8" t="str">
        <x:v>LOCKED_HOLDOUT_CANDIDATE</x:v>
      </x:c>
      <x:c r="K30" s="10" t="str"/>
      <x:c r="L30" s="12" t="str"/>
      <x:c r="M30" s="12" t="str"/>
      <x:c r="N30" s="12" t="str"/>
      <x:c r="O30" s="12" t="str"/>
      <x:c r="P30" s="12" t="str"/>
    </x:row>
    <x:row r="31">
      <x:c r="A31" s="8" t="str">
        <x:v>ext-iqa-pass-030</x:v>
      </x:c>
      <x:c r="B31" s="8" t="str">
        <x:v>insuranceqa</x:v>
      </x:c>
      <x:c r="C31" s="8" t="str">
        <x:v>data/benchmarks/qa/insuranceqa/data_insuranceqa_1000.jsonl</x:v>
      </x:c>
      <x:c r="D31" s="8" t="str">
        <x:v>insuranceqa:893</x:v>
      </x:c>
      <x:c r="E31" s="8" t="str"/>
      <x:c r="F31" s="10" t="str">
        <x:v>Where Can I Buy Disability Insurance?</x:v>
      </x:c>
      <x:c r="G31" s="10" t="str">
        <x:v>Question: Where Can I Buy Disability Insurance?
Answer: Disability insurance can be purchased from a variety of companies . You may apply online , call a company direct or purchase it from your local insurance agent . However , it truly is one of the complex insurance policies on the market . I recommend using an experienced disability insurance broker to shop the market to find the best product at the best price for your unique situation .</x:v>
      </x:c>
      <x:c r="H31" s="10" t="str">
        <x:v>Disability insurance can be purchased from a variety of companies . You may apply online , call a company direct or purchase it from your local insurance agent . However , it truly is one of the complex insurance policies on the market . I recommend using an experienced disability insurance broker to shop the market to find the best product at the best price for your unique situation .</x:v>
      </x:c>
      <x:c r="I31" s="8" t="str">
        <x:v>health</x:v>
      </x:c>
      <x:c r="J31" s="8" t="str">
        <x:v>VALIDATION</x:v>
      </x:c>
      <x:c r="K31" s="10" t="str"/>
      <x:c r="L31" s="12" t="str"/>
      <x:c r="M31" s="12" t="str"/>
      <x:c r="N31" s="12" t="str"/>
      <x:c r="O31" s="12" t="str"/>
      <x:c r="P31" s="12" t="str"/>
    </x:row>
    <x:row r="32">
      <x:c r="A32" s="8" t="str">
        <x:v>ext-iqa-pass-031</x:v>
      </x:c>
      <x:c r="B32" s="8" t="str">
        <x:v>insuranceqa</x:v>
      </x:c>
      <x:c r="C32" s="8" t="str">
        <x:v>data/benchmarks/qa/insuranceqa/data_insuranceqa_1000.jsonl</x:v>
      </x:c>
      <x:c r="D32" s="8" t="str">
        <x:v>insuranceqa:274</x:v>
      </x:c>
      <x:c r="E32" s="8" t="str"/>
      <x:c r="F32" s="10" t="str">
        <x:v>What Feature Is Unique To Annuities?</x:v>
      </x:c>
      <x:c r="G32" s="10" t="str">
        <x:v>Question: What Feature Is Unique To Annuities?
Answer: The key features unique to Annuities are : # 1 interest earned is not taxed throughout the accumulation period . # 2 . Distributions are fully guaranteed and have multiple options such as period certain , lifetime of the annuitant among others # 3 . Unlike qualified plans such as an IRA , an annuity owner can also chose to not take distributions and let the funds in the annuity pass directly to their beneficiary . Other products have some of the features of annuities however only annuities combine the features outlined here . .</x:v>
      </x:c>
      <x:c r="H32" s="10" t="str">
        <x:v>The key features unique to Annuities are : # 1 interest earned is not taxed throughout the accumulation period . # 2 . Distributions are fully guaranteed and have multiple options such as period certain , lifetime of the annuitant among others # 3 . Unlike qualified plans such as an IRA , an annuity owner can also chose to not take distributions and let the funds in the annuity pass directly to their beneficiary . Other products have some of the features of annuities however only annuities combine the features outlined here . .</x:v>
      </x:c>
      <x:c r="I32" s="8" t="str">
        <x:v>general_insurance</x:v>
      </x:c>
      <x:c r="J32" s="8" t="str">
        <x:v>LOCKED_HOLDOUT_CANDIDATE</x:v>
      </x:c>
      <x:c r="K32" s="10" t="str"/>
      <x:c r="L32" s="12" t="str"/>
      <x:c r="M32" s="12" t="str"/>
      <x:c r="N32" s="12" t="str"/>
      <x:c r="O32" s="12" t="str"/>
      <x:c r="P32" s="12" t="str"/>
    </x:row>
    <x:row r="33">
      <x:c r="A33" s="8" t="str">
        <x:v>ext-iqa-pass-032</x:v>
      </x:c>
      <x:c r="B33" s="8" t="str">
        <x:v>insuranceqa</x:v>
      </x:c>
      <x:c r="C33" s="8" t="str">
        <x:v>data/benchmarks/qa/insuranceqa/data_insuranceqa_1000.jsonl</x:v>
      </x:c>
      <x:c r="D33" s="8" t="str">
        <x:v>insuranceqa:905</x:v>
      </x:c>
      <x:c r="E33" s="8" t="str"/>
      <x:c r="F33" s="10" t="str">
        <x:v>What Is The Waiting Period For Disability Insurance?</x:v>
      </x:c>
      <x:c r="G33" s="10" t="str">
        <x:v>Question: What Is The Waiting Period For Disability Insurance?
Answer: The waiting period , also known as the elimination period , varies from plan to plan . For short term disability insurance , the common elimination periods are 7 and 14 days . For long term disability insurance , the most favorable ep is 90 days , but some policies are written with 180 or even 365 eps . The longer eps are usually to offset the cost as it 's cheaper when the waiting period is longer .</x:v>
      </x:c>
      <x:c r="H33" s="10" t="str">
        <x:v>The waiting period , also known as the elimination period , varies from plan to plan . For short term disability insurance , the common elimination periods are 7 and 14 days . For long term disability insurance , the most favorable ep is 90 days , but some policies are written with 180 or even 365 eps . The longer eps are usually to offset the cost as it 's cheaper when the waiting period is longer .</x:v>
      </x:c>
      <x:c r="I33" s="8" t="str">
        <x:v>health</x:v>
      </x:c>
      <x:c r="J33" s="8" t="str">
        <x:v>LOCKED_HOLDOUT_CANDIDATE</x:v>
      </x:c>
      <x:c r="K33" s="10" t="str"/>
      <x:c r="L33" s="12" t="str"/>
      <x:c r="M33" s="12" t="str"/>
      <x:c r="N33" s="12" t="str"/>
      <x:c r="O33" s="12" t="str"/>
      <x:c r="P33" s="12" t="str"/>
    </x:row>
    <x:row r="34">
      <x:c r="A34" s="8" t="str">
        <x:v>ext-iqa-pass-033</x:v>
      </x:c>
      <x:c r="B34" s="8" t="str">
        <x:v>insuranceqa</x:v>
      </x:c>
      <x:c r="C34" s="8" t="str">
        <x:v>data/benchmarks/qa/insuranceqa/data_insuranceqa_1000.jsonl</x:v>
      </x:c>
      <x:c r="D34" s="8" t="str">
        <x:v>insuranceqa:885</x:v>
      </x:c>
      <x:c r="E34" s="8" t="str"/>
      <x:c r="F34" s="10" t="str">
        <x:v>Can I Get Life Insurance After A Stroke?</x:v>
      </x:c>
      <x:c r="G34" s="10" t="str">
        <x:v>Question: Can I Get Life Insurance After A Stroke?
Answer: If you have had one stroke that had minimal effects and several years have passed since having the stroke , you may be able to get a medically underwritten policy of any amount for which you financially qualify , with immediate death benefit . If your stroke impacted your health enough that you needed to go on Disability but you are still able to do all your own activities of daily living and walk without personal assistance -LRB- can or walker is OK -RRB- , then there are a number of simplified issue policies that may or not be graded , that you can get . If your stroke caused you to require use of a wheelchair , home health or nursing home care -LRB- inability to do your own ADL 's -RRB- , or causes significant confusion , then guaranteed issue policies are available to most people . These are more restrictive in features than the other policies , but are available for final expense purposes . Contact an impaired risk underwriting agency that carries all these types of policies and understands life insurance underwriting for stroke , and you will get your best price .</x:v>
      </x:c>
      <x:c r="H34" s="10" t="str">
        <x:v>If you have had one stroke that had minimal effects and several years have passed since having the stroke , you may be able to get a medically underwritten policy of any amount for which you financially qualify , with immediate death benefit . If your stroke impacted your health enough that you needed to go on Disability but you are still able to do all your own activities of daily living and walk without personal assistance -LRB- can or walker is OK -RRB- , then there are a number of simplified issue policies that may or not be graded , that you can get . If your stroke caused you to require use of a wheelchair , home health or nursing home care -LRB- inability to do your own ADL 's -RRB- , or causes significant confusion , then guaranteed issue policies are available to most people . These are more restrictive in features than the other policies , but are available for final expense purposes . Contact an impaired risk underwriting agency that carries all these types of policies and understands life insurance underwriting for stroke , and you will get your best price .</x:v>
      </x:c>
      <x:c r="I34" s="8" t="str">
        <x:v>life</x:v>
      </x:c>
      <x:c r="J34" s="8" t="str">
        <x:v>CALIBRATION</x:v>
      </x:c>
      <x:c r="K34" s="10" t="str"/>
      <x:c r="L34" s="12" t="str"/>
      <x:c r="M34" s="12" t="str"/>
      <x:c r="N34" s="12" t="str"/>
      <x:c r="O34" s="12" t="str"/>
      <x:c r="P34" s="12" t="str"/>
    </x:row>
    <x:row r="35">
      <x:c r="A35" s="8" t="str">
        <x:v>ext-iqa-pass-034</x:v>
      </x:c>
      <x:c r="B35" s="8" t="str">
        <x:v>insuranceqa</x:v>
      </x:c>
      <x:c r="C35" s="8" t="str">
        <x:v>data/benchmarks/qa/insuranceqa/data_insuranceqa_1000.jsonl</x:v>
      </x:c>
      <x:c r="D35" s="8" t="str">
        <x:v>insuranceqa:197</x:v>
      </x:c>
      <x:c r="E35" s="8" t="str"/>
      <x:c r="F35" s="10" t="str">
        <x:v>How Much Does It Cost For Level Term Life Insurance?</x:v>
      </x:c>
      <x:c r="G35" s="10" t="str">
        <x:v>Question: How Much Does It Cost For Level Term Life Insurance?
Answer: There is no one set cost to level Term Life Insurance . However , a rule of thumb is , the longer the term , the higher the premium . That is because the insurance companies average out what the policy would cost at your starting age , and the cost of insurance for the ending age of the term policy you chose . If you took out a 10 year Term policy at age 35 , the policy will end -LRB- or the price will go up drastically -RRB- at your age 45 . Mortality rates are not real high at age 45 , so the premium will be relatively low . If you locked that premium in for 30 years , the policy will end at your age 65 , which is when mortality rates are much higher . Therefore , the premium will be higher . However , the premium you have locked in is based on your health at age 35 . And that can make it be a very good deal .</x:v>
      </x:c>
      <x:c r="H35" s="10" t="str">
        <x:v>There is no one set cost to level Term Life Insurance . However , a rule of thumb is , the longer the term , the higher the premium . That is because the insurance companies average out what the policy would cost at your starting age , and the cost of insurance for the ending age of the term policy you chose . If you took out a 10 year Term policy at age 35 , the policy will end -LRB- or the price will go up drastically -RRB- at your age 45 . Mortality rates are not real high at age 45 , so the premium will be relatively low . If you locked that premium in for 30 years , the policy will end at your age 65 , which is when mortality rates are much higher . Therefore , the premium will be higher . However , the premium you have locked in is based on your health at age 35 . And that can make it be a very good deal .</x:v>
      </x:c>
      <x:c r="I35" s="8" t="str">
        <x:v>life</x:v>
      </x:c>
      <x:c r="J35" s="8" t="str">
        <x:v>CALIBRATION</x:v>
      </x:c>
      <x:c r="K35" s="10" t="str"/>
      <x:c r="L35" s="12" t="str"/>
      <x:c r="M35" s="12" t="str"/>
      <x:c r="N35" s="12" t="str"/>
      <x:c r="O35" s="12" t="str"/>
      <x:c r="P35" s="12" t="str"/>
    </x:row>
    <x:row r="36">
      <x:c r="A36" s="8" t="str">
        <x:v>ext-iqa-pass-035</x:v>
      </x:c>
      <x:c r="B36" s="8" t="str">
        <x:v>insuranceqa</x:v>
      </x:c>
      <x:c r="C36" s="8" t="str">
        <x:v>data/benchmarks/qa/insuranceqa/data_insuranceqa_1000.jsonl</x:v>
      </x:c>
      <x:c r="D36" s="8" t="str">
        <x:v>insuranceqa:836</x:v>
      </x:c>
      <x:c r="E36" s="8" t="str"/>
      <x:c r="F36" s="10" t="str">
        <x:v>Will Medicare Pay For Hospice?</x:v>
      </x:c>
      <x:c r="G36" s="10" t="str">
        <x:v>Question: Will Medicare Pay For Hospice?
Answer: That is a great question , and one with a great answer ! Yes , Medicare Part A pays for end of life treatment . You will need a Doctor 's certification that your loved one is expected to pass within 6 months , and that no further restorative procedures are to be implemented . It does n't matter if the hospice care is given in your home , or a facility , as long as it is Medicare approved . You may also need a living will , or something similar to qualify . It will also pay for up to 5 days of respite care , if you need to take a break . Thanks for asking !</x:v>
      </x:c>
      <x:c r="H36" s="10" t="str">
        <x:v>That is a great question , and one with a great answer ! Yes , Medicare Part A pays for end of life treatment . You will need a Doctor 's certification that your loved one is expected to pass within 6 months , and that no further restorative procedures are to be implemented . It does n't matter if the hospice care is given in your home , or a facility , as long as it is Medicare approved . You may also need a living will , or something similar to qualify . It will also pay for up to 5 days of respite care , if you need to take a break . Thanks for asking !</x:v>
      </x:c>
      <x:c r="I36" s="8" t="str">
        <x:v>health</x:v>
      </x:c>
      <x:c r="J36" s="8" t="str">
        <x:v>CALIBRATION</x:v>
      </x:c>
      <x:c r="K36" s="10" t="str"/>
      <x:c r="L36" s="12" t="str"/>
      <x:c r="M36" s="12" t="str"/>
      <x:c r="N36" s="12" t="str"/>
      <x:c r="O36" s="12" t="str"/>
      <x:c r="P36" s="12" t="str"/>
    </x:row>
    <x:row r="37">
      <x:c r="A37" s="8" t="str">
        <x:v>ext-iqa-pass-036</x:v>
      </x:c>
      <x:c r="B37" s="8" t="str">
        <x:v>insuranceqa</x:v>
      </x:c>
      <x:c r="C37" s="8" t="str">
        <x:v>data/benchmarks/qa/insuranceqa/data_insuranceqa_1000.jsonl</x:v>
      </x:c>
      <x:c r="D37" s="8" t="str">
        <x:v>insuranceqa:588</x:v>
      </x:c>
      <x:c r="E37" s="8" t="str"/>
      <x:c r="F37" s="10" t="str">
        <x:v>How Much Does Life Insurance Underwriters Make?</x:v>
      </x:c>
      <x:c r="G37" s="10" t="str">
        <x:v>Question: How Much Does Life Insurance Underwriters Make?
Answer: Life insurance underwriters are generally paid on the basis of the amount of insurance they are permitted to underwrite , i.e. a $ 500,000 authority may define a `` junior '' underwriter who can make $ 50,000 to $ 75,000 . A senior underwriter with seasoned experience is going to make a six figure income . Senior underwriters who also are MDs can make considerably more ,</x:v>
      </x:c>
      <x:c r="H37" s="10" t="str">
        <x:v>Life insurance underwriters are generally paid on the basis of the amount of insurance they are permitted to underwrite , i.e. a $ 500,000 authority may define a `` junior '' underwriter who can make $ 50,000 to $ 75,000 . A senior underwriter with seasoned experience is going to make a six figure income . Senior underwriters who also are MDs can make considerably more ,</x:v>
      </x:c>
      <x:c r="I37" s="8" t="str">
        <x:v>life</x:v>
      </x:c>
      <x:c r="J37" s="8" t="str">
        <x:v>LOCKED_HOLDOUT_CANDIDATE</x:v>
      </x:c>
      <x:c r="K37" s="10" t="str"/>
      <x:c r="L37" s="12" t="str"/>
      <x:c r="M37" s="12" t="str"/>
      <x:c r="N37" s="12" t="str"/>
      <x:c r="O37" s="12" t="str"/>
      <x:c r="P37" s="12" t="str"/>
    </x:row>
    <x:row r="38">
      <x:c r="A38" s="8" t="str">
        <x:v>ext-iqa-pass-037</x:v>
      </x:c>
      <x:c r="B38" s="8" t="str">
        <x:v>insuranceqa</x:v>
      </x:c>
      <x:c r="C38" s="8" t="str">
        <x:v>data/benchmarks/qa/insuranceqa/data_insuranceqa_1000.jsonl</x:v>
      </x:c>
      <x:c r="D38" s="8" t="str">
        <x:v>insuranceqa:545</x:v>
      </x:c>
      <x:c r="E38" s="8" t="str"/>
      <x:c r="F38" s="10" t="str">
        <x:v>What Is The Best Medicare Plan In California?</x:v>
      </x:c>
      <x:c r="G38" s="10" t="str">
        <x:v>Question: What Is The Best Medicare Plan In California?
Answer: California has a lot of good Medicare plans , and there is surely one that is `` best '' for you . Medicare insurance rates vary greatly by age , tobacco use , zip code and plan design . The older you are the higher your Medicare supplement rate will be . The exception is for those who are under age 65 and on disability and Medicare . In most states rates for under age 65 are astronomical . Tobacco use often adds 20 % to the rate but can be more , depending on the carrier . Online sites offering instant Medicare plan rates can be helpful but if you want the lowest rates you need to talk to an independent Medicare agent .</x:v>
      </x:c>
      <x:c r="H38" s="10" t="str">
        <x:v>California has a lot of good Medicare plans , and there is surely one that is `` best '' for you . Medicare insurance rates vary greatly by age , tobacco use , zip code and plan design . The older you are the higher your Medicare supplement rate will be . The exception is for those who are under age 65 and on disability and Medicare . In most states rates for under age 65 are astronomical . Tobacco use often adds 20 % to the rate but can be more , depending on the carrier . Online sites offering instant Medicare plan rates can be helpful but if you want the lowest rates you need to talk to an independent Medicare agent .</x:v>
      </x:c>
      <x:c r="I38" s="8" t="str">
        <x:v>health</x:v>
      </x:c>
      <x:c r="J38" s="8" t="str">
        <x:v>CALIBRATION</x:v>
      </x:c>
      <x:c r="K38" s="10" t="str"/>
      <x:c r="L38" s="12" t="str"/>
      <x:c r="M38" s="12" t="str"/>
      <x:c r="N38" s="12" t="str"/>
      <x:c r="O38" s="12" t="str"/>
      <x:c r="P38" s="12" t="str"/>
    </x:row>
    <x:row r="39">
      <x:c r="A39" s="8" t="str">
        <x:v>ext-iqa-pass-038</x:v>
      </x:c>
      <x:c r="B39" s="8" t="str">
        <x:v>insuranceqa</x:v>
      </x:c>
      <x:c r="C39" s="8" t="str">
        <x:v>data/benchmarks/qa/insuranceqa/data_insuranceqa_1000.jsonl</x:v>
      </x:c>
      <x:c r="D39" s="8" t="str">
        <x:v>insuranceqa:487</x:v>
      </x:c>
      <x:c r="E39" s="8" t="str"/>
      <x:c r="F39" s="10" t="str">
        <x:v>At What Age Can You Collect Medicare?</x:v>
      </x:c>
      <x:c r="G39" s="10" t="str">
        <x:v>Question: At What Age Can You Collect Medicare?
Answer: You can collect Medicare Part A and Part B at age 65 if you or your spouse has paid Medicare taxes for at least 40 quarters . You can collect Medicare under age 65 if you have been receiving Social Security Disability benefits for 24 months , and in several other circumstances .</x:v>
      </x:c>
      <x:c r="H39" s="10" t="str">
        <x:v>You can collect Medicare Part A and Part B at age 65 if you or your spouse has paid Medicare taxes for at least 40 quarters . You can collect Medicare under age 65 if you have been receiving Social Security Disability benefits for 24 months , and in several other circumstances .</x:v>
      </x:c>
      <x:c r="I39" s="8" t="str">
        <x:v>health</x:v>
      </x:c>
      <x:c r="J39" s="8" t="str">
        <x:v>CALIBRATION</x:v>
      </x:c>
      <x:c r="K39" s="10" t="str"/>
      <x:c r="L39" s="12" t="str"/>
      <x:c r="M39" s="12" t="str"/>
      <x:c r="N39" s="12" t="str"/>
      <x:c r="O39" s="12" t="str"/>
      <x:c r="P39" s="12" t="str"/>
    </x:row>
    <x:row r="40">
      <x:c r="A40" s="8" t="str">
        <x:v>ext-iqa-pass-039</x:v>
      </x:c>
      <x:c r="B40" s="8" t="str">
        <x:v>insuranceqa</x:v>
      </x:c>
      <x:c r="C40" s="8" t="str">
        <x:v>data/benchmarks/qa/insuranceqa/data_insuranceqa_1000.jsonl</x:v>
      </x:c>
      <x:c r="D40" s="8" t="str">
        <x:v>insuranceqa:438</x:v>
      </x:c>
      <x:c r="E40" s="8" t="str"/>
      <x:c r="F40" s="10" t="str">
        <x:v>How Would You Calculate The Expected Return On A Life Insurance Policy?</x:v>
      </x:c>
      <x:c r="G40" s="10" t="str">
        <x:v>Question: How Would You Calculate The Expected Return On A Life Insurance Policy?
Answer: Before you break out your HP12c calculator , consider this . Almost all proposals illustrate internal rate of return on both death benefit and cash values . If you have an existing life insurance policy you can order whats called an in force ledger and request the internal rate of return on both death benefit and cash values .</x:v>
      </x:c>
      <x:c r="H40" s="10" t="str">
        <x:v>Before you break out your HP12c calculator , consider this . Almost all proposals illustrate internal rate of return on both death benefit and cash values . If you have an existing life insurance policy you can order whats called an in force ledger and request the internal rate of return on both death benefit and cash values .</x:v>
      </x:c>
      <x:c r="I40" s="8" t="str">
        <x:v>life</x:v>
      </x:c>
      <x:c r="J40" s="8" t="str">
        <x:v>LOCKED_HOLDOUT_CANDIDATE</x:v>
      </x:c>
      <x:c r="K40" s="10" t="str"/>
      <x:c r="L40" s="12" t="str"/>
      <x:c r="M40" s="12" t="str"/>
      <x:c r="N40" s="12" t="str"/>
      <x:c r="O40" s="12" t="str"/>
      <x:c r="P40" s="12" t="str"/>
    </x:row>
    <x:row r="41">
      <x:c r="A41" s="8" t="str">
        <x:v>ext-iqa-pass-040</x:v>
      </x:c>
      <x:c r="B41" s="8" t="str">
        <x:v>insuranceqa</x:v>
      </x:c>
      <x:c r="C41" s="8" t="str">
        <x:v>data/benchmarks/qa/insuranceqa/data_insuranceqa_1000.jsonl</x:v>
      </x:c>
      <x:c r="D41" s="8" t="str">
        <x:v>insuranceqa:263</x:v>
      </x:c>
      <x:c r="E41" s="8" t="str"/>
      <x:c r="F41" s="10" t="str">
        <x:v>Is Mutual Fund Better Than Stock?</x:v>
      </x:c>
      <x:c r="G41" s="10" t="str">
        <x:v>Question: Is Mutual Fund Better Than Stock?
Answer: A mutual fund is a share in an investment company . According to the prospectus it invests the funds using a particular investment strategy . The fund is generally quite diversified reducing the risk of a particular security suffering a great loss . At the same time this diversity dampens the effect of a particular security contained in the fund experiencing enormous gains . The mutually fund is generally viewed as being less volatile and more diversified .</x:v>
      </x:c>
      <x:c r="H41" s="10" t="str">
        <x:v>A mutual fund is a share in an investment company . According to the prospectus it invests the funds using a particular investment strategy . The fund is generally quite diversified reducing the risk of a particular security suffering a great loss . At the same time this diversity dampens the effect of a particular security contained in the fund experiencing enormous gains . The mutually fund is generally viewed as being less volatile and more diversified .</x:v>
      </x:c>
      <x:c r="I41" s="8" t="str">
        <x:v>general_insurance</x:v>
      </x:c>
      <x:c r="J41" s="8" t="str">
        <x:v>VALIDATION</x:v>
      </x:c>
      <x:c r="K41" s="10" t="str"/>
      <x:c r="L41" s="12" t="str"/>
      <x:c r="M41" s="12" t="str"/>
      <x:c r="N41" s="12" t="str"/>
      <x:c r="O41" s="12" t="str"/>
      <x:c r="P41" s="12" t="str"/>
    </x:row>
    <x:row r="42">
      <x:c r="A42" s="8" t="str">
        <x:v>ext-iqa-pass-041</x:v>
      </x:c>
      <x:c r="B42" s="8" t="str">
        <x:v>insuranceqa</x:v>
      </x:c>
      <x:c r="C42" s="8" t="str">
        <x:v>data/benchmarks/qa/insuranceqa/data_insuranceqa_1000.jsonl</x:v>
      </x:c>
      <x:c r="D42" s="8" t="str">
        <x:v>insuranceqa:349</x:v>
      </x:c>
      <x:c r="E42" s="8" t="str"/>
      <x:c r="F42" s="10" t="str">
        <x:v>Is Zostavax Covered By Medicare?</x:v>
      </x:c>
      <x:c r="G42" s="10" t="str">
        <x:v>Question: Is Zostavax Covered By Medicare?
Answer: It will depend on the prescription drug plan you are in . Medicare only covers certain injectable , chemotherapy drugs under Part B . The best way to find out which plan covers your drugs is to go to Medicare.Gov and look under find Medicare Plans . If you have a problem doing this a good agent can help walk you through the process or look them up for you . If you have a prescription drug plan , you should have received a copy of their formulary . If not go on the company website and you can usually find out that way , or call the customer service number on the back of your card .</x:v>
      </x:c>
      <x:c r="H42" s="10" t="str">
        <x:v>Based on the supplied context, it will depend on the prescription drug plan you are in . Medicare only covers certain injectable , chemotherapy drugs under Part B . The best way to find out which plan covers your drugs is to go to Medicare.Gov and look under find Medicare Plans . If you have a problem doing this a good agent can help walk you through the process or look them up for you . If you have a prescription drug plan , you should have received a copy of their formulary . If not go on the company website and you can usually find out that way , or call the customer service number on the back of your card .</x:v>
      </x:c>
      <x:c r="I42" s="8" t="str">
        <x:v>health</x:v>
      </x:c>
      <x:c r="J42" s="8" t="str">
        <x:v>VALIDATION</x:v>
      </x:c>
      <x:c r="K42" s="10" t="str"/>
      <x:c r="L42" s="12" t="str"/>
      <x:c r="M42" s="12" t="str"/>
      <x:c r="N42" s="12" t="str"/>
      <x:c r="O42" s="12" t="str"/>
      <x:c r="P42" s="12" t="str"/>
    </x:row>
    <x:row r="43">
      <x:c r="A43" s="8" t="str">
        <x:v>ext-iqa-pass-042</x:v>
      </x:c>
      <x:c r="B43" s="8" t="str">
        <x:v>insuranceqa</x:v>
      </x:c>
      <x:c r="C43" s="8" t="str">
        <x:v>data/benchmarks/qa/insuranceqa/data_insuranceqa_1000.jsonl</x:v>
      </x:c>
      <x:c r="D43" s="8" t="str">
        <x:v>insuranceqa:344</x:v>
      </x:c>
      <x:c r="E43" s="8" t="str"/>
      <x:c r="F43" s="10" t="str">
        <x:v>Does Medicare Cover Viagra Cialis?</x:v>
      </x:c>
      <x:c r="G43" s="10" t="str">
        <x:v>Question: Does Medicare Cover Viagra Cialis?
Answer: Medicare does not pay for Viagra , Cialis , Levitra or other erectile dysfunction drugs . They are not covered in Part B Medicare and excluded by Part D Medicare Drug Plans . The coverage ended in 2006 , when Congress determined them `` lifestyle '' drugs instead of medically necessary drugs . Since then , penile vacuum pumps , or , if those are ineffective , implanted penile inflation devices , are the only treatments for erectile dysfunction that are covered by Medicare .</x:v>
      </x:c>
      <x:c r="H43" s="10" t="str">
        <x:v>Based on the supplied context, medicare does not pay for Viagra , Cialis , Levitra or other erectile dysfunction drugs . They are not covered in Part B Medicare and excluded by Part D Medicare Drug Plans . The coverage ended in 2006 , when Congress determined them `` lifestyle '' drugs instead of medically necessary drugs . Since then , penile vacuum pumps , or , if those are ineffective , implanted penile inflation devices , are the only treatments for erectile dysfunction that are covered by Medicare .</x:v>
      </x:c>
      <x:c r="I43" s="8" t="str">
        <x:v>health</x:v>
      </x:c>
      <x:c r="J43" s="8" t="str">
        <x:v>VALIDATION</x:v>
      </x:c>
      <x:c r="K43" s="10" t="str"/>
      <x:c r="L43" s="12" t="str"/>
      <x:c r="M43" s="12" t="str"/>
      <x:c r="N43" s="12" t="str"/>
      <x:c r="O43" s="12" t="str"/>
      <x:c r="P43" s="12" t="str"/>
    </x:row>
    <x:row r="44">
      <x:c r="A44" s="8" t="str">
        <x:v>ext-iqa-pass-043</x:v>
      </x:c>
      <x:c r="B44" s="8" t="str">
        <x:v>insuranceqa</x:v>
      </x:c>
      <x:c r="C44" s="8" t="str">
        <x:v>data/benchmarks/qa/insuranceqa/data_insuranceqa_1000.jsonl</x:v>
      </x:c>
      <x:c r="D44" s="8" t="str">
        <x:v>insuranceqa:525</x:v>
      </x:c>
      <x:c r="E44" s="8" t="str"/>
      <x:c r="F44" s="10" t="str">
        <x:v>Which Section Of Medicare Pays For Ambulatory Service?</x:v>
      </x:c>
      <x:c r="G44" s="10" t="str">
        <x:v>Question: Which Section Of Medicare Pays For Ambulatory Service?
Answer: Medicare Part B will cover ambulance services that are medically necessary . Even though original Medicare does not have networks , you need to understand that Medicare has a fee schedule for things such as medical transport companies . What Medicare is willing to pay for ambulance transport may not be enough to satisfy the bill presented by the ambulance company .</x:v>
      </x:c>
      <x:c r="H44" s="10" t="str">
        <x:v>Based on the supplied context, medicare Part B will cover ambulance services that are medically necessary . Even though original Medicare does not have networks , you need to understand that Medicare has a fee schedule for things such as medical transport companies . What Medicare is willing to pay for ambulance transport may not be enough to satisfy the bill presented by the ambulance company .</x:v>
      </x:c>
      <x:c r="I44" s="8" t="str">
        <x:v>health</x:v>
      </x:c>
      <x:c r="J44" s="8" t="str">
        <x:v>VALIDATION</x:v>
      </x:c>
      <x:c r="K44" s="10" t="str"/>
      <x:c r="L44" s="12" t="str"/>
      <x:c r="M44" s="12" t="str"/>
      <x:c r="N44" s="12" t="str"/>
      <x:c r="O44" s="12" t="str"/>
      <x:c r="P44" s="12" t="str"/>
    </x:row>
    <x:row r="45">
      <x:c r="A45" s="8" t="str">
        <x:v>ext-iqa-pass-044</x:v>
      </x:c>
      <x:c r="B45" s="8" t="str">
        <x:v>insuranceqa</x:v>
      </x:c>
      <x:c r="C45" s="8" t="str">
        <x:v>data/benchmarks/qa/insuranceqa/data_insuranceqa_1000.jsonl</x:v>
      </x:c>
      <x:c r="D45" s="8" t="str">
        <x:v>insuranceqa:371</x:v>
      </x:c>
      <x:c r="E45" s="8" t="str"/>
      <x:c r="F45" s="10" t="str">
        <x:v>What Is The Benefit Of Renters Insurance?</x:v>
      </x:c>
      <x:c r="G45" s="10" t="str">
        <x:v>Question: What Is The Benefit Of Renters Insurance?
Answer: Renters insurance is for renters of homes and apartments as house insurance is for those who own the house . Renters insurance protects YOUR property if there is a loss from say a fire . The biggest issue is what kind of policy you have . Does your insurance give yoy replacement cost or just current value . There is a big difference . Think about what you stuff costs today versus purchasing brand new .</x:v>
      </x:c>
      <x:c r="H45" s="10" t="str">
        <x:v>Based on the supplied context, renters insurance is for renters of homes and apartments as house insurance is for those who own the house . Renters insurance protects YOUR property if there is a loss from say a fire . The biggest issue is what kind of policy you have . Does your insurance give yoy replacement cost or just current value . There is a big difference . Think about what you stuff costs today versus purchasing brand new .</x:v>
      </x:c>
      <x:c r="I45" s="8" t="str">
        <x:v>household</x:v>
      </x:c>
      <x:c r="J45" s="8" t="str">
        <x:v>VALIDATION</x:v>
      </x:c>
      <x:c r="K45" s="10" t="str"/>
      <x:c r="L45" s="12" t="str"/>
      <x:c r="M45" s="12" t="str"/>
      <x:c r="N45" s="12" t="str"/>
      <x:c r="O45" s="12" t="str"/>
      <x:c r="P45" s="12" t="str"/>
    </x:row>
    <x:row r="46">
      <x:c r="A46" s="8" t="str">
        <x:v>ext-iqa-pass-045</x:v>
      </x:c>
      <x:c r="B46" s="8" t="str">
        <x:v>insuranceqa</x:v>
      </x:c>
      <x:c r="C46" s="8" t="str">
        <x:v>data/benchmarks/qa/insuranceqa/data_insuranceqa_1000.jsonl</x:v>
      </x:c>
      <x:c r="D46" s="8" t="str">
        <x:v>insuranceqa:357</x:v>
      </x:c>
      <x:c r="E46" s="8" t="str"/>
      <x:c r="F46" s="10" t="str">
        <x:v>Is travel insurance worth the money?</x:v>
      </x:c>
      <x:c r="G46" s="10" t="str">
        <x:v>Question: Is travel insurance worth the money?
Answer: To determine the value of a travel insurance policy review the coverage that you currently have . Some people have coverage that extends to the locality where they live , or the state in which they reside . Coverage outside of that specified area can be highly limited . The issue becomes more severe with most plans when you travel overseas . If your current coverage is inadequate to cover potential difficulties secure a travel insurance policy . Personally , I travel overseas frequently and never purchase travel insurance .</x:v>
      </x:c>
      <x:c r="H46" s="10" t="str">
        <x:v>Based on the supplied context, to determine the value of a travel insurance policy review the coverage that you currently have . Some people have coverage that extends to the locality where they live , or the state in which they reside . Coverage outside of that specified area can be highly limited . The issue becomes more severe with most plans when you travel overseas . If your current coverage is inadequate to cover potential difficulties secure a travel insurance policy . Personally , I travel overseas frequently and never purchase travel insurance .</x:v>
      </x:c>
      <x:c r="I46" s="8" t="str">
        <x:v>travel_assistance</x:v>
      </x:c>
      <x:c r="J46" s="8" t="str">
        <x:v>CALIBRATION</x:v>
      </x:c>
      <x:c r="K46" s="10" t="str"/>
      <x:c r="L46" s="12" t="str"/>
      <x:c r="M46" s="12" t="str"/>
      <x:c r="N46" s="12" t="str"/>
      <x:c r="O46" s="12" t="str"/>
      <x:c r="P46" s="12" t="str"/>
    </x:row>
    <x:row r="47">
      <x:c r="A47" s="8" t="str">
        <x:v>ext-iqa-pass-046</x:v>
      </x:c>
      <x:c r="B47" s="8" t="str">
        <x:v>insuranceqa</x:v>
      </x:c>
      <x:c r="C47" s="8" t="str">
        <x:v>data/benchmarks/qa/insuranceqa/data_insuranceqa_1000.jsonl</x:v>
      </x:c>
      <x:c r="D47" s="8" t="str">
        <x:v>insuranceqa:647</x:v>
      </x:c>
      <x:c r="E47" s="8" t="str"/>
      <x:c r="F47" s="10" t="str">
        <x:v>Why Is An Equity Indexed Annuity Considered To Be A Fixed Annuity?</x:v>
      </x:c>
      <x:c r="G47" s="10" t="str">
        <x:v>Question: Why Is An Equity Indexed Annuity Considered To Be A Fixed Annuity?
Answer: Because it a FIXED AND GUARANTEED RATEBOF RETURN . You ca n't lose your principle and average GUARANTEED rates are around 2 % on the low end to 4 % on the high end . You get a nominal/limited upside gain of the stock market along with knowing you ca n't lose any money . Somewhat fixed .</x:v>
      </x:c>
      <x:c r="H47" s="10" t="str">
        <x:v>Based on the supplied context, because it a FIXED AND GUARANTEED RATEBOF RETURN . You ca n't lose your principle and average GUARANTEED rates are around 2 % on the low end to 4 % on the high end . You get a nominal/limited upside gain of the stock market along with knowing you ca n't lose any money . Somewhat fixed .</x:v>
      </x:c>
      <x:c r="I47" s="8" t="str">
        <x:v>life</x:v>
      </x:c>
      <x:c r="J47" s="8" t="str">
        <x:v>CALIBRATION</x:v>
      </x:c>
      <x:c r="K47" s="10" t="str"/>
      <x:c r="L47" s="12" t="str"/>
      <x:c r="M47" s="12" t="str"/>
      <x:c r="N47" s="12" t="str"/>
      <x:c r="O47" s="12" t="str"/>
      <x:c r="P47" s="12" t="str"/>
    </x:row>
    <x:row r="48">
      <x:c r="A48" s="8" t="str">
        <x:v>ext-iqa-pass-047</x:v>
      </x:c>
      <x:c r="B48" s="8" t="str">
        <x:v>insuranceqa</x:v>
      </x:c>
      <x:c r="C48" s="8" t="str">
        <x:v>data/benchmarks/qa/insuranceqa/data_insuranceqa_1000.jsonl</x:v>
      </x:c>
      <x:c r="D48" s="8" t="str">
        <x:v>insuranceqa:855</x:v>
      </x:c>
      <x:c r="E48" s="8" t="str"/>
      <x:c r="F48" s="10" t="str">
        <x:v>When Does Health Insurance End When Leaving A Job?</x:v>
      </x:c>
      <x:c r="G48" s="10" t="str">
        <x:v>Question: When Does Health Insurance End When Leaving A Job?
Answer: If you leave your job or are terminated your health insurance usually ends at the end of the month you left your job . At that time you would be eligible for COBRA continuation coverage for 18 months or you could purchase indivdiual health insurance . COBRA used to be the best option if you had a pre-exisitng condition but under the Affordable Care Act , commonly known as Obamacare , you can purchase individual coverage with no issues . You have to prove that you have a qualifying event under the IRS code which is a letter of Creditable Coverage from your former health insurance company or employer .</x:v>
      </x:c>
      <x:c r="H48" s="10" t="str">
        <x:v>Based on the supplied context, if you leave your job or are terminated your health insurance usually ends at the end of the month you left your job . At that time you would be eligible for COBRA continuation coverage for 18 months or you could purchase indivdiual health insurance . COBRA used to be the best option if you had a pre-exisitng condition but under the Affordable Care Act , commonly known as Obamacare , you can purchase individual coverage with no issues . You have to prove that you have a qualifying event under the IRS code which is a letter of Creditable Coverage from your former health insurance company or employer .</x:v>
      </x:c>
      <x:c r="I48" s="8" t="str">
        <x:v>health</x:v>
      </x:c>
      <x:c r="J48" s="8" t="str">
        <x:v>LOCKED_HOLDOUT_CANDIDATE</x:v>
      </x:c>
      <x:c r="K48" s="10" t="str"/>
      <x:c r="L48" s="12" t="str"/>
      <x:c r="M48" s="12" t="str"/>
      <x:c r="N48" s="12" t="str"/>
      <x:c r="O48" s="12" t="str"/>
      <x:c r="P48" s="12" t="str"/>
    </x:row>
    <x:row r="49">
      <x:c r="A49" s="8" t="str">
        <x:v>ext-iqa-pass-048</x:v>
      </x:c>
      <x:c r="B49" s="8" t="str">
        <x:v>insuranceqa</x:v>
      </x:c>
      <x:c r="C49" s="8" t="str">
        <x:v>data/benchmarks/qa/insuranceqa/data_insuranceqa_1000.jsonl</x:v>
      </x:c>
      <x:c r="D49" s="8" t="str">
        <x:v>insuranceqa:433</x:v>
      </x:c>
      <x:c r="E49" s="8" t="str"/>
      <x:c r="F49" s="10" t="str">
        <x:v>How To Find Out What My Health Insurance Covers?</x:v>
      </x:c>
      <x:c r="G49" s="10" t="str">
        <x:v>Question: How To Find Out What My Health Insurance Covers?
Answer: Your best resource for information about a policy that is already in force is from the insurance carrier directly . There will be a toll free number on your card . If you have a direct relationship with an agent who helped you purchase the policy , that person can be of assistance if you run into any challenges . The people at the carrier 's call center are human too and sometimes you can get bad information simply due to human error . If you think an answer is wrong , call back and get another representative . If you get stuck , call your agent !</x:v>
      </x:c>
      <x:c r="H49" s="10" t="str">
        <x:v>Based on the supplied context, your best resource for information about a policy that is already in force is from the insurance carrier directly . There will be a toll free number on your card . If you have a direct relationship with an agent who helped you purchase the policy , that person can be of assistance if you run into any challenges . The people at the carrier 's call center are human too and sometimes you can get bad information simply due to human error . If you think an answer is wrong , call back and get another representative . If you get stuck , call your agent !</x:v>
      </x:c>
      <x:c r="I49" s="8" t="str">
        <x:v>health</x:v>
      </x:c>
      <x:c r="J49" s="8" t="str">
        <x:v>VALIDATION</x:v>
      </x:c>
      <x:c r="K49" s="10" t="str"/>
      <x:c r="L49" s="12" t="str"/>
      <x:c r="M49" s="12" t="str"/>
      <x:c r="N49" s="12" t="str"/>
      <x:c r="O49" s="12" t="str"/>
      <x:c r="P49" s="12" t="str"/>
    </x:row>
    <x:row r="50">
      <x:c r="A50" s="8" t="str">
        <x:v>ext-iqa-pass-049</x:v>
      </x:c>
      <x:c r="B50" s="8" t="str">
        <x:v>insuranceqa</x:v>
      </x:c>
      <x:c r="C50" s="8" t="str">
        <x:v>data/benchmarks/qa/insuranceqa/data_insuranceqa_1000.jsonl</x:v>
      </x:c>
      <x:c r="D50" s="8" t="str">
        <x:v>insuranceqa:611</x:v>
      </x:c>
      <x:c r="E50" s="8" t="str"/>
      <x:c r="F50" s="10" t="str">
        <x:v>How To Get Life Insurance On Ex Husband?</x:v>
      </x:c>
      <x:c r="G50" s="10" t="str">
        <x:v>Question: How To Get Life Insurance On Ex Husband?
Answer: Depending on your divorce and how it has panned out . The ex spouse may see the need to have life insurance to provide protection when kids are involved . They may not , see a need at all and that would be where you petition the court and let the court decide the need for him .</x:v>
      </x:c>
      <x:c r="H50" s="10" t="str">
        <x:v>Based on the supplied context, depending on your divorce and how it has panned out . The ex spouse may see the need to have life insurance to provide protection when kids are involved . They may not , see a need at all and that would be where you petition the court and let the court decide the need for him .</x:v>
      </x:c>
      <x:c r="I50" s="8" t="str">
        <x:v>life</x:v>
      </x:c>
      <x:c r="J50" s="8" t="str">
        <x:v>LOCKED_HOLDOUT_CANDIDATE</x:v>
      </x:c>
      <x:c r="K50" s="10" t="str"/>
      <x:c r="L50" s="12" t="str"/>
      <x:c r="M50" s="12" t="str"/>
      <x:c r="N50" s="12" t="str"/>
      <x:c r="O50" s="12" t="str"/>
      <x:c r="P50" s="12" t="str"/>
    </x:row>
    <x:row r="51">
      <x:c r="A51" s="8" t="str">
        <x:v>ext-iqa-pass-050</x:v>
      </x:c>
      <x:c r="B51" s="8" t="str">
        <x:v>insuranceqa</x:v>
      </x:c>
      <x:c r="C51" s="8" t="str">
        <x:v>data/benchmarks/qa/insuranceqa/data_insuranceqa_1000.jsonl</x:v>
      </x:c>
      <x:c r="D51" s="8" t="str">
        <x:v>insuranceqa:902</x:v>
      </x:c>
      <x:c r="E51" s="8" t="str"/>
      <x:c r="F51" s="10" t="str">
        <x:v>Can An 88 Year Old Get Life Insurance?</x:v>
      </x:c>
      <x:c r="G51" s="10" t="str">
        <x:v>Question: Can An 88 Year Old Get Life Insurance?
Answer: I actually had a case for an 88-year-old a couple of years ago . It was rather interesting . What we had going for us was the following : A number of companies will issue a policy up to age 90 . Out of these , some will specialize in ages over 65 . The insured had a number of medical issues , but they were well-controlled . The challenge was getting the money to pay for the coverage . Since the family would benefit , efforts were made to have the family help pay the premium . This is where things got a little tough . Assuming the money is there , this can be done .</x:v>
      </x:c>
      <x:c r="H51" s="10" t="str">
        <x:v>Based on the supplied context, i actually had a case for an 88-year-old a couple of years ago . It was rather interesting . What we had going for us was the following : A number of companies will issue a policy up to age 90 . Out of these , some will specialize in ages over 65 . The insured had a number of medical issues , but they were well-controlled . The challenge was getting the money to pay for the coverage . Since the family would benefit , efforts were made to have the family help pay the premium . This is where things got a little tough . Assuming the money is there , this can be done .</x:v>
      </x:c>
      <x:c r="I51" s="8" t="str">
        <x:v>life</x:v>
      </x:c>
      <x:c r="J51" s="8" t="str">
        <x:v>CALIBRATION</x:v>
      </x:c>
      <x:c r="K51" s="10" t="str"/>
      <x:c r="L51" s="12" t="str"/>
      <x:c r="M51" s="12" t="str"/>
      <x:c r="N51" s="12" t="str"/>
      <x:c r="O51" s="12" t="str"/>
      <x:c r="P51" s="12" t="str"/>
    </x:row>
    <x:row r="52">
      <x:c r="A52" s="8" t="str">
        <x:v>ext-iqa-pass-051</x:v>
      </x:c>
      <x:c r="B52" s="8" t="str">
        <x:v>insuranceqa</x:v>
      </x:c>
      <x:c r="C52" s="8" t="str">
        <x:v>data/benchmarks/qa/insuranceqa/data_insuranceqa_1000.jsonl</x:v>
      </x:c>
      <x:c r="D52" s="8" t="str">
        <x:v>insuranceqa:590</x:v>
      </x:c>
      <x:c r="E52" s="8" t="str"/>
      <x:c r="F52" s="10" t="str">
        <x:v>Why Do I Have To Have Homeowners Insurance?</x:v>
      </x:c>
      <x:c r="G52" s="10" t="str">
        <x:v>Question: Why Do I Have To Have Homeowners Insurance?
Answer: Technically you do not have to have homeowners insurance . It is not required at this time by law in any of the states in the United States to the best of my knowledge . Your mortgage lender will typically require homeowners insurance coverage to protect themselves against loss in the event of a covered loss . There are way to many reasons to list here as to why you should have coverage . Please contact a local agent to discuss your coverage needs and concerns .</x:v>
      </x:c>
      <x:c r="H52" s="10" t="str">
        <x:v>Based on the supplied context, technically you do not have to have homeowners insurance . It is not required at this time by law in any of the states in the United States to the best of my knowledge . Your mortgage lender will typically require homeowners insurance coverage to protect themselves against loss in the event of a covered loss . There are way to many reasons to list here as to why you should have coverage . Please contact a local agent to discuss your coverage needs and concerns .</x:v>
      </x:c>
      <x:c r="I52" s="8" t="str">
        <x:v>general_insurance</x:v>
      </x:c>
      <x:c r="J52" s="8" t="str">
        <x:v>VALIDATION</x:v>
      </x:c>
      <x:c r="K52" s="10" t="str"/>
      <x:c r="L52" s="12" t="str"/>
      <x:c r="M52" s="12" t="str"/>
      <x:c r="N52" s="12" t="str"/>
      <x:c r="O52" s="12" t="str"/>
      <x:c r="P52" s="12" t="str"/>
    </x:row>
    <x:row r="53">
      <x:c r="A53" s="8" t="str">
        <x:v>ext-iqa-pass-052</x:v>
      </x:c>
      <x:c r="B53" s="8" t="str">
        <x:v>insuranceqa</x:v>
      </x:c>
      <x:c r="C53" s="8" t="str">
        <x:v>data/benchmarks/qa/insuranceqa/data_insuranceqa_1000.jsonl</x:v>
      </x:c>
      <x:c r="D53" s="8" t="str">
        <x:v>insuranceqa:923</x:v>
      </x:c>
      <x:c r="E53" s="8" t="str"/>
      <x:c r="F53" s="10" t="str">
        <x:v>Does Renters Insurance Cover Sewage Backup?</x:v>
      </x:c>
      <x:c r="G53" s="10" t="str">
        <x:v>Question: Does Renters Insurance Cover Sewage Backup?
Answer: Renters insurance does not cover sewage backup on its own . There is an endorsement available to add this coverage , usually for just a few dollars per month . It 's worth remembering that endorsements must be made before a loss occurs . You can not call your insurance agent and add the water and sewage backup endorsement after you discover the problem , there will be no coverage because the endorsement was not applied at the time the loss occurred .</x:v>
      </x:c>
      <x:c r="H53" s="10" t="str">
        <x:v>Based on the supplied context, renters insurance does not cover sewage backup on its own . There is an endorsement available to add this coverage , usually for just a few dollars per month . It 's worth remembering that endorsements must be made before a loss occurs . You can not call your insurance agent and add the water and sewage backup endorsement after you discover the problem , there will be no coverage because the endorsement was not applied at the time the loss occurred .</x:v>
      </x:c>
      <x:c r="I53" s="8" t="str">
        <x:v>household</x:v>
      </x:c>
      <x:c r="J53" s="8" t="str">
        <x:v>VALIDATION</x:v>
      </x:c>
      <x:c r="K53" s="10" t="str"/>
      <x:c r="L53" s="12" t="str"/>
      <x:c r="M53" s="12" t="str"/>
      <x:c r="N53" s="12" t="str"/>
      <x:c r="O53" s="12" t="str"/>
      <x:c r="P53" s="12" t="str"/>
    </x:row>
    <x:row r="54">
      <x:c r="A54" s="8" t="str">
        <x:v>ext-iqa-pass-053</x:v>
      </x:c>
      <x:c r="B54" s="8" t="str">
        <x:v>insuranceqa</x:v>
      </x:c>
      <x:c r="C54" s="8" t="str">
        <x:v>data/benchmarks/qa/insuranceqa/data_insuranceqa_1000.jsonl</x:v>
      </x:c>
      <x:c r="D54" s="8" t="str">
        <x:v>insuranceqa:262</x:v>
      </x:c>
      <x:c r="E54" s="8" t="str"/>
      <x:c r="F54" s="10" t="str">
        <x:v>Will Annuity Rates Go Up?</x:v>
      </x:c>
      <x:c r="G54" s="10" t="str">
        <x:v>Question: Will Annuity Rates Go Up?
Answer: Annuity Rates are directly tied to the Fed Funds Rate &amp; to 10 Year Treasury Rates . Both of these are at historical lows at the moment . Most financial experts claim that interest rates should rise over the next 5 years . If this happens , Annuity Rates will rise as along with them .</x:v>
      </x:c>
      <x:c r="H54" s="10" t="str">
        <x:v>Based on the supplied context, annuity Rates are directly tied to the Fed Funds Rate &amp; to 10 Year Treasury Rates . Both of these are at historical lows at the moment . Most financial experts claim that interest rates should rise over the next 5 years . If this happens , Annuity Rates will rise as along with them .</x:v>
      </x:c>
      <x:c r="I54" s="8" t="str">
        <x:v>life</x:v>
      </x:c>
      <x:c r="J54" s="8" t="str">
        <x:v>VALIDATION</x:v>
      </x:c>
      <x:c r="K54" s="10" t="str"/>
      <x:c r="L54" s="12" t="str"/>
      <x:c r="M54" s="12" t="str"/>
      <x:c r="N54" s="12" t="str"/>
      <x:c r="O54" s="12" t="str"/>
      <x:c r="P54" s="12" t="str"/>
    </x:row>
    <x:row r="55">
      <x:c r="A55" s="8" t="str">
        <x:v>ext-iqa-pass-054</x:v>
      </x:c>
      <x:c r="B55" s="8" t="str">
        <x:v>insuranceqa</x:v>
      </x:c>
      <x:c r="C55" s="8" t="str">
        <x:v>data/benchmarks/qa/insuranceqa/data_insuranceqa_1000.jsonl</x:v>
      </x:c>
      <x:c r="D55" s="8" t="str">
        <x:v>insuranceqa:849</x:v>
      </x:c>
      <x:c r="E55" s="8" t="str"/>
      <x:c r="F55" s="10" t="str">
        <x:v>What Is A Governmental 457 Retirement Plan?</x:v>
      </x:c>
      <x:c r="G55" s="10" t="str">
        <x:v>Question: What Is A Governmental 457 Retirement Plan?
Answer: Assuming youre referring to 457 -LRB- b -RRB- retirement plans , 457 -LRB- b -RRB- deferred compensation plans that are available in government and non-government organizations under 501 -LRB- c -RRB- . Theres no 59 penalty as long as the plan participant is retiring or ending employment . Government 457 can be rolled personal over to IRAs . Nonprofit workers can only roll their 457 plans over to another 457 plan . 2013 contribution limits are $ 17,500 and an extra $ 5,500 if you are age 50 or older .</x:v>
      </x:c>
      <x:c r="H55" s="10" t="str">
        <x:v>Based on the supplied context, assuming youre referring to 457 -LRB- b -RRB- retirement plans , 457 -LRB- b -RRB- deferred compensation plans that are available in government and non-government organizations under 501 -LRB- c -RRB- . Theres no 59 penalty as long as the plan participant is retiring or ending employment . Government 457 can be rolled personal over to IRAs . Nonprofit workers can only roll their 457 plans over to another 457 plan . 2013 contribution limits are $ 17,500 and an extra $ 5,500 if you are age 50 or older .</x:v>
      </x:c>
      <x:c r="I55" s="8" t="str">
        <x:v>retirement</x:v>
      </x:c>
      <x:c r="J55" s="8" t="str">
        <x:v>VALIDATION</x:v>
      </x:c>
      <x:c r="K55" s="10" t="str"/>
      <x:c r="L55" s="12" t="str"/>
      <x:c r="M55" s="12" t="str"/>
      <x:c r="N55" s="12" t="str"/>
      <x:c r="O55" s="12" t="str"/>
      <x:c r="P55" s="12" t="str"/>
    </x:row>
    <x:row r="56">
      <x:c r="A56" s="8" t="str">
        <x:v>ext-iqa-pass-055</x:v>
      </x:c>
      <x:c r="B56" s="8" t="str">
        <x:v>insuranceqa</x:v>
      </x:c>
      <x:c r="C56" s="8" t="str">
        <x:v>data/benchmarks/qa/insuranceqa/data_insuranceqa_1000.jsonl</x:v>
      </x:c>
      <x:c r="D56" s="8" t="str">
        <x:v>insuranceqa:556</x:v>
      </x:c>
      <x:c r="E56" s="8" t="str"/>
      <x:c r="F56" s="10" t="str">
        <x:v>What Is Multiplan Health Insurance?</x:v>
      </x:c>
      <x:c r="G56" s="10" t="str">
        <x:v>Question: What Is Multiplan Health Insurance?
Answer: Multiplan health insurance is not health insurance . Multiplan is a national PPO network that is used by some health insurance carriers either as a primary network or secondary . There are medical discount plans that promote the benefits of the Multiplan network but discount plans should never be considered a substitute for true major medical coverage .</x:v>
      </x:c>
      <x:c r="H56" s="10" t="str">
        <x:v>Based on the supplied context, multiplan health insurance is not health insurance . Multiplan is a national PPO network that is used by some health insurance carriers either as a primary network or secondary . There are medical discount plans that promote the benefits of the Multiplan network but discount plans should never be considered a substitute for true major medical coverage .</x:v>
      </x:c>
      <x:c r="I56" s="8" t="str">
        <x:v>health</x:v>
      </x:c>
      <x:c r="J56" s="8" t="str">
        <x:v>VALIDATION</x:v>
      </x:c>
      <x:c r="K56" s="10" t="str"/>
      <x:c r="L56" s="12" t="str"/>
      <x:c r="M56" s="12" t="str"/>
      <x:c r="N56" s="12" t="str"/>
      <x:c r="O56" s="12" t="str"/>
      <x:c r="P56" s="12" t="str"/>
    </x:row>
    <x:row r="57">
      <x:c r="A57" s="8" t="str">
        <x:v>ext-iqa-pass-056</x:v>
      </x:c>
      <x:c r="B57" s="8" t="str">
        <x:v>insuranceqa</x:v>
      </x:c>
      <x:c r="C57" s="8" t="str">
        <x:v>data/benchmarks/qa/insuranceqa/data_insuranceqa_1000.jsonl</x:v>
      </x:c>
      <x:c r="D57" s="8" t="str">
        <x:v>insuranceqa:869</x:v>
      </x:c>
      <x:c r="E57" s="8" t="str"/>
      <x:c r="F57" s="10" t="str">
        <x:v>Does Subway Offer Health Insurance?</x:v>
      </x:c>
      <x:c r="G57" s="10" t="str">
        <x:v>Question: Does Subway Offer Health Insurance?
Answer: This is a good Question . With any Company , whether they provide employee health coverage or not will depend on many factors . Whether you are Part time or Full time , if there is a waiting period , etc etc. . It is important to know that even if your employer does not offer health benefits , you can apply for your OWN individual plan that you pay for and manage on your own . This may also be a good option because if you happen to leave that job , you wo n't have to worry about loosing your health coverage .</x:v>
      </x:c>
      <x:c r="H57" s="10" t="str">
        <x:v>Based on the supplied context, this is a good Question . With any Company , whether they provide employee health coverage or not will depend on many factors . Whether you are Part time or Full time , if there is a waiting period , etc etc. . It is important to know that even if your employer does not offer health benefits , you can apply for your OWN individual plan that you pay for and manage on your own . This may also be a good option because if you happen to leave that job , you wo n't have to worry about loosing your health coverage .</x:v>
      </x:c>
      <x:c r="I57" s="8" t="str">
        <x:v>health</x:v>
      </x:c>
      <x:c r="J57" s="8" t="str">
        <x:v>CALIBRATION</x:v>
      </x:c>
      <x:c r="K57" s="10" t="str"/>
      <x:c r="L57" s="12" t="str"/>
      <x:c r="M57" s="12" t="str"/>
      <x:c r="N57" s="12" t="str"/>
      <x:c r="O57" s="12" t="str"/>
      <x:c r="P57" s="12" t="str"/>
    </x:row>
    <x:row r="58">
      <x:c r="A58" s="8" t="str">
        <x:v>ext-iqa-pass-057</x:v>
      </x:c>
      <x:c r="B58" s="8" t="str">
        <x:v>insuranceqa</x:v>
      </x:c>
      <x:c r="C58" s="8" t="str">
        <x:v>data/benchmarks/qa/insuranceqa/data_insuranceqa_1000.jsonl</x:v>
      </x:c>
      <x:c r="D58" s="8" t="str">
        <x:v>insuranceqa:467</x:v>
      </x:c>
      <x:c r="E58" s="8" t="str"/>
      <x:c r="F58" s="10" t="str">
        <x:v>How Does A Cash Balance Retirement Plan Work?</x:v>
      </x:c>
      <x:c r="G58" s="10" t="str">
        <x:v>Question: How Does A Cash Balance Retirement Plan Work?
Answer: Cash balance plans are qualified defined benefit plans under ERISA , the Employee Retirement Income Security Act of 1974 . Employers appreciate the discriminatory ability to favor business owners . Cash balance plans are also used in tandem with 401 -LRB- k -RRB- for enhanced contribution limits . The plans accumulate tax deferred and offer creditor protection .</x:v>
      </x:c>
      <x:c r="H58" s="10" t="str">
        <x:v>Based on the supplied context, cash balance plans are qualified defined benefit plans under ERISA , the Employee Retirement Income Security Act of 1974 . Employers appreciate the discriminatory ability to favor business owners . Cash balance plans are also used in tandem with 401 -LRB- k -RRB- for enhanced contribution limits . The plans accumulate tax deferred and offer creditor protection .</x:v>
      </x:c>
      <x:c r="I58" s="8" t="str">
        <x:v>retirement</x:v>
      </x:c>
      <x:c r="J58" s="8" t="str">
        <x:v>LOCKED_HOLDOUT_CANDIDATE</x:v>
      </x:c>
      <x:c r="K58" s="10" t="str"/>
      <x:c r="L58" s="12" t="str"/>
      <x:c r="M58" s="12" t="str"/>
      <x:c r="N58" s="12" t="str"/>
      <x:c r="O58" s="12" t="str"/>
      <x:c r="P58" s="12" t="str"/>
    </x:row>
    <x:row r="59">
      <x:c r="A59" s="8" t="str">
        <x:v>ext-iqa-pass-058</x:v>
      </x:c>
      <x:c r="B59" s="8" t="str">
        <x:v>insuranceqa</x:v>
      </x:c>
      <x:c r="C59" s="8" t="str">
        <x:v>data/benchmarks/qa/insuranceqa/data_insuranceqa_1000.jsonl</x:v>
      </x:c>
      <x:c r="D59" s="8" t="str">
        <x:v>insuranceqa:513</x:v>
      </x:c>
      <x:c r="E59" s="8" t="str"/>
      <x:c r="F59" s="10" t="str">
        <x:v>What Is The Best Critical Illness Insurance?</x:v>
      </x:c>
      <x:c r="G59" s="10" t="str">
        <x:v>Question: What Is The Best Critical Illness Insurance?
Answer: The best critical illness insurance is that which has the best features . Some things to look for are : 1 -RRB- How much of the benefit is paid for each illness , 2 -RRB- What is the special limitation period -LRB- how long you would have to wait before the policy would pay after issue -RRB- , 3 -RRB- How many illness are covered , 4 -RRB- Is the policy guaranteed renewable , 5 -RRB- How long is the premium guaranteed , 6 -RRB- Is there a reduction of benefits after a certain age , and 7 -RRB- Are riders offered -LRB- e.g. for accidental death -RRB- .</x:v>
      </x:c>
      <x:c r="H59" s="10" t="str">
        <x:v>Based on the supplied context, the best critical illness insurance is that which has the best features . Some things to look for are : 1 -RRB- How much of the benefit is paid for each illness , 2 -RRB- What is the special limitation period -LRB- how long you would have to wait before the policy would pay after issue -RRB- , 3 -RRB- How many illness are covered , 4 -RRB- Is the policy guaranteed renewable , 5 -RRB- How long is the premium guaranteed , 6 -RRB- Is there a reduction of benefits after a certain age , and 7 -RRB- Are riders offered -LRB- e.g. for accidental death -RRB- .</x:v>
      </x:c>
      <x:c r="I59" s="8" t="str">
        <x:v>general_insurance</x:v>
      </x:c>
      <x:c r="J59" s="8" t="str">
        <x:v>LOCKED_HOLDOUT_CANDIDATE</x:v>
      </x:c>
      <x:c r="K59" s="10" t="str"/>
      <x:c r="L59" s="12" t="str"/>
      <x:c r="M59" s="12" t="str"/>
      <x:c r="N59" s="12" t="str"/>
      <x:c r="O59" s="12" t="str"/>
      <x:c r="P59" s="12" t="str"/>
    </x:row>
    <x:row r="60">
      <x:c r="A60" s="8" t="str">
        <x:v>ext-iqa-pass-059</x:v>
      </x:c>
      <x:c r="B60" s="8" t="str">
        <x:v>insuranceqa</x:v>
      </x:c>
      <x:c r="C60" s="8" t="str">
        <x:v>data/benchmarks/qa/insuranceqa/data_insuranceqa_1000.jsonl</x:v>
      </x:c>
      <x:c r="D60" s="8" t="str">
        <x:v>insuranceqa:166</x:v>
      </x:c>
      <x:c r="E60" s="8" t="str"/>
      <x:c r="F60" s="10" t="str">
        <x:v>What Is The Best Supplemental Insurance Plan For Medicare?</x:v>
      </x:c>
      <x:c r="G60" s="10" t="str">
        <x:v>Question: What Is The Best Supplemental Insurance Plan For Medicare?
Answer: You will define what is best based on your particular needs and budget . All Medicare supplemental insurance plans with the same letter are identical in every way except the premium , the decision is much easier . Medigap plan F is the most popular , mostly because it is oversold . Far too many agents promote the plan because it is easy to explain . Medicare supplement plan F is also the most expensive plan ... and the one that pays agents the highest commission . I recently showed a couple how they could save over $ 1700 per year by switching from their current plan -LRB- with a big name carrier -RRB- to a smaller , but reputable carrier . There is no reason to pay more for the same coverage , even if you are rolling in dough . #GeorgiaMedicarePlans</x:v>
      </x:c>
      <x:c r="H60" s="10" t="str">
        <x:v>Based on the supplied context, you will define what is best based on your particular needs and budget . All Medicare supplemental insurance plans with the same letter are identical in every way except the premium , the decision is much easier . Medigap plan F is the most popular , mostly because it is oversold . Far too many agents promote the plan because it is easy to explain . Medicare supplement plan F is also the most expensive plan ... and the one that pays agents the highest commission . I recently showed a couple how they could save over $ 1700 per year by switching from their current plan -LRB- with a big name carrier -RRB- to a smaller , but reputable carrier . There is no reason to pay more for the same coverage , even if you are rolling in dough . #GeorgiaMedicarePlans</x:v>
      </x:c>
      <x:c r="I60" s="8" t="str">
        <x:v>health</x:v>
      </x:c>
      <x:c r="J60" s="8" t="str">
        <x:v>LOCKED_HOLDOUT_CANDIDATE</x:v>
      </x:c>
      <x:c r="K60" s="10" t="str"/>
      <x:c r="L60" s="12" t="str"/>
      <x:c r="M60" s="12" t="str"/>
      <x:c r="N60" s="12" t="str"/>
      <x:c r="O60" s="12" t="str"/>
      <x:c r="P60" s="12" t="str"/>
    </x:row>
    <x:row r="61">
      <x:c r="A61" s="8" t="str">
        <x:v>ext-iqa-pass-060</x:v>
      </x:c>
      <x:c r="B61" s="8" t="str">
        <x:v>insuranceqa</x:v>
      </x:c>
      <x:c r="C61" s="8" t="str">
        <x:v>data/benchmarks/qa/insuranceqa/data_insuranceqa_1000.jsonl</x:v>
      </x:c>
      <x:c r="D61" s="8" t="str">
        <x:v>insuranceqa:970</x:v>
      </x:c>
      <x:c r="E61" s="8" t="str"/>
      <x:c r="F61" s="10" t="str">
        <x:v>Why Is It So Hard To Sell Life Insurance?</x:v>
      </x:c>
      <x:c r="G61" s="10" t="str">
        <x:v>Question: Why Is It So Hard To Sell Life Insurance?
Answer: The vast majority of consumer centered advisers sell the appropriate life insurance product to meet the prospective purchasers personal suitability requirements . Providing good financial advice is not selling , it is more like a stewardship vocation or family consultant that uses the highest best practices in fiduciary trust . Product suitability trumps just selling a product .</x:v>
      </x:c>
      <x:c r="H61" s="10" t="str">
        <x:v>Based on the supplied context, the vast majority of consumer centered advisers sell the appropriate life insurance product to meet the prospective purchasers personal suitability requirements . Providing good financial advice is not selling , it is more like a stewardship vocation or family consultant that uses the highest best practices in fiduciary trust . Product suitability trumps just selling a product .</x:v>
      </x:c>
      <x:c r="I61" s="8" t="str">
        <x:v>life</x:v>
      </x:c>
      <x:c r="J61" s="8" t="str">
        <x:v>CALIBRATION</x:v>
      </x:c>
      <x:c r="K61" s="10" t="str"/>
      <x:c r="L61" s="12" t="str"/>
      <x:c r="M61" s="12" t="str"/>
      <x:c r="N61" s="12" t="str"/>
      <x:c r="O61" s="12" t="str"/>
      <x:c r="P61" s="12" t="str"/>
    </x:row>
    <x:row r="62">
      <x:c r="A62" s="8" t="str">
        <x:v>ext-iqa-pass-061</x:v>
      </x:c>
      <x:c r="B62" s="8" t="str">
        <x:v>insuranceqa</x:v>
      </x:c>
      <x:c r="C62" s="8" t="str">
        <x:v>data/benchmarks/qa/insuranceqa/data_insuranceqa_1000.jsonl</x:v>
      </x:c>
      <x:c r="D62" s="8" t="str">
        <x:v>insuranceqa:976</x:v>
      </x:c>
      <x:c r="E62" s="8" t="str"/>
      <x:c r="F62" s="10" t="str">
        <x:v>Does Nationwide Offer Renters Insurance?</x:v>
      </x:c>
      <x:c r="G62" s="10" t="str">
        <x:v>Question: Does Nationwide Offer Renters Insurance?
Answer: Yes , indeed Nationwide does offer Renters Insurance . We have represented Nationwide in Connecticut since 1985 and regularly discuss the need for Renters Insurance with our clients who have that sort of need . The coverage is comprehensive and we work to customize a plan to best suit our clients need for protection at a reasonable and affordable price .</x:v>
      </x:c>
      <x:c r="H62" s="10" t="str">
        <x:v>Based on the supplied context, yes , indeed Nationwide does offer Renters Insurance . We have represented Nationwide in Connecticut since 1985 and regularly discuss the need for Renters Insurance with our clients who have that sort of need . The coverage is comprehensive and we work to customize a plan to best suit our clients need for protection at a reasonable and affordable price .</x:v>
      </x:c>
      <x:c r="I62" s="8" t="str">
        <x:v>household</x:v>
      </x:c>
      <x:c r="J62" s="8" t="str">
        <x:v>LOCKED_HOLDOUT_CANDIDATE</x:v>
      </x:c>
      <x:c r="K62" s="10" t="str"/>
      <x:c r="L62" s="12" t="str"/>
      <x:c r="M62" s="12" t="str"/>
      <x:c r="N62" s="12" t="str"/>
      <x:c r="O62" s="12" t="str"/>
      <x:c r="P62" s="12" t="str"/>
    </x:row>
    <x:row r="63">
      <x:c r="A63" s="8" t="str">
        <x:v>ext-iqa-pass-062</x:v>
      </x:c>
      <x:c r="B63" s="8" t="str">
        <x:v>insuranceqa</x:v>
      </x:c>
      <x:c r="C63" s="8" t="str">
        <x:v>data/benchmarks/qa/insuranceqa/data_insuranceqa_1000.jsonl</x:v>
      </x:c>
      <x:c r="D63" s="8" t="str">
        <x:v>insuranceqa:454</x:v>
      </x:c>
      <x:c r="E63" s="8" t="str"/>
      <x:c r="F63" s="10" t="str">
        <x:v>Does Home Insurance Automatically Renew?</x:v>
      </x:c>
      <x:c r="G63" s="10" t="str">
        <x:v>Question: Does Home Insurance Automatically Renew?
Answer: Here in Connecticut , Homeowners ' Insurance policies are among those that continuously renew provided that your home continues to meet our insurance company 's underwriting guidelines as they have filed with the State Insurance Department . That having been said , is you fail to pay your premium , if the claims history becomes adverse or if you leave your home abandoned and vacant , The insurance company may non renew or mid term cancel .</x:v>
      </x:c>
      <x:c r="H63" s="10" t="str">
        <x:v>Based on the supplied context, here in Connecticut , Homeowners ' Insurance policies are among those that continuously renew provided that your home continues to meet our insurance company 's underwriting guidelines as they have filed with the State Insurance Department . That having been said , is you fail to pay your premium , if the claims history becomes adverse or if you leave your home abandoned and vacant , The insurance company may non renew or mid term cancel .</x:v>
      </x:c>
      <x:c r="I63" s="8" t="str">
        <x:v>household</x:v>
      </x:c>
      <x:c r="J63" s="8" t="str">
        <x:v>CALIBRATION</x:v>
      </x:c>
      <x:c r="K63" s="10" t="str"/>
      <x:c r="L63" s="12" t="str"/>
      <x:c r="M63" s="12" t="str"/>
      <x:c r="N63" s="12" t="str"/>
      <x:c r="O63" s="12" t="str"/>
      <x:c r="P63" s="12" t="str"/>
    </x:row>
    <x:row r="64">
      <x:c r="A64" s="8" t="str">
        <x:v>ext-iqa-pass-063</x:v>
      </x:c>
      <x:c r="B64" s="8" t="str">
        <x:v>insuranceqa</x:v>
      </x:c>
      <x:c r="C64" s="8" t="str">
        <x:v>data/benchmarks/qa/insuranceqa/data_insuranceqa_1000.jsonl</x:v>
      </x:c>
      <x:c r="D64" s="8" t="str">
        <x:v>insuranceqa:890</x:v>
      </x:c>
      <x:c r="E64" s="8" t="str"/>
      <x:c r="F64" s="10" t="str">
        <x:v>How Much Does Long Term Care Insurance Cover?</x:v>
      </x:c>
      <x:c r="G64" s="10" t="str">
        <x:v>Question: How Much Does Long Term Care Insurance Cover?
Answer: A quality long-term care insurance policy from a well-capitalized , highly rated insurance company will include at least the following : Facility careHome care Domestic care -LRB- housework , yard work , cleaning chores -RRB- Assisted living or residential living careAdult Day CareRespite care -LRB- time off for the primary family care giver -RRB- Home modifications so that insured can stay at home for as long as possible , the costs of which are not deducted from the pool of money available for daily care.There may be additional coverage offered by the carrier . Ask to see a `` specimen policy '' for the exact language of the benefits , features , and riders of the policy you are considering . Look for language that takes into account the possibility of future medical or technological advances that may become available but which are not yet known or invented yet . For example , `` assisted living '' facilities were not even available 25 years ago , but , people that bought quality policies before that time with contract language that allowed for future developments in the field of elder care are now in such facilities and being paid for those expenses .</x:v>
      </x:c>
      <x:c r="H64" s="10" t="str">
        <x:v>Based on the supplied context, a quality long-term care insurance policy from a well-capitalized , highly rated insurance company will include at least the following : Facility careHome care Domestic care -LRB- housework , yard work , cleaning chores -RRB- Assisted living or residential living careAdult Day CareRespite care -LRB- time off for the primary family care giver -RRB- Home modifications so that insured can stay at home for as long as possible , the costs of which are not deducted from the pool of money available for daily care.There may be additional coverage offered by the carrier . Ask to see a `` specimen policy '' for the exact language of the benefits , features , and riders of the policy you are considering . Look for language that takes into account the possibility of future medical or technological advances that may become available but which are not yet known or invented yet . For example , `` assisted living '' facilities were not even available 25 years ago , but , people that bought quality policies before that time with contract language that allowed for future developments in the field of elder care are now in such facilities and being paid for those expenses .</x:v>
      </x:c>
      <x:c r="I64" s="8" t="str">
        <x:v>general_insurance</x:v>
      </x:c>
      <x:c r="J64" s="8" t="str">
        <x:v>VALIDATION</x:v>
      </x:c>
      <x:c r="K64" s="10" t="str"/>
      <x:c r="L64" s="12" t="str"/>
      <x:c r="M64" s="12" t="str"/>
      <x:c r="N64" s="12" t="str"/>
      <x:c r="O64" s="12" t="str"/>
      <x:c r="P64" s="12" t="str"/>
    </x:row>
    <x:row r="65">
      <x:c r="A65" s="8" t="str">
        <x:v>ext-iqa-pass-064</x:v>
      </x:c>
      <x:c r="B65" s="8" t="str">
        <x:v>insuranceqa</x:v>
      </x:c>
      <x:c r="C65" s="8" t="str">
        <x:v>data/benchmarks/qa/insuranceqa/data_insuranceqa_1000.jsonl</x:v>
      </x:c>
      <x:c r="D65" s="8" t="str">
        <x:v>insuranceqa:137</x:v>
      </x:c>
      <x:c r="E65" s="8" t="str"/>
      <x:c r="F65" s="10" t="str">
        <x:v>Why Get Critical Illness Insurance?</x:v>
      </x:c>
      <x:c r="G65" s="10" t="str">
        <x:v>Question: Why Get Critical Illness Insurance?
Answer: A Critical care policy pays you not the Doctor or Hospital , in the event of an critical illness , such as a heart attack , stroke , major organ failure , Cancer , loss of the inability to perform 2 Activities of Daily Living . The likely hood if you were to suffer a heart attack , stroke , cancer or the like is that you will likely survive . The bills , mortgage , utilities , &amp; such do not stop because you are ill . The money can also be used to offset health insurance copay 's , time off work , second opinion , or anything else . Face amounts usually run any where from $ 4,000.00 to $ 500,000.00 lump sum . Some policies offer a Return of Premium , meaning if you never use the insurance , your estate will receive 100 % of the premium back . HBWavp@gmail.com</x:v>
      </x:c>
      <x:c r="H65" s="10" t="str">
        <x:v>Based on the supplied context, a Critical care policy pays you not the Doctor or Hospital , in the event of an critical illness , such as a heart attack , stroke , major organ failure , Cancer , loss of the inability to perform 2 Activities of Daily Living . The likely hood if you were to suffer a heart attack , stroke , cancer or the like is that you will likely survive . The bills , mortgage , utilities , &amp; such do not stop because you are ill . The money can also be used to offset health insurance copay 's , time off work , second opinion , or anything else . Face amounts usually run any where from $ 4,000.00 to $ 500,000.00 lump sum . Some policies offer a Return of Premium , meaning if you never use the insurance , your estate will receive 100 % of the premium back . HBWavp@gmail.com</x:v>
      </x:c>
      <x:c r="I65" s="8" t="str">
        <x:v>general_insurance</x:v>
      </x:c>
      <x:c r="J65" s="8" t="str">
        <x:v>LOCKED_HOLDOUT_CANDIDATE</x:v>
      </x:c>
      <x:c r="K65" s="10" t="str"/>
      <x:c r="L65" s="12" t="str"/>
      <x:c r="M65" s="12" t="str"/>
      <x:c r="N65" s="12" t="str"/>
      <x:c r="O65" s="12" t="str"/>
      <x:c r="P65" s="12" t="str"/>
    </x:row>
    <x:row r="66">
      <x:c r="A66" s="8" t="str">
        <x:v>ext-iqa-pass-065</x:v>
      </x:c>
      <x:c r="B66" s="8" t="str">
        <x:v>insuranceqa</x:v>
      </x:c>
      <x:c r="C66" s="8" t="str">
        <x:v>data/benchmarks/qa/insuranceqa/data_insuranceqa_1000.jsonl</x:v>
      </x:c>
      <x:c r="D66" s="8" t="str">
        <x:v>insuranceqa:875</x:v>
      </x:c>
      <x:c r="E66" s="8" t="str"/>
      <x:c r="F66" s="10" t="str">
        <x:v>Can You Visit A Doctor Without Health Insurance?</x:v>
      </x:c>
      <x:c r="G66" s="10" t="str">
        <x:v>Question: Can You Visit A Doctor Without Health Insurance?
Answer: Unless there is legislative restrictions that I am unaware of you can see a doctor without health insurance . If you do see a doctor and you do not have health insurance you will be expected to pay the full cost of the visit out of your own pocket though . This can be very costly .</x:v>
      </x:c>
      <x:c r="H66" s="10" t="str">
        <x:v>Based on the supplied context, unless there is legislative restrictions that I am unaware of you can see a doctor without health insurance . If you do see a doctor and you do not have health insurance you will be expected to pay the full cost of the visit out of your own pocket though . This can be very costly .</x:v>
      </x:c>
      <x:c r="I66" s="8" t="str">
        <x:v>health</x:v>
      </x:c>
      <x:c r="J66" s="8" t="str">
        <x:v>VALIDATION</x:v>
      </x:c>
      <x:c r="K66" s="10" t="str"/>
      <x:c r="L66" s="12" t="str"/>
      <x:c r="M66" s="12" t="str"/>
      <x:c r="N66" s="12" t="str"/>
      <x:c r="O66" s="12" t="str"/>
      <x:c r="P66" s="12" t="str"/>
    </x:row>
    <x:row r="67">
      <x:c r="A67" s="8" t="str">
        <x:v>ext-iqa-pass-066</x:v>
      </x:c>
      <x:c r="B67" s="8" t="str">
        <x:v>insuranceqa</x:v>
      </x:c>
      <x:c r="C67" s="8" t="str">
        <x:v>data/benchmarks/qa/insuranceqa/data_insuranceqa_1000.jsonl</x:v>
      </x:c>
      <x:c r="D67" s="8" t="str">
        <x:v>insuranceqa:582</x:v>
      </x:c>
      <x:c r="E67" s="8" t="str"/>
      <x:c r="F67" s="10" t="str">
        <x:v>What Are The Current Interest Rates On Annuities?</x:v>
      </x:c>
      <x:c r="G67" s="10" t="str">
        <x:v>Question: What Are The Current Interest Rates On Annuities?
Answer: The Current Fixed Interest Rates on Annuities average 2.95 % for 5 years , 3.25 % for 10 years . The rates can change quickly so always call your annuity distributor before using any quotes including these quotes . Most advisers are selling 5 year fixed with an expectation that rates are going to rise in the future . The 35 basis point spread between the 5 and 10 year rate is not enough go long .</x:v>
      </x:c>
      <x:c r="H67" s="10" t="str">
        <x:v>Based on the supplied context, the Current Fixed Interest Rates on Annuities average 2.95 % for 5 years , 3.25 % for 10 years . The rates can change quickly so always call your annuity distributor before using any quotes including these quotes . Most advisers are selling 5 year fixed with an expectation that rates are going to rise in the future . The 35 basis point spread between the 5 and 10 year rate is not enough go long .</x:v>
      </x:c>
      <x:c r="I67" s="8" t="str">
        <x:v>general_insurance</x:v>
      </x:c>
      <x:c r="J67" s="8" t="str">
        <x:v>CALIBRATION</x:v>
      </x:c>
      <x:c r="K67" s="10" t="str"/>
      <x:c r="L67" s="12" t="str"/>
      <x:c r="M67" s="12" t="str"/>
      <x:c r="N67" s="12" t="str"/>
      <x:c r="O67" s="12" t="str"/>
      <x:c r="P67" s="12" t="str"/>
    </x:row>
    <x:row r="68">
      <x:c r="A68" s="8" t="str">
        <x:v>ext-iqa-pass-067</x:v>
      </x:c>
      <x:c r="B68" s="8" t="str">
        <x:v>insuranceqa</x:v>
      </x:c>
      <x:c r="C68" s="8" t="str">
        <x:v>data/benchmarks/qa/insuranceqa/data_insuranceqa_1000.jsonl</x:v>
      </x:c>
      <x:c r="D68" s="8" t="str">
        <x:v>insuranceqa:771</x:v>
      </x:c>
      <x:c r="E68" s="8" t="str"/>
      <x:c r="F68" s="10" t="str">
        <x:v>How Does Car Insurance Value Totaled Car?</x:v>
      </x:c>
      <x:c r="G68" s="10" t="str">
        <x:v>Question: How Does Car Insurance Value Totaled Car?
Answer: A car insurance company will generally provide you with the value of your car - - pre wreck . A car insurance company will typically take a look at similar vehicles and how much they are selling for in your area . They may also take a look at the Kelly Blue Book Value .</x:v>
      </x:c>
      <x:c r="H68" s="10" t="str">
        <x:v>Based on the supplied context, a car insurance company will generally provide you with the value of your car - - pre wreck . A car insurance company will typically take a look at similar vehicles and how much they are selling for in your area . They may also take a look at the Kelly Blue Book Value .</x:v>
      </x:c>
      <x:c r="I68" s="8" t="str">
        <x:v>motor</x:v>
      </x:c>
      <x:c r="J68" s="8" t="str">
        <x:v>VALIDATION</x:v>
      </x:c>
      <x:c r="K68" s="10" t="str"/>
      <x:c r="L68" s="12" t="str"/>
      <x:c r="M68" s="12" t="str"/>
      <x:c r="N68" s="12" t="str"/>
      <x:c r="O68" s="12" t="str"/>
      <x:c r="P68" s="12" t="str"/>
    </x:row>
    <x:row r="69">
      <x:c r="A69" s="8" t="str">
        <x:v>ext-iqa-pass-068</x:v>
      </x:c>
      <x:c r="B69" s="8" t="str">
        <x:v>insuranceqa</x:v>
      </x:c>
      <x:c r="C69" s="8" t="str">
        <x:v>data/benchmarks/qa/insuranceqa/data_insuranceqa_1000.jsonl</x:v>
      </x:c>
      <x:c r="D69" s="8" t="str">
        <x:v>insuranceqa:988</x:v>
      </x:c>
      <x:c r="E69" s="8" t="str"/>
      <x:c r="F69" s="10" t="str">
        <x:v>What Is A Group Universal Life Insurance Policy?</x:v>
      </x:c>
      <x:c r="G69" s="10" t="str">
        <x:v>Question: What Is A Group Universal Life Insurance Policy?
Answer: Group universal life is similar to individual universal life . Group policies involve the plan sponsor , often an employer , holding the master policy while the individual participants receive a certificate of insurance . It is a convenient and voluntary way to acquire cash value life insurance through the workplace . Usually the employee pays all premiums in which case all benefits would be immediately and fully vested . At employment termination portability features in these products generally allow for coverage to be taken by the participant as an individual policy .</x:v>
      </x:c>
      <x:c r="H69" s="10" t="str">
        <x:v>Based on the supplied context, group universal life is similar to individual universal life . Group policies involve the plan sponsor , often an employer , holding the master policy while the individual participants receive a certificate of insurance . It is a convenient and voluntary way to acquire cash value life insurance through the workplace . Usually the employee pays all premiums in which case all benefits would be immediately and fully vested . At employment termination portability features in these products generally allow for coverage to be taken by the participant as an individual policy .</x:v>
      </x:c>
      <x:c r="I69" s="8" t="str">
        <x:v>life</x:v>
      </x:c>
      <x:c r="J69" s="8" t="str">
        <x:v>VALIDATION</x:v>
      </x:c>
      <x:c r="K69" s="10" t="str"/>
      <x:c r="L69" s="12" t="str"/>
      <x:c r="M69" s="12" t="str"/>
      <x:c r="N69" s="12" t="str"/>
      <x:c r="O69" s="12" t="str"/>
      <x:c r="P69" s="12" t="str"/>
    </x:row>
    <x:row r="70">
      <x:c r="A70" s="8" t="str">
        <x:v>ext-iqa-pass-069</x:v>
      </x:c>
      <x:c r="B70" s="8" t="str">
        <x:v>insuranceqa</x:v>
      </x:c>
      <x:c r="C70" s="8" t="str">
        <x:v>data/benchmarks/qa/insuranceqa/data_insuranceqa_1000.jsonl</x:v>
      </x:c>
      <x:c r="D70" s="8" t="str">
        <x:v>insuranceqa:856</x:v>
      </x:c>
      <x:c r="E70" s="8" t="str"/>
      <x:c r="F70" s="10" t="str">
        <x:v>Can Group Health Insurance Deny Pregnancy?</x:v>
      </x:c>
      <x:c r="G70" s="10" t="str">
        <x:v>Question: Can Group Health Insurance Deny Pregnancy?
Answer: For all practical purposes the answer should be `` No '' . The Affordable Care Act -LRB- ObamaCare -RRB- requires coverage for maternity and newborn care to be covered as any other illness under its Minimum Essential Benefits requirements . Also , the Affordable Care Act forbids the application of pre-existing conditions exclusions or waiting periods to health insurance policies . During the last open enrolment period I enrolled a couple of previously uninsured women who were pregnant in the new ObamaCare compliant individual health plans offered in our state and they were covered immediately and had their delivery &amp; other associated expenses covered . These same people would have been declined for coverage due to their pregnancies being defined as pre-existing conditions before January 1 , 2014 .</x:v>
      </x:c>
      <x:c r="H70" s="10" t="str">
        <x:v>Based on the supplied context, for all practical purposes the answer should be `` No '' . The Affordable Care Act -LRB- ObamaCare -RRB- requires coverage for maternity and newborn care to be covered as any other illness under its Minimum Essential Benefits requirements . Also , the Affordable Care Act forbids the application of pre-existing conditions exclusions or waiting periods to health insurance policies . During the last open enrolment period I enrolled a couple of previously uninsured women who were pregnant in the new ObamaCare compliant individual health plans offered in our state and they were covered immediately and had their delivery &amp; other associated expenses covered . These same people would have been declined for coverage due to their pregnancies being defined as pre-existing conditions before January 1 , 2014 .</x:v>
      </x:c>
      <x:c r="I70" s="8" t="str">
        <x:v>health</x:v>
      </x:c>
      <x:c r="J70" s="8" t="str">
        <x:v>LOCKED_HOLDOUT_CANDIDATE</x:v>
      </x:c>
      <x:c r="K70" s="10" t="str"/>
      <x:c r="L70" s="12" t="str"/>
      <x:c r="M70" s="12" t="str"/>
      <x:c r="N70" s="12" t="str"/>
      <x:c r="O70" s="12" t="str"/>
      <x:c r="P70" s="12" t="str"/>
    </x:row>
    <x:row r="71">
      <x:c r="A71" s="8" t="str">
        <x:v>ext-iqa-pass-070</x:v>
      </x:c>
      <x:c r="B71" s="8" t="str">
        <x:v>insuranceqa</x:v>
      </x:c>
      <x:c r="C71" s="8" t="str">
        <x:v>data/benchmarks/qa/insuranceqa/data_insuranceqa_1000.jsonl</x:v>
      </x:c>
      <x:c r="D71" s="8" t="str">
        <x:v>insuranceqa:564</x:v>
      </x:c>
      <x:c r="E71" s="8" t="str"/>
      <x:c r="F71" s="10" t="str">
        <x:v>How Can I Cancel Medicare Part B?</x:v>
      </x:c>
      <x:c r="G71" s="10" t="str">
        <x:v>Question: How Can I Cancel Medicare Part B?
Answer: You can call 1-800-MEDICARE . I highly discourage it however unless you have an employer group plan . You can be penalized by Medicare for every month that you do not carry Part B that you are eligible . If you are in a Medicare Advantage Plan you will be disenrolled because you must have part B to be enrolled in a Medicare Advantage . Not a good idea to cancel your part B . The potential cost over what you would save could be tremendous .</x:v>
      </x:c>
      <x:c r="H71" s="10" t="str">
        <x:v>Based on the supplied context, you can call 1-800-MEDICARE . I highly discourage it however unless you have an employer group plan . You can be penalized by Medicare for every month that you do not carry Part B that you are eligible . If you are in a Medicare Advantage Plan you will be disenrolled because you must have part B to be enrolled in a Medicare Advantage . Not a good idea to cancel your part B . The potential cost over what you would save could be tremendous .</x:v>
      </x:c>
      <x:c r="I71" s="8" t="str">
        <x:v>health</x:v>
      </x:c>
      <x:c r="J71" s="8" t="str">
        <x:v>LOCKED_HOLDOUT_CANDIDATE</x:v>
      </x:c>
      <x:c r="K71" s="10" t="str"/>
      <x:c r="L71" s="12" t="str"/>
      <x:c r="M71" s="12" t="str"/>
      <x:c r="N71" s="12" t="str"/>
      <x:c r="O71" s="12" t="str"/>
      <x:c r="P71" s="12" t="str"/>
    </x:row>
    <x:row r="72">
      <x:c r="A72" s="8" t="str">
        <x:v>ext-iqa-pass-071</x:v>
      </x:c>
      <x:c r="B72" s="8" t="str">
        <x:v>insuranceqa</x:v>
      </x:c>
      <x:c r="C72" s="8" t="str">
        <x:v>data/benchmarks/qa/insuranceqa/data_insuranceqa_1000.jsonl</x:v>
      </x:c>
      <x:c r="D72" s="8" t="str">
        <x:v>insuranceqa:690</x:v>
      </x:c>
      <x:c r="E72" s="8" t="str"/>
      <x:c r="F72" s="10" t="str">
        <x:v>Can A Person Have Two Life Insurance Policies?</x:v>
      </x:c>
      <x:c r="G72" s="10" t="str">
        <x:v>Question: Can A Person Have Two Life Insurance Policies?
Answer: Can a person have two life insurance policies ? Yes , a person can have multiple policies if they choose to , even with different carriers . A newer trend for insureds is buying a smaller face amount of whole life insurance and doing the balance of insurance in term insurance .</x:v>
      </x:c>
      <x:c r="H72" s="10" t="str">
        <x:v>Based on the supplied context, can a person have two life insurance policies ? Yes , a person can have multiple policies if they choose to , even with different carriers . A newer trend for insureds is buying a smaller face amount of whole life insurance and doing the balance of insurance in term insurance .</x:v>
      </x:c>
      <x:c r="I72" s="8" t="str">
        <x:v>life</x:v>
      </x:c>
      <x:c r="J72" s="8" t="str">
        <x:v>CALIBRATION</x:v>
      </x:c>
      <x:c r="K72" s="10" t="str"/>
      <x:c r="L72" s="12" t="str"/>
      <x:c r="M72" s="12" t="str"/>
      <x:c r="N72" s="12" t="str"/>
      <x:c r="O72" s="12" t="str"/>
      <x:c r="P72" s="12" t="str"/>
    </x:row>
    <x:row r="73">
      <x:c r="A73" s="8" t="str">
        <x:v>ext-iqa-pass-072</x:v>
      </x:c>
      <x:c r="B73" s="8" t="str">
        <x:v>insuranceqa</x:v>
      </x:c>
      <x:c r="C73" s="8" t="str">
        <x:v>data/benchmarks/qa/insuranceqa/data_insuranceqa_1000.jsonl</x:v>
      </x:c>
      <x:c r="D73" s="8" t="str">
        <x:v>insuranceqa:871</x:v>
      </x:c>
      <x:c r="E73" s="8" t="str"/>
      <x:c r="F73" s="10" t="str">
        <x:v>What Do I Need In My 401K To Retire?</x:v>
      </x:c>
      <x:c r="G73" s="10" t="str">
        <x:v>Question: What Do I Need In My 401K To Retire?
Answer: Its going to be based on your total life time income projection . Generally speaking ! The best way to determine is go to some of the insurance companies or investment firms . Most all have on their sight a retirement calculator that you can play around with adding different combination of figures . That gives you a fare estimation of how much to plan for in retirement .</x:v>
      </x:c>
      <x:c r="H73" s="10" t="str">
        <x:v>Based on the supplied context, its going to be based on your total life time income projection . Generally speaking ! The best way to determine is go to some of the insurance companies or investment firms . Most all have on their sight a retirement calculator that you can play around with adding different combination of figures . That gives you a fare estimation of how much to plan for in retirement .</x:v>
      </x:c>
      <x:c r="I73" s="8" t="str">
        <x:v>retirement</x:v>
      </x:c>
      <x:c r="J73" s="8" t="str">
        <x:v>LOCKED_HOLDOUT_CANDIDATE</x:v>
      </x:c>
      <x:c r="K73" s="10" t="str"/>
      <x:c r="L73" s="12" t="str"/>
      <x:c r="M73" s="12" t="str"/>
      <x:c r="N73" s="12" t="str"/>
      <x:c r="O73" s="12" t="str"/>
      <x:c r="P73" s="12" t="str"/>
    </x:row>
    <x:row r="74">
      <x:c r="A74" s="8" t="str">
        <x:v>ext-iqa-pass-073</x:v>
      </x:c>
      <x:c r="B74" s="8" t="str">
        <x:v>insuranceqa</x:v>
      </x:c>
      <x:c r="C74" s="8" t="str">
        <x:v>data/benchmarks/qa/insuranceqa/data_insuranceqa_1000.jsonl</x:v>
      </x:c>
      <x:c r="D74" s="8" t="str">
        <x:v>insuranceqa:204</x:v>
      </x:c>
      <x:c r="E74" s="8" t="str"/>
      <x:c r="F74" s="10" t="str">
        <x:v>Why Do So Many Insurance Agents Fail?</x:v>
      </x:c>
      <x:c r="G74" s="10" t="str">
        <x:v>Question: Why Do So Many Insurance Agents Fail?
Answer: Many people get into the insurance business thinking of it as a job . It 's not a job . It 's a business . If you go into business without a solid business plan and money to invest in your business you will fail . You have to learn the products and benefits you are selling . You have to be a professional person and a great communicator . But most of all ... you need people who want to talk to you . And that takes a lot of work or a lot of marketing money . There are also a lot of sharks out there that want to grab new agents and chew them up . They sign agents up for the worst deal imaginable where they could never win . The biggest red flag are the `` free lead '' scammers . They will sign agents up with horrible commission levels to get to the FREE leads . The free leads are worthless junk . You may as well be working the phone book . But if an agent does all the work and makes a sale ... he makes a tiny fraction and the guy who signed him up makes all the real money . It 's a racket , not a career builder . Just look on Craig 's List or any other free advertising place to find these scammers . If you enter the insurance business , make certain that you choose a reputable company with a good manager that you feel good about . If they make it sound too easy to make big money quickly ... watch out ! If they advertise on Craig 's List or offer free leads ... hold on to your wallet !</x:v>
      </x:c>
      <x:c r="H74" s="10" t="str">
        <x:v>Based on the supplied context, many people get into the insurance business thinking of it as a job . It 's not a job . It 's a business . If you go into business without a solid business plan and money to invest in your business you will fail . You have to learn the products and benefits you are selling . You have to be a professional person and a great communicator . But most of all ... you need people who want to talk to you . And that takes a lot of work or a lot of marketing money . There are also a lot of sharks out there that want to grab new agents and chew them up . They sign agents up for the worst deal imaginable where they could never win . The biggest red flag are the `` free lead '' scammers . They will sign agents up with horrible commission levels to get to the FREE leads . The free leads are worthless junk . You may as well be working the phone book . But if an agent does all the work and makes a sale ... he makes a tiny fraction and the guy who signed him up makes all the real money . It 's a racket , not a career builder . Just look on Craig 's List or any other free advertising place to find these scammers . If you enter the insurance business , make certain that you choose a reputable company with a good manager that you feel good about . If they make it sound too easy to make big money quickly ... watch out ! If they advertise on Craig 's List or offer free leads ... hold on to your wallet !</x:v>
      </x:c>
      <x:c r="I74" s="8" t="str">
        <x:v>general_insurance</x:v>
      </x:c>
      <x:c r="J74" s="8" t="str">
        <x:v>LOCKED_HOLDOUT_CANDIDATE</x:v>
      </x:c>
      <x:c r="K74" s="10" t="str"/>
      <x:c r="L74" s="12" t="str"/>
      <x:c r="M74" s="12" t="str"/>
      <x:c r="N74" s="12" t="str"/>
      <x:c r="O74" s="12" t="str"/>
      <x:c r="P74" s="12" t="str"/>
    </x:row>
    <x:row r="75">
      <x:c r="A75" s="8" t="str">
        <x:v>ext-iqa-pass-074</x:v>
      </x:c>
      <x:c r="B75" s="8" t="str">
        <x:v>insuranceqa</x:v>
      </x:c>
      <x:c r="C75" s="8" t="str">
        <x:v>data/benchmarks/qa/insuranceqa/data_insuranceqa_1000.jsonl</x:v>
      </x:c>
      <x:c r="D75" s="8" t="str">
        <x:v>insuranceqa:497</x:v>
      </x:c>
      <x:c r="E75" s="8" t="str"/>
      <x:c r="F75" s="10" t="str">
        <x:v>What Does It Mean When Life Insurance Is Paid Up?</x:v>
      </x:c>
      <x:c r="G75" s="10" t="str">
        <x:v>Question: What Does It Mean When Life Insurance Is Paid Up?
Answer: When life insurance is paid up , it simply means that no further premiums are required to keep the policy in force . The policy may have been set up to where you only needed to pay a single premium in a lump sum . Or it may have required that you paid premiums for a certain number of years , and then it became paid up . In any event , you owe no more premiums and your beneficiary would receive the full face amount or more , if you passed . Or you may have decided to quit paying on the policy early , and were given theoption to take it as a reduced paid up policy . In this case , the face amount will be less than what you originally applied for , but the reduced face amount will stay in effect without you paying any more premiums .</x:v>
      </x:c>
      <x:c r="H75" s="10" t="str">
        <x:v>Based on the supplied context, when life insurance is paid up , it simply means that no further premiums are required to keep the policy in force . The policy may have been set up to where you only needed to pay a single premium in a lump sum . Or it may have required that you paid premiums for a certain number of years , and then it became paid up . In any event , you owe no more premiums and your beneficiary would receive the full face amount or more , if you passed . Or you may have decided to quit paying on the policy early , and were given theoption to take it as a reduced paid up policy . In this case , the face amount will be less than what you originally applied for , but the reduced face amount will stay in effect without you paying any more premiums .</x:v>
      </x:c>
      <x:c r="I75" s="8" t="str">
        <x:v>life</x:v>
      </x:c>
      <x:c r="J75" s="8" t="str">
        <x:v>LOCKED_HOLDOUT_CANDIDATE</x:v>
      </x:c>
      <x:c r="K75" s="10" t="str"/>
      <x:c r="L75" s="12" t="str"/>
      <x:c r="M75" s="12" t="str"/>
      <x:c r="N75" s="12" t="str"/>
      <x:c r="O75" s="12" t="str"/>
      <x:c r="P75" s="12" t="str"/>
    </x:row>
    <x:row r="76">
      <x:c r="A76" s="8" t="str">
        <x:v>ext-iqa-pass-075</x:v>
      </x:c>
      <x:c r="B76" s="8" t="str">
        <x:v>insuranceqa</x:v>
      </x:c>
      <x:c r="C76" s="8" t="str">
        <x:v>data/benchmarks/qa/insuranceqa/data_insuranceqa_1000.jsonl</x:v>
      </x:c>
      <x:c r="D76" s="8" t="str">
        <x:v>insuranceqa:321</x:v>
      </x:c>
      <x:c r="E76" s="8" t="str"/>
      <x:c r="F76" s="10" t="str">
        <x:v>Can I Get Health Insurance Without A Physical?</x:v>
      </x:c>
      <x:c r="G76" s="10" t="str">
        <x:v>Question: Can I Get Health Insurance Without A Physical?
Answer: Yes . Health insurance under the new Affordable Care Act is , in short , guaranteed issue - meaning carriers can not decline you for any pre-existing condition or health-related illness . There are no physicals required to secure an individual health insurance policy . To review available health plans in your area , talk to an independent agent/broker . If you 'd like some assistance , send me a message using the `` contact me '' button</x:v>
      </x:c>
      <x:c r="H76" s="10" t="str">
        <x:v>Based on the supplied context, yes . Health insurance under the new Affordable Care Act is , in short , guaranteed issue - meaning carriers can not decline you for any pre-existing condition or health-related illness . There are no physicals required to secure an individual health insurance policy . To review available health plans in your area , talk to an independent agent/broker . If you 'd like some assistance , send me a message using the `` contact me '' button</x:v>
      </x:c>
      <x:c r="I76" s="8" t="str">
        <x:v>health</x:v>
      </x:c>
      <x:c r="J76" s="8" t="str">
        <x:v>CALIBRATION</x:v>
      </x:c>
      <x:c r="K76" s="10" t="str"/>
      <x:c r="L76" s="12" t="str"/>
      <x:c r="M76" s="12" t="str"/>
      <x:c r="N76" s="12" t="str"/>
      <x:c r="O76" s="12" t="str"/>
      <x:c r="P76" s="12" t="str"/>
    </x:row>
    <x:row r="77">
      <x:c r="A77" s="8" t="str">
        <x:v>ext-iqa-pass-076</x:v>
      </x:c>
      <x:c r="B77" s="8" t="str">
        <x:v>insuranceqa</x:v>
      </x:c>
      <x:c r="C77" s="8" t="str">
        <x:v>data/benchmarks/qa/insuranceqa/data_insuranceqa_1000.jsonl</x:v>
      </x:c>
      <x:c r="D77" s="8" t="str">
        <x:v>insuranceqa:962</x:v>
      </x:c>
      <x:c r="E77" s="8" t="str"/>
      <x:c r="F77" s="10" t="str">
        <x:v>My father passed in 2007 i recently found his life policy, where do i start?</x:v>
      </x:c>
      <x:c r="G77" s="10" t="str">
        <x:v>Question: My father passed in 2007 i recently found his life policy, where do i start?
Answer: The best place to start is to call the life insurance company through which he took out the policy . If the company has changed hands , you can google the name of the old company and the company that bought it will come up in some results . Look at the Contact tab on the company website for Customer Service .</x:v>
      </x:c>
      <x:c r="H77" s="10" t="str">
        <x:v>Based on the supplied context, the best place to start is to call the life insurance company through which he took out the policy . If the company has changed hands , you can google the name of the old company and the company that bought it will come up in some results . Look at the Contact tab on the company website for Customer Service .</x:v>
      </x:c>
      <x:c r="I77" s="8" t="str">
        <x:v>general_insurance</x:v>
      </x:c>
      <x:c r="J77" s="8" t="str">
        <x:v>CALIBRATION</x:v>
      </x:c>
      <x:c r="K77" s="10" t="str"/>
      <x:c r="L77" s="12" t="str"/>
      <x:c r="M77" s="12" t="str"/>
      <x:c r="N77" s="12" t="str"/>
      <x:c r="O77" s="12" t="str"/>
      <x:c r="P77" s="12" t="str"/>
    </x:row>
    <x:row r="78">
      <x:c r="A78" s="8" t="str">
        <x:v>ext-iqa-pass-077</x:v>
      </x:c>
      <x:c r="B78" s="8" t="str">
        <x:v>insuranceqa</x:v>
      </x:c>
      <x:c r="C78" s="8" t="str">
        <x:v>data/benchmarks/qa/insuranceqa/data_insuranceqa_1000.jsonl</x:v>
      </x:c>
      <x:c r="D78" s="8" t="str">
        <x:v>insuranceqa:43</x:v>
      </x:c>
      <x:c r="E78" s="8" t="str"/>
      <x:c r="F78" s="10" t="str">
        <x:v>What Is Vesting In Life Insurance?</x:v>
      </x:c>
      <x:c r="G78" s="10" t="str">
        <x:v>Question: What Is Vesting In Life Insurance?
Answer: As related to life insurance , vesting is a legal term that means that the beneficiary has a legal right to the life insurance proceeds in the policy . If they are an irrevocable beneficiary , they are vested in that policy , and no other beneficiary can replace them without their consent .</x:v>
      </x:c>
      <x:c r="H78" s="10" t="str">
        <x:v>Based on the supplied context, as related to life insurance , vesting is a legal term that means that the beneficiary has a legal right to the life insurance proceeds in the policy . If they are an irrevocable beneficiary , they are vested in that policy , and no other beneficiary can replace them without their consent .</x:v>
      </x:c>
      <x:c r="I78" s="8" t="str">
        <x:v>life</x:v>
      </x:c>
      <x:c r="J78" s="8" t="str">
        <x:v>CALIBRATION</x:v>
      </x:c>
      <x:c r="K78" s="10" t="str"/>
      <x:c r="L78" s="12" t="str"/>
      <x:c r="M78" s="12" t="str"/>
      <x:c r="N78" s="12" t="str"/>
      <x:c r="O78" s="12" t="str"/>
      <x:c r="P78" s="12" t="str"/>
    </x:row>
    <x:row r="79">
      <x:c r="A79" s="8" t="str">
        <x:v>ext-iqa-pass-078</x:v>
      </x:c>
      <x:c r="B79" s="8" t="str">
        <x:v>insuranceqa</x:v>
      </x:c>
      <x:c r="C79" s="8" t="str">
        <x:v>data/benchmarks/qa/insuranceqa/data_insuranceqa_1000.jsonl</x:v>
      </x:c>
      <x:c r="D79" s="8" t="str">
        <x:v>insuranceqa:779</x:v>
      </x:c>
      <x:c r="E79" s="8" t="str"/>
      <x:c r="F79" s="10" t="str">
        <x:v>What Do I Need To Know To Get Homeowners Insurance?</x:v>
      </x:c>
      <x:c r="G79" s="10" t="str">
        <x:v>Question: What Do I Need To Know To Get Homeowners Insurance?
Answer: It would be best if you knew the current value of your personal property and the replacement cost of the same items . That way you can compare the premiums for the two types of coverage . The only other critical thing to know is the highest amount of liability insurance that you can afford . These issues can be handled smoothly by a competent insurance agent .</x:v>
      </x:c>
      <x:c r="H79" s="10" t="str">
        <x:v>Based on the supplied context, it would be best if you knew the current value of your personal property and the replacement cost of the same items . That way you can compare the premiums for the two types of coverage . The only other critical thing to know is the highest amount of liability insurance that you can afford . These issues can be handled smoothly by a competent insurance agent .</x:v>
      </x:c>
      <x:c r="I79" s="8" t="str">
        <x:v>general_insurance</x:v>
      </x:c>
      <x:c r="J79" s="8" t="str">
        <x:v>CALIBRATION</x:v>
      </x:c>
      <x:c r="K79" s="10" t="str"/>
      <x:c r="L79" s="12" t="str"/>
      <x:c r="M79" s="12" t="str"/>
      <x:c r="N79" s="12" t="str"/>
      <x:c r="O79" s="12" t="str"/>
      <x:c r="P79" s="12" t="str"/>
    </x:row>
    <x:row r="80">
      <x:c r="A80" s="8" t="str">
        <x:v>ext-iqa-pass-079</x:v>
      </x:c>
      <x:c r="B80" s="8" t="str">
        <x:v>insuranceqa</x:v>
      </x:c>
      <x:c r="C80" s="8" t="str">
        <x:v>data/benchmarks/qa/insuranceqa/data_insuranceqa_1000.jsonl</x:v>
      </x:c>
      <x:c r="D80" s="8" t="str">
        <x:v>insuranceqa:96</x:v>
      </x:c>
      <x:c r="E80" s="8" t="str"/>
      <x:c r="F80" s="10" t="str">
        <x:v>Is Short Term Disability Considered Health Insurance?</x:v>
      </x:c>
      <x:c r="G80" s="10" t="str">
        <x:v>Question: Is Short Term Disability Considered Health Insurance?
Answer: No short term disability is a different policy than health insurance . Health insurance is designed to pay the providers , i.e. doctors , hospitals , clinics , etc. . Short term disability is designed to pay you for the income that is lost due to an injury or illness . It can be used for medical expenses , food , mortgage or anything else needed to survive during a difficult time .</x:v>
      </x:c>
      <x:c r="H80" s="10" t="str">
        <x:v>Based on the supplied context, no short term disability is a different policy than health insurance . Health insurance is designed to pay the providers , i.e. doctors , hospitals , clinics , etc. . Short term disability is designed to pay you for the income that is lost due to an injury or illness . It can be used for medical expenses , food , mortgage or anything else needed to survive during a difficult time .</x:v>
      </x:c>
      <x:c r="I80" s="8" t="str">
        <x:v>health</x:v>
      </x:c>
      <x:c r="J80" s="8" t="str">
        <x:v>CALIBRATION</x:v>
      </x:c>
      <x:c r="K80" s="10" t="str"/>
      <x:c r="L80" s="12" t="str"/>
      <x:c r="M80" s="12" t="str"/>
      <x:c r="N80" s="12" t="str"/>
      <x:c r="O80" s="12" t="str"/>
      <x:c r="P80" s="12" t="str"/>
    </x:row>
    <x:row r="81">
      <x:c r="A81" s="8" t="str">
        <x:v>ext-iqa-pass-080</x:v>
      </x:c>
      <x:c r="B81" s="8" t="str">
        <x:v>insuranceqa</x:v>
      </x:c>
      <x:c r="C81" s="8" t="str">
        <x:v>data/benchmarks/qa/insuranceqa/data_insuranceqa_1000.jsonl</x:v>
      </x:c>
      <x:c r="D81" s="8" t="str">
        <x:v>insuranceqa:640</x:v>
      </x:c>
      <x:c r="E81" s="8" t="str"/>
      <x:c r="F81" s="10" t="str">
        <x:v>What Stocks Are In A Mutual Fund?</x:v>
      </x:c>
      <x:c r="G81" s="10" t="str">
        <x:v>Question: What Stocks Are In A Mutual Fund?
Answer: That is a great question ! In fact , it 's really the multimillion dollar question ! That is the hard part about choosing the right mutual fund , knowing what they are invested in , and how the investments are performing . A mutual fund that was heavily invested in technology stocks this year would have taken a beating -LRB- some lost very large amounts -RRB- , while mutual funds invested in a mix of bonds and energy stocks would have had a good return . The best thing to do is really look into the fund , its investments and its returns , before you invest in it . Be certain to have your broker clearly explain all fees to you ! Many funds charge fees that can significantly reduce your earnings , and leave you with little more than you started with . Be careful , ok ? Thanks for asking !</x:v>
      </x:c>
      <x:c r="H81" s="10" t="str">
        <x:v>Based on the supplied context, that is a great question ! In fact , it 's really the multimillion dollar question ! That is the hard part about choosing the right mutual fund , knowing what they are invested in , and how the investments are performing . A mutual fund that was heavily invested in technology stocks this year would have taken a beating -LRB- some lost very large amounts -RRB- , while mutual funds invested in a mix of bonds and energy stocks would have had a good return . The best thing to do is really look into the fund , its investments and its returns , before you invest in it . Be certain to have your broker clearly explain all fees to you ! Many funds charge fees that can significantly reduce your earnings , and leave you with little more than you started with . Be careful , ok ? Thanks for asking !</x:v>
      </x:c>
      <x:c r="I81" s="8" t="str">
        <x:v>general_insurance</x:v>
      </x:c>
      <x:c r="J81" s="8" t="str">
        <x:v>VALIDATION</x:v>
      </x:c>
      <x:c r="K81" s="10" t="str"/>
      <x:c r="L81" s="12" t="str"/>
      <x:c r="M81" s="12" t="str"/>
      <x:c r="N81" s="12" t="str"/>
      <x:c r="O81" s="12" t="str"/>
      <x:c r="P81" s="12" t="str"/>
    </x:row>
    <x:row r="82">
      <x:c r="A82" s="8" t="str">
        <x:v>ext-iqa-pass-081</x:v>
      </x:c>
      <x:c r="B82" s="8" t="str">
        <x:v>insuranceqa</x:v>
      </x:c>
      <x:c r="C82" s="8" t="str">
        <x:v>data/benchmarks/qa/insuranceqa/data_insuranceqa_1000.jsonl</x:v>
      </x:c>
      <x:c r="D82" s="8" t="str">
        <x:v>insuranceqa:883</x:v>
      </x:c>
      <x:c r="E82" s="8" t="str"/>
      <x:c r="F82" s="10" t="str">
        <x:v>How Much Should Health Insurance Cost?</x:v>
      </x:c>
      <x:c r="G82" s="10" t="str">
        <x:v>Question: How Much Should Health Insurance Cost?
Answer: How much you should be paying is a hard figure to try and quantify . The average cost in the country for a health insurance plan is $ 328 per month - however , this is only reflective upon a silver level plan -LRB- not all 2014 state figure averages are available yet -RRB- . While you can try to come up with an `` average '' cost , there 's too many factors that go into premium pricing to say how in relation that compares to you . In short , an `` average '' premium is a rather useless figure to the individual . It 's only representative to a large group - you could have people paying a small nominal amount -LRB- after factoring in subsidies -RRB- per month to several thousand dollars per month . Even for that there 's a ton of information to sift through to get an accurate representation . Under the Affordable Care Act , you have the options for bronze , silver , gold , and platinum level plans -LRB- as you go up in metal , the price goes up , but provides better benefits -RRB- - some areas also have a catastrophic plan available . In addition , your age is a big factor as well . The younger you are , the cheaper your premium - the older you are , the higher your premium . Also , if you use tobacco products , your premium can be increased up to 50 % as well . You may be able to qualify for a subsidy that can be used to reduce the cost of your health insurance premiums . I always recommend consulting with an experienced broker . We can help you determine the plan that 's going to be most suitable for your needs and budget . Please feel free to contact me for further assistance . Thanks very much .</x:v>
      </x:c>
      <x:c r="H82" s="10" t="str">
        <x:v>How much you should be paying is a hard figure to try and quantify . The average cost in the country for a health insurance plan is $ 328 per month - however , this is only reflective upon a silver level plan -LRB- not all 2014 state figure averages are available yet -RRB- . While you can try to come up with an `` average '' cost , there 's too many factors that go into premium pricing to say how in relation that compares to you . In short , an `` average '' premium is a rather useless figure to the individual . It 's only representative to a large group - you could have people paying a small nominal amount -LRB- after factoring in subsidies -RRB- per month to several thousand dollars per month . Even for that there 's a ton of information to sift through to get an accurate representation . Under the Affordable Care Act , you have the options for bronze , silver , gold , and platinum level plans -LRB- as you go up in metal , the price goes up , but provides better benefits -RRB- - some areas also have a catastrophic plan available . In addition , your age is a big factor as well . The younger you are , the cheaper your premium - the older you are , the higher your premium . Also , if you use tobacco products , your premium can be increased up to 50 % as well . You may be able to qualify for a subsidy that can be used to reduce the cost of your health insurance premiums . I always recommend consulting with an experienced broker . We can help you determine the plan that 's going to be most suitable for your needs and budget . Please feel free to contact me for further assistance . Thanks very much . [insuranceqa:883]</x:v>
      </x:c>
      <x:c r="I82" s="8" t="str">
        <x:v>health</x:v>
      </x:c>
      <x:c r="J82" s="8" t="str">
        <x:v>CALIBRATION</x:v>
      </x:c>
      <x:c r="K82" s="10" t="str"/>
      <x:c r="L82" s="12" t="str"/>
      <x:c r="M82" s="12" t="str"/>
      <x:c r="N82" s="12" t="str"/>
      <x:c r="O82" s="12" t="str"/>
      <x:c r="P82" s="12" t="str"/>
    </x:row>
    <x:row r="83">
      <x:c r="A83" s="8" t="str">
        <x:v>ext-iqa-pass-082</x:v>
      </x:c>
      <x:c r="B83" s="8" t="str">
        <x:v>insuranceqa</x:v>
      </x:c>
      <x:c r="C83" s="8" t="str">
        <x:v>data/benchmarks/qa/insuranceqa/data_insuranceqa_1000.jsonl</x:v>
      </x:c>
      <x:c r="D83" s="8" t="str">
        <x:v>insuranceqa:308</x:v>
      </x:c>
      <x:c r="E83" s="8" t="str"/>
      <x:c r="F83" s="10" t="str">
        <x:v>When Do You Apply For Medicare Part A?</x:v>
      </x:c>
      <x:c r="G83" s="10" t="str">
        <x:v>Question: When Do You Apply For Medicare Part A?
Answer: Great question . Normally your Medicare card is sent in the mail 3 months before your 65th birthday . However , sometimes you have to apply and you can do this by visiting you social security office or website . Once you are eligible for Medicare , a broker should be able to help you understand it further as well as help you explore your options .</x:v>
      </x:c>
      <x:c r="H83" s="10" t="str">
        <x:v>Great question . Normally your Medicare card is sent in the mail 3 months before your 65th birthday . However , sometimes you have to apply and you can do this by visiting you social security office or website . Once you are eligible for Medicare , a broker should be able to help you understand it further as well as help you explore your options . [insuranceqa:308]</x:v>
      </x:c>
      <x:c r="I83" s="8" t="str">
        <x:v>health</x:v>
      </x:c>
      <x:c r="J83" s="8" t="str">
        <x:v>LOCKED_HOLDOUT_CANDIDATE</x:v>
      </x:c>
      <x:c r="K83" s="10" t="str"/>
      <x:c r="L83" s="12" t="str"/>
      <x:c r="M83" s="12" t="str"/>
      <x:c r="N83" s="12" t="str"/>
      <x:c r="O83" s="12" t="str"/>
      <x:c r="P83" s="12" t="str"/>
    </x:row>
    <x:row r="84">
      <x:c r="A84" s="8" t="str">
        <x:v>ext-iqa-pass-083</x:v>
      </x:c>
      <x:c r="B84" s="8" t="str">
        <x:v>insuranceqa</x:v>
      </x:c>
      <x:c r="C84" s="8" t="str">
        <x:v>data/benchmarks/qa/insuranceqa/data_insuranceqa_1000.jsonl</x:v>
      </x:c>
      <x:c r="D84" s="8" t="str">
        <x:v>insuranceqa:107</x:v>
      </x:c>
      <x:c r="E84" s="8" t="str"/>
      <x:c r="F84" s="10" t="str">
        <x:v>Does Homeowners Insurance Cover Oil Tank Removal?</x:v>
      </x:c>
      <x:c r="G84" s="10" t="str">
        <x:v>Question: Does Homeowners Insurance Cover Oil Tank Removal?
Answer: Under normal circumstances your homeowners insurance will not typically pay for the removal of an oil tank . Please remember every policy is different . Read your policy completely to understand the coverage provided by the policy and any exclusions contained within or contact your local agent to have them go over the policy with you .</x:v>
      </x:c>
      <x:c r="H84" s="10" t="str">
        <x:v>Under normal circumstances your homeowners insurance will not typically pay for the removal of an oil tank . Please remember every policy is different . Read your policy completely to understand the coverage provided by the policy and any exclusions contained within or contact your local agent to have them go over the policy with you . [insuranceqa:107]</x:v>
      </x:c>
      <x:c r="I84" s="8" t="str">
        <x:v>general_insurance</x:v>
      </x:c>
      <x:c r="J84" s="8" t="str">
        <x:v>CALIBRATION</x:v>
      </x:c>
      <x:c r="K84" s="10" t="str"/>
      <x:c r="L84" s="12" t="str"/>
      <x:c r="M84" s="12" t="str"/>
      <x:c r="N84" s="12" t="str"/>
      <x:c r="O84" s="12" t="str"/>
      <x:c r="P84" s="12" t="str"/>
    </x:row>
    <x:row r="85">
      <x:c r="A85" s="8" t="str">
        <x:v>ext-iqa-pass-084</x:v>
      </x:c>
      <x:c r="B85" s="8" t="str">
        <x:v>insuranceqa</x:v>
      </x:c>
      <x:c r="C85" s="8" t="str">
        <x:v>data/benchmarks/qa/insuranceqa/data_insuranceqa_1000.jsonl</x:v>
      </x:c>
      <x:c r="D85" s="8" t="str">
        <x:v>insuranceqa:246</x:v>
      </x:c>
      <x:c r="E85" s="8" t="str"/>
      <x:c r="F85" s="10" t="str">
        <x:v>What Is My Medicare Part B Number?</x:v>
      </x:c>
      <x:c r="G85" s="10" t="str">
        <x:v>Question: What Is My Medicare Part B Number?
Answer: Your Medicare Part B number is the same as your Medicare Part A number . When you enroll in Medicare , you are assigned a claim number - this is typically going to be your social security number plus a letter on the end -LRB- designates certain conditions - e.g. only you are applying and not your spouse , on group coverage , etc. -RRB- . Please feel free to contact me for help and if you have any other questions . Thanks very much .</x:v>
      </x:c>
      <x:c r="H85" s="10" t="str">
        <x:v>Your Medicare Part B number is the same as your Medicare Part A number . When you enroll in Medicare , you are assigned a claim number - this is typically going to be your social security number plus a letter on the end -LRB- designates certain conditions - e.g. only you are applying and not your spouse , on group coverage , etc. -RRB- . Please feel free to contact me for help and if you have any other questions . Thanks very much . [insuranceqa:246]</x:v>
      </x:c>
      <x:c r="I85" s="8" t="str">
        <x:v>health</x:v>
      </x:c>
      <x:c r="J85" s="8" t="str">
        <x:v>CALIBRATION</x:v>
      </x:c>
      <x:c r="K85" s="10" t="str"/>
      <x:c r="L85" s="12" t="str"/>
      <x:c r="M85" s="12" t="str"/>
      <x:c r="N85" s="12" t="str"/>
      <x:c r="O85" s="12" t="str"/>
      <x:c r="P85" s="12" t="str"/>
    </x:row>
    <x:row r="86">
      <x:c r="A86" s="8" t="str">
        <x:v>ext-iqa-pass-085</x:v>
      </x:c>
      <x:c r="B86" s="8" t="str">
        <x:v>insuranceqa</x:v>
      </x:c>
      <x:c r="C86" s="8" t="str">
        <x:v>data/benchmarks/qa/insuranceqa/data_insuranceqa_1000.jsonl</x:v>
      </x:c>
      <x:c r="D86" s="8" t="str">
        <x:v>insuranceqa:337</x:v>
      </x:c>
      <x:c r="E86" s="8" t="str"/>
      <x:c r="F86" s="10" t="str">
        <x:v>Is Life Insurance Portable?</x:v>
      </x:c>
      <x:c r="G86" s="10" t="str">
        <x:v>Question: Is Life Insurance Portable?
Answer: If you purchase a life insurance policy on your own -LRB- outside what your employer offers -RRB- , it is always portable . You can move across the country , or to another country , and as long as it was bought with full disclosure , it will pay the death benefit if you pass away .</x:v>
      </x:c>
      <x:c r="H86" s="10" t="str">
        <x:v>If you purchase a life insurance policy on your own -LRB- outside what your employer offers -RRB- , it is always portable . You can move across the country , or to another country , and as long as it was bought with full disclosure , it will pay the death benefit if you pass away . [insuranceqa:337]</x:v>
      </x:c>
      <x:c r="I86" s="8" t="str">
        <x:v>life</x:v>
      </x:c>
      <x:c r="J86" s="8" t="str">
        <x:v>LOCKED_HOLDOUT_CANDIDATE</x:v>
      </x:c>
      <x:c r="K86" s="10" t="str"/>
      <x:c r="L86" s="12" t="str"/>
      <x:c r="M86" s="12" t="str"/>
      <x:c r="N86" s="12" t="str"/>
      <x:c r="O86" s="12" t="str"/>
      <x:c r="P86" s="12" t="str"/>
    </x:row>
    <x:row r="87">
      <x:c r="A87" s="8" t="str">
        <x:v>ext-iqa-pass-086</x:v>
      </x:c>
      <x:c r="B87" s="8" t="str">
        <x:v>insuranceqa</x:v>
      </x:c>
      <x:c r="C87" s="8" t="str">
        <x:v>data/benchmarks/qa/insuranceqa/data_insuranceqa_1000.jsonl</x:v>
      </x:c>
      <x:c r="D87" s="8" t="str">
        <x:v>insuranceqa:628</x:v>
      </x:c>
      <x:c r="E87" s="8" t="str"/>
      <x:c r="F87" s="10" t="str">
        <x:v>Does My Homeowners Insurance Cover Foundation Problems?</x:v>
      </x:c>
      <x:c r="G87" s="10" t="str">
        <x:v>Question: Does My Homeowners Insurance Cover Foundation Problems?
Answer: A homeowners policy covers damages caused by specified perils . These perils are described in the policy and while comprehensive there are some perils that are excluded . If the cause of the foundation problem was damage by a specified peril it would be covered , however it more likely that the damage would be cause by earth movement which is an excluded peril .</x:v>
      </x:c>
      <x:c r="H87" s="10" t="str">
        <x:v>A homeowners policy covers damages caused by specified perils . These perils are described in the policy and while comprehensive there are some perils that are excluded . If the cause of the foundation problem was damage by a specified peril it would be covered , however it more likely that the damage would be cause by earth movement which is an excluded peril . [insuranceqa:628]</x:v>
      </x:c>
      <x:c r="I87" s="8" t="str">
        <x:v>general_insurance</x:v>
      </x:c>
      <x:c r="J87" s="8" t="str">
        <x:v>LOCKED_HOLDOUT_CANDIDATE</x:v>
      </x:c>
      <x:c r="K87" s="10" t="str"/>
      <x:c r="L87" s="12" t="str"/>
      <x:c r="M87" s="12" t="str"/>
      <x:c r="N87" s="12" t="str"/>
      <x:c r="O87" s="12" t="str"/>
      <x:c r="P87" s="12" t="str"/>
    </x:row>
    <x:row r="88">
      <x:c r="A88" s="8" t="str">
        <x:v>ext-iqa-pass-087</x:v>
      </x:c>
      <x:c r="B88" s="8" t="str">
        <x:v>insuranceqa</x:v>
      </x:c>
      <x:c r="C88" s="8" t="str">
        <x:v>data/benchmarks/qa/insuranceqa/data_insuranceqa_1000.jsonl</x:v>
      </x:c>
      <x:c r="D88" s="8" t="str">
        <x:v>insuranceqa:314</x:v>
      </x:c>
      <x:c r="E88" s="8" t="str"/>
      <x:c r="F88" s="10" t="str">
        <x:v>Is Renters Insurance A Requirement?</x:v>
      </x:c>
      <x:c r="G88" s="10" t="str">
        <x:v>Question: Is Renters Insurance A Requirement?
Answer: Generally speaking , renters insurance is not a requirement by law however , the apartment or home you are renting , the landlord can make this a requirement in order to lease or rent . It is a good idea anyway . The cost is inexpensive but the coverage may be critical . Be sure to look at the type of insurance you are purchasing . I recommend a policy that will provide you the replacement value versus the current value of your stuff . Keep a good inventory as well .</x:v>
      </x:c>
      <x:c r="H88" s="10" t="str">
        <x:v>Generally speaking , renters insurance is not a requirement by law however , the apartment or home you are renting , the landlord can make this a requirement in order to lease or rent . It is a good idea anyway . The cost is inexpensive but the coverage may be critical . Be sure to look at the type of insurance you are purchasing . I recommend a policy that will provide you the replacement value versus the current value of your stuff . Keep a good inventory as well . [insuranceqa:314]</x:v>
      </x:c>
      <x:c r="I88" s="8" t="str">
        <x:v>household</x:v>
      </x:c>
      <x:c r="J88" s="8" t="str">
        <x:v>CALIBRATION</x:v>
      </x:c>
      <x:c r="K88" s="10" t="str"/>
      <x:c r="L88" s="12" t="str"/>
      <x:c r="M88" s="12" t="str"/>
      <x:c r="N88" s="12" t="str"/>
      <x:c r="O88" s="12" t="str"/>
      <x:c r="P88" s="12" t="str"/>
    </x:row>
    <x:row r="89">
      <x:c r="A89" s="8" t="str">
        <x:v>ext-iqa-pass-088</x:v>
      </x:c>
      <x:c r="B89" s="8" t="str">
        <x:v>insuranceqa</x:v>
      </x:c>
      <x:c r="C89" s="8" t="str">
        <x:v>data/benchmarks/qa/insuranceqa/data_insuranceqa_1000.jsonl</x:v>
      </x:c>
      <x:c r="D89" s="8" t="str">
        <x:v>insuranceqa:123</x:v>
      </x:c>
      <x:c r="E89" s="8" t="str"/>
      <x:c r="F89" s="10" t="str">
        <x:v>How Do I Lower My Homeowners Insurance In Connecticut?</x:v>
      </x:c>
      <x:c r="G89" s="10" t="str">
        <x:v>Question: How Do I Lower My Homeowners Insurance In Connecticut?
Answer: There are several things to consider when looking for ways to lower your Home Insurance premiums . The first area I would call loss control . take a look at your home and property . Are there tree branches or shrubbery that should be trimmed to allow mor air flow around your home ? This cuts down on moisture build up that can cause damage . Are the steps and planking on your deck clean , secure and free from any damage ? Have you had your fireplace chimney cleaned regularly ? Things like these and more when managed , can reduce the chances of a claim which can increase your rates . The next area would be bundling . Many companies offer very nice discounts for those who insure their cars and have life insurance with the same company as your home . Next , talk to your insurance professional about increasing yuour deductible and while you are at it , what benefits you might earn from installing a monitored alarm system , putting on a new roof or upgrading your plumbing , electrical or HVAC sytems . There are discounts available , for sure .</x:v>
      </x:c>
      <x:c r="H89" s="10" t="str">
        <x:v>There are several things to consider when looking for ways to lower your Home Insurance premiums . The first area I would call loss control . take a look at your home and property . Are there tree branches or shrubbery that should be trimmed to allow mor air flow around your home ? This cuts down on moisture build up that can cause damage . Are the steps and planking on your deck clean , secure and free from any damage ? Have you had your fireplace chimney cleaned regularly ? Things like these and more when managed , can reduce the chances of a claim which can increase your rates . The next area would be bundling . Many companies offer very nice discounts for those who insure their cars and have life insurance with the same company as your home . Next , talk to your insurance professional about increasing yuour deductible and while you are at it , what benefits you might earn from installing a monitored alarm system , putting on a new roof or upgrading your plumbing , electrical or HVAC sytems . There are discounts available , for sure . [insuranceqa:123]</x:v>
      </x:c>
      <x:c r="I89" s="8" t="str">
        <x:v>general_insurance</x:v>
      </x:c>
      <x:c r="J89" s="8" t="str">
        <x:v>LOCKED_HOLDOUT_CANDIDATE</x:v>
      </x:c>
      <x:c r="K89" s="10" t="str"/>
      <x:c r="L89" s="12" t="str"/>
      <x:c r="M89" s="12" t="str"/>
      <x:c r="N89" s="12" t="str"/>
      <x:c r="O89" s="12" t="str"/>
      <x:c r="P89" s="12" t="str"/>
    </x:row>
    <x:row r="90">
      <x:c r="A90" s="8" t="str">
        <x:v>ext-iqa-pass-089</x:v>
      </x:c>
      <x:c r="B90" s="8" t="str">
        <x:v>insuranceqa</x:v>
      </x:c>
      <x:c r="C90" s="8" t="str">
        <x:v>data/benchmarks/qa/insuranceqa/data_insuranceqa_1000.jsonl</x:v>
      </x:c>
      <x:c r="D90" s="8" t="str">
        <x:v>insuranceqa:801</x:v>
      </x:c>
      <x:c r="E90" s="8" t="str"/>
      <x:c r="F90" s="10" t="str">
        <x:v>Can You Receive Disability Insurance And Social Security Disability?</x:v>
      </x:c>
      <x:c r="G90" s="10" t="str">
        <x:v>Question: Can You Receive Disability Insurance And Social Security Disability?
Answer: Yes , you can receive Disability Insurance and Social Security Disability Insurance at the same time . The Disability Insurance supplements the Social Security Disability benefit received , allowing the insured person to receive a higher total disability benefit -LRB- % of income replaced -RRB- than just receiving either insurance benefit on its own .</x:v>
      </x:c>
      <x:c r="H90" s="10" t="str">
        <x:v>Yes , you can receive Disability Insurance and Social Security Disability Insurance at the same time . The Disability Insurance supplements the Social Security Disability benefit received , allowing the insured person to receive a higher total disability benefit -LRB- % of income replaced -RRB- than just receiving either insurance benefit on its own . [insuranceqa:801]</x:v>
      </x:c>
      <x:c r="I90" s="8" t="str">
        <x:v>health</x:v>
      </x:c>
      <x:c r="J90" s="8" t="str">
        <x:v>VALIDATION</x:v>
      </x:c>
      <x:c r="K90" s="10" t="str"/>
      <x:c r="L90" s="12" t="str"/>
      <x:c r="M90" s="12" t="str"/>
      <x:c r="N90" s="12" t="str"/>
      <x:c r="O90" s="12" t="str"/>
      <x:c r="P90" s="12" t="str"/>
    </x:row>
    <x:row r="91">
      <x:c r="A91" s="8" t="str">
        <x:v>ext-iqa-pass-090</x:v>
      </x:c>
      <x:c r="B91" s="8" t="str">
        <x:v>insuranceqa</x:v>
      </x:c>
      <x:c r="C91" s="8" t="str">
        <x:v>data/benchmarks/qa/insuranceqa/data_insuranceqa_1000.jsonl</x:v>
      </x:c>
      <x:c r="D91" s="8" t="str">
        <x:v>insuranceqa:161</x:v>
      </x:c>
      <x:c r="E91" s="8" t="str"/>
      <x:c r="F91" s="10" t="str">
        <x:v>When Do You Need Homeowners Insurance?</x:v>
      </x:c>
      <x:c r="G91" s="10" t="str">
        <x:v>Question: When Do You Need Homeowners Insurance?
Answer: Most homeowners need a homeowners policy all the time . A mortgagee will probably require that you carry a homeowners policy to protect the lenders interest . The next significant time you will need a homeowners policy is when you are sued or there is damage to your home and its contents . Because these losses are not frequent , the premium for this coverage is relatively inexpensive . The cost for not having the coverage can be devastating .</x:v>
      </x:c>
      <x:c r="H91" s="10" t="str">
        <x:v>Most homeowners need a homeowners policy all the time . A mortgagee will probably require that you carry a homeowners policy to protect the lenders interest . The next significant time you will need a homeowners policy is when you are sued or there is damage to your home and its contents . Because these losses are not frequent , the premium for this coverage is relatively inexpensive . The cost for not having the coverage can be devastating . [insuranceqa:161]</x:v>
      </x:c>
      <x:c r="I91" s="8" t="str">
        <x:v>general_insurance</x:v>
      </x:c>
      <x:c r="J91" s="8" t="str">
        <x:v>CALIBRATION</x:v>
      </x:c>
      <x:c r="K91" s="10" t="str"/>
      <x:c r="L91" s="12" t="str"/>
      <x:c r="M91" s="12" t="str"/>
      <x:c r="N91" s="12" t="str"/>
      <x:c r="O91" s="12" t="str"/>
      <x:c r="P91" s="12" t="str"/>
    </x:row>
    <x:row r="92">
      <x:c r="A92" s="8" t="str">
        <x:v>ext-iqa-pass-091</x:v>
      </x:c>
      <x:c r="B92" s="8" t="str">
        <x:v>insuranceqa</x:v>
      </x:c>
      <x:c r="C92" s="8" t="str">
        <x:v>data/benchmarks/qa/insuranceqa/data_insuranceqa_1000.jsonl</x:v>
      </x:c>
      <x:c r="D92" s="8" t="str">
        <x:v>insuranceqa:366</x:v>
      </x:c>
      <x:c r="E92" s="8" t="str"/>
      <x:c r="F92" s="10" t="str">
        <x:v>When Does Your Car Insurance Go Down?</x:v>
      </x:c>
      <x:c r="G92" s="10" t="str">
        <x:v>Question: When Does Your Car Insurance Go Down?
Answer: In California car insurance premiums decline as you become a more experienced driver . They decline if you elect to forgo certain coverages . They decline when you get farther away from your bad driving record . They go down if a student in your household is a good student . They go down when you drive fewer miles annually .</x:v>
      </x:c>
      <x:c r="H92" s="10" t="str">
        <x:v>In California car insurance premiums decline as you become a more experienced driver . They decline if you elect to forgo certain coverages . They decline when you get farther away from your bad driving record . They go down if a student in your household is a good student . They go down when you drive fewer miles annually . [insuranceqa:366]</x:v>
      </x:c>
      <x:c r="I92" s="8" t="str">
        <x:v>motor</x:v>
      </x:c>
      <x:c r="J92" s="8" t="str">
        <x:v>CALIBRATION</x:v>
      </x:c>
      <x:c r="K92" s="10" t="str"/>
      <x:c r="L92" s="12" t="str"/>
      <x:c r="M92" s="12" t="str"/>
      <x:c r="N92" s="12" t="str"/>
      <x:c r="O92" s="12" t="str"/>
      <x:c r="P92" s="12" t="str"/>
    </x:row>
    <x:row r="93">
      <x:c r="A93" s="8" t="str">
        <x:v>ext-iqa-pass-092</x:v>
      </x:c>
      <x:c r="B93" s="8" t="str">
        <x:v>insuranceqa</x:v>
      </x:c>
      <x:c r="C93" s="8" t="str">
        <x:v>data/benchmarks/qa/insuranceqa/data_insuranceqa_1000.jsonl</x:v>
      </x:c>
      <x:c r="D93" s="8" t="str">
        <x:v>insuranceqa:1</x:v>
      </x:c>
      <x:c r="E93" s="8" t="str"/>
      <x:c r="F93" s="10" t="str">
        <x:v>How Much Is Health Insurance Out Of Pocket?</x:v>
      </x:c>
      <x:c r="G93" s="10" t="str">
        <x:v>Question: How Much Is Health Insurance Out Of Pocket?
Answer: This depends on a number of factors in your plan including , your premium is , your deductible , coinsurance , copayments , maximum out-of-pocket - these amounts will vary by plan so you want to make sure of what you have and that it 's a plan that is suitable to your needs and budget . It 's not always best to just buy what 's cheapest or the most comprehensive . There are many moving parts to health insurance and it 's always helpful to consult with an experienced broker to make sure that the plan you have/want to apply for is going to best serve your needs . Please let me know if I can be of further assistance . Thanks very much .</x:v>
      </x:c>
      <x:c r="H93" s="10" t="str">
        <x:v>This depends on a number of factors in your plan including , your premium is , your deductible , coinsurance , copayments , maximum out-of-pocket - these amounts will vary by plan so you want to make sure of what you have and that it 's a plan that is suitable to your needs and budget . It 's not always best to just buy what 's cheapest or the most comprehensive . There are many moving parts to health insurance and it 's always helpful to consult with an experienced broker to make sure that the plan you have/want to apply for is going to best serve your needs . Please let me know if I can be of further assistance . Thanks very much . [insuranceqa:1]</x:v>
      </x:c>
      <x:c r="I93" s="8" t="str">
        <x:v>health</x:v>
      </x:c>
      <x:c r="J93" s="8" t="str">
        <x:v>CALIBRATION</x:v>
      </x:c>
      <x:c r="K93" s="10" t="str"/>
      <x:c r="L93" s="12" t="str"/>
      <x:c r="M93" s="12" t="str"/>
      <x:c r="N93" s="12" t="str"/>
      <x:c r="O93" s="12" t="str"/>
      <x:c r="P93" s="12" t="str"/>
    </x:row>
    <x:row r="94">
      <x:c r="A94" s="8" t="str">
        <x:v>ext-iqa-pass-093</x:v>
      </x:c>
      <x:c r="B94" s="8" t="str">
        <x:v>insuranceqa</x:v>
      </x:c>
      <x:c r="C94" s="8" t="str">
        <x:v>data/benchmarks/qa/insuranceqa/data_insuranceqa_1000.jsonl</x:v>
      </x:c>
      <x:c r="D94" s="8" t="str">
        <x:v>insuranceqa:90</x:v>
      </x:c>
      <x:c r="E94" s="8" t="str"/>
      <x:c r="F94" s="10" t="str">
        <x:v>What Can Life Insurance Money Be Used For?</x:v>
      </x:c>
      <x:c r="G94" s="10" t="str">
        <x:v>Question: What Can Life Insurance Money Be Used For?
Answer: Whether you are referring to borrowing from the cash value of a permanent life insurance policy , or spending the death benefit left to you as beneficiary on a policy of someone who passed , the life insurance money is yours to spend as you see fit . If someone is taking out a lie insurance policy and wants the death benefit to be spent in a certain way , it is a good idea to set up a trust outlining those conditions , and then make the trust as the beneficiary of the policy .</x:v>
      </x:c>
      <x:c r="H94" s="10" t="str">
        <x:v>Whether you are referring to borrowing from the cash value of a permanent life insurance policy , or spending the death benefit left to you as beneficiary on a policy of someone who passed , the life insurance money is yours to spend as you see fit . If someone is taking out a lie insurance policy and wants the death benefit to be spent in a certain way , it is a good idea to set up a trust outlining those conditions , and then make the trust as the beneficiary of the policy . [insuranceqa:90]</x:v>
      </x:c>
      <x:c r="I94" s="8" t="str">
        <x:v>life</x:v>
      </x:c>
      <x:c r="J94" s="8" t="str">
        <x:v>LOCKED_HOLDOUT_CANDIDATE</x:v>
      </x:c>
      <x:c r="K94" s="10" t="str"/>
      <x:c r="L94" s="12" t="str"/>
      <x:c r="M94" s="12" t="str"/>
      <x:c r="N94" s="12" t="str"/>
      <x:c r="O94" s="12" t="str"/>
      <x:c r="P94" s="12" t="str"/>
    </x:row>
    <x:row r="95">
      <x:c r="A95" s="8" t="str">
        <x:v>ext-iqa-pass-094</x:v>
      </x:c>
      <x:c r="B95" s="8" t="str">
        <x:v>insuranceqa</x:v>
      </x:c>
      <x:c r="C95" s="8" t="str">
        <x:v>data/benchmarks/qa/insuranceqa/data_insuranceqa_1000.jsonl</x:v>
      </x:c>
      <x:c r="D95" s="8" t="str">
        <x:v>insuranceqa:417</x:v>
      </x:c>
      <x:c r="E95" s="8" t="str"/>
      <x:c r="F95" s="10" t="str">
        <x:v>How To Find Life Insurance Policies After Death?</x:v>
      </x:c>
      <x:c r="G95" s="10" t="str">
        <x:v>Question: How To Find Life Insurance Policies After Death?
Answer: Finding a life insurance policy after death can be accomplished . Often a deceased had many policies that the beneficiaries may not have been aware of . Of course , checking bank and financial records of any payment made to an insurer in the last 10-20 years would be ideal . Also , get in contact with the deceased 's agent , who may be aware of any missing policies .</x:v>
      </x:c>
      <x:c r="H95" s="10" t="str">
        <x:v>Finding a life insurance policy after death can be accomplished . Often a deceased had many policies that the beneficiaries may not have been aware of . Of course , checking bank and financial records of any payment made to an insurer in the last 10-20 years would be ideal . Also , get in contact with the deceased 's agent , who may be aware of any missing policies . [insuranceqa:417]</x:v>
      </x:c>
      <x:c r="I95" s="8" t="str">
        <x:v>life</x:v>
      </x:c>
      <x:c r="J95" s="8" t="str">
        <x:v>VALIDATION</x:v>
      </x:c>
      <x:c r="K95" s="10" t="str"/>
      <x:c r="L95" s="12" t="str"/>
      <x:c r="M95" s="12" t="str"/>
      <x:c r="N95" s="12" t="str"/>
      <x:c r="O95" s="12" t="str"/>
      <x:c r="P95" s="12" t="str"/>
    </x:row>
    <x:row r="96">
      <x:c r="A96" s="8" t="str">
        <x:v>ext-iqa-pass-095</x:v>
      </x:c>
      <x:c r="B96" s="8" t="str">
        <x:v>insuranceqa</x:v>
      </x:c>
      <x:c r="C96" s="8" t="str">
        <x:v>data/benchmarks/qa/insuranceqa/data_insuranceqa_1000.jsonl</x:v>
      </x:c>
      <x:c r="D96" s="8" t="str">
        <x:v>insuranceqa:490</x:v>
      </x:c>
      <x:c r="E96" s="8" t="str"/>
      <x:c r="F96" s="10" t="str">
        <x:v>Will My Home Insurance Go Up If I File A Claim?</x:v>
      </x:c>
      <x:c r="G96" s="10" t="str">
        <x:v>Question: Will My Home Insurance Go Up If I File A Claim?
Answer: This is nearly impossible to answer . Whether or not your rates go up at renewal after a claim is strictly up to your carrier . There are many factors that go into determining your premium for your homeowners insurance coverage and claims history is one of them . In my opinion and experience I would say that the frequency and amount of the claims will be given greater weight the higher the number is for either .</x:v>
      </x:c>
      <x:c r="H96" s="10" t="str">
        <x:v>This is nearly impossible to answer . Whether or not your rates go up at renewal after a claim is strictly up to your carrier . There are many factors that go into determining your premium for your homeowners insurance coverage and claims history is one of them . In my opinion and experience I would say that the frequency and amount of the claims will be given greater weight the higher the number is for either . [insuranceqa:490]</x:v>
      </x:c>
      <x:c r="I96" s="8" t="str">
        <x:v>household</x:v>
      </x:c>
      <x:c r="J96" s="8" t="str">
        <x:v>CALIBRATION</x:v>
      </x:c>
      <x:c r="K96" s="10" t="str"/>
      <x:c r="L96" s="12" t="str"/>
      <x:c r="M96" s="12" t="str"/>
      <x:c r="N96" s="12" t="str"/>
      <x:c r="O96" s="12" t="str"/>
      <x:c r="P96" s="12" t="str"/>
    </x:row>
    <x:row r="97">
      <x:c r="A97" s="8" t="str">
        <x:v>ext-iqa-pass-096</x:v>
      </x:c>
      <x:c r="B97" s="8" t="str">
        <x:v>insuranceqa</x:v>
      </x:c>
      <x:c r="C97" s="8" t="str">
        <x:v>data/benchmarks/qa/insuranceqa/data_insuranceqa_1000.jsonl</x:v>
      </x:c>
      <x:c r="D97" s="8" t="str">
        <x:v>insuranceqa:408</x:v>
      </x:c>
      <x:c r="E97" s="8" t="str"/>
      <x:c r="F97" s="10" t="str">
        <x:v>Does Medicare Cover Breast Ultrasounds?</x:v>
      </x:c>
      <x:c r="G97" s="10" t="str">
        <x:v>Question: Does Medicare Cover Breast Ultrasounds?
Answer: Ultrasounds are covered under Medicare . If they 're completed as an inpatient in a hospital , it would be covered by Part A . If they 're completed on an outpatient basis , it would be covered under Part B. Medicare typically pays for about 80 % of the expenses - you would be responsible for paying the other 20 % . A Medicare supplement policy can help pay the remaining 20 % .</x:v>
      </x:c>
      <x:c r="H97" s="10" t="str">
        <x:v>Ultrasounds are covered under Medicare . If they 're completed as an inpatient in a hospital , it would be covered by Part A . If they 're completed on an outpatient basis , it would be covered under Part B. Medicare typically pays for about 80 % of the expenses - you would be responsible for paying the other 20 % . A Medicare supplement policy can help pay the remaining 20 % . [insuranceqa:408]</x:v>
      </x:c>
      <x:c r="I97" s="8" t="str">
        <x:v>health</x:v>
      </x:c>
      <x:c r="J97" s="8" t="str">
        <x:v>CALIBRATION</x:v>
      </x:c>
      <x:c r="K97" s="10" t="str"/>
      <x:c r="L97" s="12" t="str"/>
      <x:c r="M97" s="12" t="str"/>
      <x:c r="N97" s="12" t="str"/>
      <x:c r="O97" s="12" t="str"/>
      <x:c r="P97" s="12" t="str"/>
    </x:row>
    <x:row r="98">
      <x:c r="A98" s="8" t="str">
        <x:v>ext-iqa-pass-097</x:v>
      </x:c>
      <x:c r="B98" s="8" t="str">
        <x:v>insuranceqa</x:v>
      </x:c>
      <x:c r="C98" s="8" t="str">
        <x:v>data/benchmarks/qa/insuranceqa/data_insuranceqa_1000.jsonl</x:v>
      </x:c>
      <x:c r="D98" s="8" t="str">
        <x:v>insuranceqa:673</x:v>
      </x:c>
      <x:c r="E98" s="8" t="str"/>
      <x:c r="F98" s="10" t="str">
        <x:v>When To Cash In A Whole Life Insurance Policy?</x:v>
      </x:c>
      <x:c r="G98" s="10" t="str">
        <x:v>Question: When To Cash In A Whole Life Insurance Policy?
Answer: That is a great question ! I 'm not really sure what your motives are for cashing it in -LRB- `` surrendering '' -RRB- , but there are definitely some things you want to think about first . What protection will you have if you do surrender it ? Will you be left uninsured , or put into a position where finding a policy that is as affordable as the one your dropping is unreasonable ? If so , maybe keeping the policy is a better idea . Is it just that you need a smaller premium , or some quick cash ? If so , maybe reducing the face value is a better idea - the premium would be less , and you would still have coverage . If quick cash is the need , perhaps a policy loan would be better , all you have to do is find out from your agent how much is safely available to borrow from the policy , and keep the policy active . I hope this helps , contact me if you need help , okay ? Thanks for asking !</x:v>
      </x:c>
      <x:c r="H98" s="10" t="str">
        <x:v>That is a great question ! I 'm not really sure what your motives are for cashing it in -LRB- `` surrendering '' -RRB- , but there are definitely some things you want to think about first . What protection will you have if you do surrender it ? Will you be left uninsured , or put into a position where finding a policy that is as affordable as the one your dropping is unreasonable ? If so , maybe keeping the policy is a better idea . Is it just that you need a smaller premium , or some quick cash ? If so , maybe reducing the face value is a better idea - the premium would be less , and you would still have coverage . If quick cash is the need , perhaps a policy loan would be better , all you have to do is find out from your agent how much is safely available to borrow from the policy , and keep the policy active . I hope this helps , contact me if you need help , okay ? Thanks for asking ! [insuranceqa:673]</x:v>
      </x:c>
      <x:c r="I98" s="8" t="str">
        <x:v>life</x:v>
      </x:c>
      <x:c r="J98" s="8" t="str">
        <x:v>CALIBRATION</x:v>
      </x:c>
      <x:c r="K98" s="10" t="str"/>
      <x:c r="L98" s="12" t="str"/>
      <x:c r="M98" s="12" t="str"/>
      <x:c r="N98" s="12" t="str"/>
      <x:c r="O98" s="12" t="str"/>
      <x:c r="P98" s="12" t="str"/>
    </x:row>
    <x:row r="99">
      <x:c r="A99" s="8" t="str">
        <x:v>ext-iqa-pass-098</x:v>
      </x:c>
      <x:c r="B99" s="8" t="str">
        <x:v>insuranceqa</x:v>
      </x:c>
      <x:c r="C99" s="8" t="str">
        <x:v>data/benchmarks/qa/insuranceqa/data_insuranceqa_1000.jsonl</x:v>
      </x:c>
      <x:c r="D99" s="8" t="str">
        <x:v>insuranceqa:623</x:v>
      </x:c>
      <x:c r="E99" s="8" t="str"/>
      <x:c r="F99" s="10" t="str">
        <x:v>Does Medicare Need A Referral?</x:v>
      </x:c>
      <x:c r="G99" s="10" t="str">
        <x:v>Question: Does Medicare Need A Referral?
Answer: Do I need a referral to a specialist if I have Medicare ? The answer is , it depends . If you have a Medicare Advantage plan , including an employer group Medicare plan , in most cases you will need a referral by your primary care provider before you can see a specialist . Original Medicare allows you to see any provider without a referral .</x:v>
      </x:c>
      <x:c r="H99" s="10" t="str">
        <x:v>Do I need a referral to a specialist if I have Medicare ? The answer is , it depends . If you have a Medicare Advantage plan , including an employer group Medicare plan , in most cases you will need a referral by your primary care provider before you can see a specialist . Original Medicare allows you to see any provider without a referral . [insuranceqa:623]</x:v>
      </x:c>
      <x:c r="I99" s="8" t="str">
        <x:v>health</x:v>
      </x:c>
      <x:c r="J99" s="8" t="str">
        <x:v>VALIDATION</x:v>
      </x:c>
      <x:c r="K99" s="10" t="str"/>
      <x:c r="L99" s="12" t="str"/>
      <x:c r="M99" s="12" t="str"/>
      <x:c r="N99" s="12" t="str"/>
      <x:c r="O99" s="12" t="str"/>
      <x:c r="P99" s="12" t="str"/>
    </x:row>
    <x:row r="100">
      <x:c r="A100" s="8" t="str">
        <x:v>ext-iqa-pass-099</x:v>
      </x:c>
      <x:c r="B100" s="8" t="str">
        <x:v>insuranceqa</x:v>
      </x:c>
      <x:c r="C100" s="8" t="str">
        <x:v>data/benchmarks/qa/insuranceqa/data_insuranceqa_1000.jsonl</x:v>
      </x:c>
      <x:c r="D100" s="8" t="str">
        <x:v>insuranceqa:131</x:v>
      </x:c>
      <x:c r="E100" s="8" t="str"/>
      <x:c r="F100" s="10" t="str">
        <x:v>What Is A Life Insurance Broker?</x:v>
      </x:c>
      <x:c r="G100" s="10" t="str">
        <x:v>Question: What Is A Life Insurance Broker?
Answer: A Life Insurance Broker is someone who works with multiple insurance companies versus an agent who typically works for only one insurance company . A Broker has the ability to `` shop '' around life quotes to specifically meet your needs . Not all companies have the same cost for the insurance they offer so working with a broker , especially if you use a needs analysis , can be your best asset in making sure you are covered .</x:v>
      </x:c>
      <x:c r="H100" s="10" t="str">
        <x:v>A Life Insurance Broker is someone who works with multiple insurance companies versus an agent who typically works for only one insurance company . A Broker has the ability to `` shop '' around life quotes to specifically meet your needs . Not all companies have the same cost for the insurance they offer so working with a broker , especially if you use a needs analysis , can be your best asset in making sure you are covered . [insuranceqa:131]</x:v>
      </x:c>
      <x:c r="I100" s="8" t="str">
        <x:v>life</x:v>
      </x:c>
      <x:c r="J100" s="8" t="str">
        <x:v>CALIBRATION</x:v>
      </x:c>
      <x:c r="K100" s="10" t="str"/>
      <x:c r="L100" s="12" t="str"/>
      <x:c r="M100" s="12" t="str"/>
      <x:c r="N100" s="12" t="str"/>
      <x:c r="O100" s="12" t="str"/>
      <x:c r="P100" s="12" t="str"/>
    </x:row>
    <x:row r="101">
      <x:c r="A101" s="8" t="str">
        <x:v>ext-iqa-pass-100</x:v>
      </x:c>
      <x:c r="B101" s="8" t="str">
        <x:v>insuranceqa</x:v>
      </x:c>
      <x:c r="C101" s="8" t="str">
        <x:v>data/benchmarks/qa/insuranceqa/data_insuranceqa_1000.jsonl</x:v>
      </x:c>
      <x:c r="D101" s="8" t="str">
        <x:v>insuranceqa:470</x:v>
      </x:c>
      <x:c r="E101" s="8" t="str"/>
      <x:c r="F101" s="10" t="str">
        <x:v>How Can I Get Health Insurance With No Job?</x:v>
      </x:c>
      <x:c r="G101" s="10" t="str">
        <x:v>Question: How Can I Get Health Insurance With No Job?
Answer: The best way to get health insurance on your own is to go through the health exchange for your state . This can be a very confusing and frustrating process however , so I recommend that you locate an insurance broker in your state that is contracted to assist you through this process . There is no cost to you for going through the broker , and the amount of time and energy saved is well worth it .</x:v>
      </x:c>
      <x:c r="H101" s="10" t="str">
        <x:v>The best way to get health insurance on your own is to go through the health exchange for your state . This can be a very confusing and frustrating process however , so I recommend that you locate an insurance broker in your state that is contracted to assist you through this process . There is no cost to you for going through the broker , and the amount of time and energy saved is well worth it . [insuranceqa:470]</x:v>
      </x:c>
      <x:c r="I101" s="8" t="str">
        <x:v>health</x:v>
      </x:c>
      <x:c r="J101" s="8" t="str">
        <x:v>VALIDATION</x:v>
      </x:c>
      <x:c r="K101" s="10" t="str"/>
      <x:c r="L101" s="12" t="str"/>
      <x:c r="M101" s="12" t="str"/>
      <x:c r="N101" s="12" t="str"/>
      <x:c r="O101" s="12" t="str"/>
      <x:c r="P101" s="12" t="str"/>
    </x:row>
    <x:row r="102">
      <x:c r="A102" s="8" t="str">
        <x:v>ext-iqa-pass-101</x:v>
      </x:c>
      <x:c r="B102" s="8" t="str">
        <x:v>insuranceqa</x:v>
      </x:c>
      <x:c r="C102" s="8" t="str">
        <x:v>data/benchmarks/qa/insuranceqa/data_insuranceqa_1000.jsonl</x:v>
      </x:c>
      <x:c r="D102" s="8" t="str">
        <x:v>insuranceqa:745</x:v>
      </x:c>
      <x:c r="E102" s="8" t="str"/>
      <x:c r="F102" s="10" t="str">
        <x:v>What Is AD&amp;D Life Insurance?</x:v>
      </x:c>
      <x:c r="G102" s="10" t="str">
        <x:v>Question: What Is AD&amp;D Life Insurance?
Answer: There actually are not any policies that I know of called AD&amp;D Life Insurance . AD&amp;D policies pay proceeds for death or dismemberment caused by accident , and the death or dismemberment must occur within a certain amount of time from when the accident occurred . Life insurance policies pay for loss of life , period , regardless of how death occurred -LRB- with very few exceptions , such as suicide during the first two years -RRB- . Some Life insurance policies offer an accidental death and dismemberment rider that causes the policy to pay double if death is caused by accident . Those type of policies still pay a death benefit for death due to illness , as well .</x:v>
      </x:c>
      <x:c r="H102" s="10" t="str">
        <x:v>There actually are not any policies that I know of called AD&amp;D Life Insurance . AD&amp;D policies pay proceeds for death or dismemberment caused by accident , and the death or dismemberment must occur within a certain amount of time from when the accident occurred . Life insurance policies pay for loss of life , period , regardless of how death occurred -LRB- with very few exceptions , such as suicide during the first two years -RRB- . Some Life insurance policies offer an accidental death and dismemberment rider that causes the policy to pay double if death is caused by accident . Those type of policies still pay a death benefit for death due to illness , as well . [insuranceqa:745]</x:v>
      </x:c>
      <x:c r="I102" s="8" t="str">
        <x:v>life</x:v>
      </x:c>
      <x:c r="J102" s="8" t="str">
        <x:v>CALIBRATION</x:v>
      </x:c>
      <x:c r="K102" s="10" t="str"/>
      <x:c r="L102" s="12" t="str"/>
      <x:c r="M102" s="12" t="str"/>
      <x:c r="N102" s="12" t="str"/>
      <x:c r="O102" s="12" t="str"/>
      <x:c r="P102" s="12" t="str"/>
    </x:row>
    <x:row r="103">
      <x:c r="A103" s="8" t="str">
        <x:v>ext-iqa-pass-102</x:v>
      </x:c>
      <x:c r="B103" s="8" t="str">
        <x:v>insuranceqa</x:v>
      </x:c>
      <x:c r="C103" s="8" t="str">
        <x:v>data/benchmarks/qa/insuranceqa/data_insuranceqa_1000.jsonl</x:v>
      </x:c>
      <x:c r="D103" s="8" t="str">
        <x:v>insuranceqa:149</x:v>
      </x:c>
      <x:c r="E103" s="8" t="str"/>
      <x:c r="F103" s="10" t="str">
        <x:v>Where Can I Get Car Insurance With No Deposit?</x:v>
      </x:c>
      <x:c r="G103" s="10" t="str">
        <x:v>Question: Where Can I Get Car Insurance With No Deposit?
Answer: If you ate adding a new car to an existing auto insurance policy , typically , you do not have to pay anything at that moment . Within about 7-10 days , you will receive an updated declarations page with a revised billing statement . Many insurers offer very low down payment options . Anexperiencedbroker can help you find the best options in your area by shopping for the best offers with the lowest down payments .</x:v>
      </x:c>
      <x:c r="H103" s="10" t="str">
        <x:v>If you ate adding a new car to an existing auto insurance policy , typically , you do not have to pay anything at that moment . Within about 7-10 days , you will receive an updated declarations page with a revised billing statement . Many insurers offer very low down payment options . Anexperiencedbroker can help you find the best options in your area by shopping for the best offers with the lowest down payments . [insuranceqa:149]</x:v>
      </x:c>
      <x:c r="I103" s="8" t="str">
        <x:v>motor</x:v>
      </x:c>
      <x:c r="J103" s="8" t="str">
        <x:v>VALIDATION</x:v>
      </x:c>
      <x:c r="K103" s="10" t="str"/>
      <x:c r="L103" s="12" t="str"/>
      <x:c r="M103" s="12" t="str"/>
      <x:c r="N103" s="12" t="str"/>
      <x:c r="O103" s="12" t="str"/>
      <x:c r="P103" s="12" t="str"/>
    </x:row>
    <x:row r="104">
      <x:c r="A104" s="8" t="str">
        <x:v>ext-iqa-pass-103</x:v>
      </x:c>
      <x:c r="B104" s="8" t="str">
        <x:v>insuranceqa</x:v>
      </x:c>
      <x:c r="C104" s="8" t="str">
        <x:v>data/benchmarks/qa/insuranceqa/data_insuranceqa_1000.jsonl</x:v>
      </x:c>
      <x:c r="D104" s="8" t="str">
        <x:v>insuranceqa:491</x:v>
      </x:c>
      <x:c r="E104" s="8" t="str"/>
      <x:c r="F104" s="10" t="str">
        <x:v>Does Car Insurance Cover A Bicycle Accident?</x:v>
      </x:c>
      <x:c r="G104" s="10" t="str">
        <x:v>Question: Does Car Insurance Cover A Bicycle Accident?
Answer: That is a good question . Car insurance covers bicycle accident . Let say you were driving at night and hit a person on his bicycle and he is injured . Your auto insuranc would cover the bicycle damage and the person on the bike if he or she gets hurt . Good question .</x:v>
      </x:c>
      <x:c r="H104" s="10" t="str">
        <x:v>That is a good question . Car insurance covers bicycle accident . Let say you were driving at night and hit a person on his bicycle and he is injured . Your auto insuranc would cover the bicycle damage and the person on the bike if he or she gets hurt . Good question . [insuranceqa:491]</x:v>
      </x:c>
      <x:c r="I104" s="8" t="str">
        <x:v>motor</x:v>
      </x:c>
      <x:c r="J104" s="8" t="str">
        <x:v>LOCKED_HOLDOUT_CANDIDATE</x:v>
      </x:c>
      <x:c r="K104" s="10" t="str"/>
      <x:c r="L104" s="12" t="str"/>
      <x:c r="M104" s="12" t="str"/>
      <x:c r="N104" s="12" t="str"/>
      <x:c r="O104" s="12" t="str"/>
      <x:c r="P104" s="12" t="str"/>
    </x:row>
    <x:row r="105">
      <x:c r="A105" s="8" t="str">
        <x:v>ext-iqa-pass-104</x:v>
      </x:c>
      <x:c r="B105" s="8" t="str">
        <x:v>insuranceqa</x:v>
      </x:c>
      <x:c r="C105" s="8" t="str">
        <x:v>data/benchmarks/qa/insuranceqa/data_insuranceqa_1000.jsonl</x:v>
      </x:c>
      <x:c r="D105" s="8" t="str">
        <x:v>insuranceqa:126</x:v>
      </x:c>
      <x:c r="E105" s="8" t="str"/>
      <x:c r="F105" s="10" t="str">
        <x:v>Would Home Insurance Cover Tree Root Damage?</x:v>
      </x:c>
      <x:c r="G105" s="10" t="str">
        <x:v>Question: Would Home Insurance Cover Tree Root Damage?
Answer: No homeowners insurance will no cover tree root damage . Tree root damage is something that occurs over a period of time . A covered claim would need to be sudden and/or accidental and tree root damage is not sudden . Trees are just a big plant and plants need to be maintained . If they appear to be getting out of hand they need to be trimmed or removed .</x:v>
      </x:c>
      <x:c r="H105" s="10" t="str">
        <x:v>No homeowners insurance will no cover tree root damage . Tree root damage is something that occurs over a period of time . A covered claim would need to be sudden and/or accidental and tree root damage is not sudden . Trees are just a big plant and plants need to be maintained . If they appear to be getting out of hand they need to be trimmed or removed . [insuranceqa:126]</x:v>
      </x:c>
      <x:c r="I105" s="8" t="str">
        <x:v>household</x:v>
      </x:c>
      <x:c r="J105" s="8" t="str">
        <x:v>CALIBRATION</x:v>
      </x:c>
      <x:c r="K105" s="10" t="str"/>
      <x:c r="L105" s="12" t="str"/>
      <x:c r="M105" s="12" t="str"/>
      <x:c r="N105" s="12" t="str"/>
      <x:c r="O105" s="12" t="str"/>
      <x:c r="P105" s="12" t="str"/>
    </x:row>
    <x:row r="106">
      <x:c r="A106" s="8" t="str">
        <x:v>ext-iqa-pass-105</x:v>
      </x:c>
      <x:c r="B106" s="8" t="str">
        <x:v>insuranceqa</x:v>
      </x:c>
      <x:c r="C106" s="8" t="str">
        <x:v>data/benchmarks/qa/insuranceqa/data_insuranceqa_1000.jsonl</x:v>
      </x:c>
      <x:c r="D106" s="8" t="str">
        <x:v>insuranceqa:532</x:v>
      </x:c>
      <x:c r="E106" s="8" t="str"/>
      <x:c r="F106" s="10" t="str">
        <x:v>Where To Get The Best Life Insurance?</x:v>
      </x:c>
      <x:c r="G106" s="10" t="str">
        <x:v>Question: Where To Get The Best Life Insurance?
Answer: The best life insurance is the policy that you purchase from your trusted life insurance agent . Friends , colleagues and neighbors can recommend someone if you dont already have that relationship . A good life insurance agent will listen to you carefully , offer sound financial advice and communicate clearly with you and the insurance company . Tailoring a plan that meets your needs will be the agents priority and when done properly a meaningful relationship will be established .</x:v>
      </x:c>
      <x:c r="H106" s="10" t="str">
        <x:v>The best life insurance is the policy that you purchase from your trusted life insurance agent . Friends , colleagues and neighbors can recommend someone if you dont already have that relationship . A good life insurance agent will listen to you carefully , offer sound financial advice and communicate clearly with you and the insurance company . Tailoring a plan that meets your needs will be the agents priority and when done properly a meaningful relationship will be established . [insuranceqa:532]</x:v>
      </x:c>
      <x:c r="I106" s="8" t="str">
        <x:v>life</x:v>
      </x:c>
      <x:c r="J106" s="8" t="str">
        <x:v>LOCKED_HOLDOUT_CANDIDATE</x:v>
      </x:c>
      <x:c r="K106" s="10" t="str"/>
      <x:c r="L106" s="12" t="str"/>
      <x:c r="M106" s="12" t="str"/>
      <x:c r="N106" s="12" t="str"/>
      <x:c r="O106" s="12" t="str"/>
      <x:c r="P106" s="12" t="str"/>
    </x:row>
    <x:row r="107">
      <x:c r="A107" s="8" t="str">
        <x:v>ext-iqa-pass-106</x:v>
      </x:c>
      <x:c r="B107" s="8" t="str">
        <x:v>insuranceqa</x:v>
      </x:c>
      <x:c r="C107" s="8" t="str">
        <x:v>data/benchmarks/qa/insuranceqa/data_insuranceqa_1000.jsonl</x:v>
      </x:c>
      <x:c r="D107" s="8" t="str">
        <x:v>insuranceqa:514</x:v>
      </x:c>
      <x:c r="E107" s="8" t="str"/>
      <x:c r="F107" s="10" t="str">
        <x:v>Do I Qualify For Medicare In Wyoming?</x:v>
      </x:c>
      <x:c r="G107" s="10" t="str">
        <x:v>Question: Do I Qualify For Medicare In Wyoming?
Answer: If you have paid Social Security taxes for at least 10 years , or are married to someone over age 64 who paid SS taxes that long , and if you are age 65 , you qualify for Medicare in Wyoming and all 50 states . Your Part A will be free . If you do not qualify based on that criteria but are a US citizen , you can pay a premium for Medicare Part A . You can also qualify for Medicare if you have ESRD or ALS or have been on Social Security Disability for two years . Contact Medicare.gov for specifics .</x:v>
      </x:c>
      <x:c r="H107" s="10" t="str">
        <x:v>If you have paid Social Security taxes for at least 10 years , or are married to someone over age 64 who paid SS taxes that long , and if you are age 65 , you qualify for Medicare in Wyoming and all 50 states . Your Part A will be free . If you do not qualify based on that criteria but are a US citizen , you can pay a premium for Medicare Part A . You can also qualify for Medicare if you have ESRD or ALS or have been on Social Security Disability for two years . Contact Medicare.gov for specifics . [insuranceqa:514]</x:v>
      </x:c>
      <x:c r="I107" s="8" t="str">
        <x:v>health</x:v>
      </x:c>
      <x:c r="J107" s="8" t="str">
        <x:v>VALIDATION</x:v>
      </x:c>
      <x:c r="K107" s="10" t="str"/>
      <x:c r="L107" s="12" t="str"/>
      <x:c r="M107" s="12" t="str"/>
      <x:c r="N107" s="12" t="str"/>
      <x:c r="O107" s="12" t="str"/>
      <x:c r="P107" s="12" t="str"/>
    </x:row>
    <x:row r="108">
      <x:c r="A108" s="8" t="str">
        <x:v>ext-iqa-pass-107</x:v>
      </x:c>
      <x:c r="B108" s="8" t="str">
        <x:v>insuranceqa</x:v>
      </x:c>
      <x:c r="C108" s="8" t="str">
        <x:v>data/benchmarks/qa/insuranceqa/data_insuranceqa_1000.jsonl</x:v>
      </x:c>
      <x:c r="D108" s="8" t="str">
        <x:v>insuranceqa:517</x:v>
      </x:c>
      <x:c r="E108" s="8" t="str"/>
      <x:c r="F108" s="10" t="str">
        <x:v>How To Rollover Your 401K?</x:v>
      </x:c>
      <x:c r="G108" s="10" t="str">
        <x:v>Question: How To Rollover Your 401K?
Answer: A 401 -LRB- k -RRB- can be rolled into a very short list of retirement products . The funds must maintain the same tax characteristics . 401 -LRB- k -RRB- proceeds are often rolled into an IRA . Which specific IRA is beyond the scope of this answer . Most 401 -LRB- k -RRB- administrators require a formal request for the fund transfer . The actual transfer is best handled between the 401 -LRB- k -RRB- trustee and the trustee of the new plan that you have chosen .</x:v>
      </x:c>
      <x:c r="H108" s="10" t="str">
        <x:v>A 401 -LRB- k -RRB- can be rolled into a very short list of retirement products . The funds must maintain the same tax characteristics . 401 -LRB- k -RRB- proceeds are often rolled into an IRA . Which specific IRA is beyond the scope of this answer . Most 401 -LRB- k -RRB- administrators require a formal request for the fund transfer . The actual transfer is best handled between the 401 -LRB- k -RRB- trustee and the trustee of the new plan that you have chosen . [insuranceqa:517]</x:v>
      </x:c>
      <x:c r="I108" s="8" t="str">
        <x:v>retirement</x:v>
      </x:c>
      <x:c r="J108" s="8" t="str">
        <x:v>LOCKED_HOLDOUT_CANDIDATE</x:v>
      </x:c>
      <x:c r="K108" s="10" t="str"/>
      <x:c r="L108" s="12" t="str"/>
      <x:c r="M108" s="12" t="str"/>
      <x:c r="N108" s="12" t="str"/>
      <x:c r="O108" s="12" t="str"/>
      <x:c r="P108" s="12" t="str"/>
    </x:row>
    <x:row r="109">
      <x:c r="A109" s="8" t="str">
        <x:v>ext-iqa-pass-108</x:v>
      </x:c>
      <x:c r="B109" s="8" t="str">
        <x:v>insuranceqa</x:v>
      </x:c>
      <x:c r="C109" s="8" t="str">
        <x:v>data/benchmarks/qa/insuranceqa/data_insuranceqa_1000.jsonl</x:v>
      </x:c>
      <x:c r="D109" s="8" t="str">
        <x:v>insuranceqa:270</x:v>
      </x:c>
      <x:c r="E109" s="8" t="str"/>
      <x:c r="F109" s="10" t="str">
        <x:v>Is Home Insurance Included In Condo Fee?</x:v>
      </x:c>
      <x:c r="G109" s="10" t="str">
        <x:v>Question: Is Home Insurance Included In Condo Fee?
Answer: If you are talking about your monthly Condo Association fee , then no it is not . The fee that ou pay each month includes the Association 's coverage on the complex 's buildings . As a Condo Unit Owner , you should or may be required to obtain a Condominium Unit Owner 's Insurance policy to protect your interest in the property , your personal belongings and liability exposures . This would be paid separately by you to your insurance company .</x:v>
      </x:c>
      <x:c r="H109" s="10" t="str">
        <x:v>If you are talking about your monthly Condo Association fee , then no it is not . The fee that ou pay each month includes the Association 's coverage on the complex 's buildings . As a Condo Unit Owner , you should or may be required to obtain a Condominium Unit Owner 's Insurance policy to protect your interest in the property , your personal belongings and liability exposures . This would be paid separately by you to your insurance company . [insuranceqa:270]</x:v>
      </x:c>
      <x:c r="I109" s="8" t="str">
        <x:v>household</x:v>
      </x:c>
      <x:c r="J109" s="8" t="str">
        <x:v>CALIBRATION</x:v>
      </x:c>
      <x:c r="K109" s="10" t="str"/>
      <x:c r="L109" s="12" t="str"/>
      <x:c r="M109" s="12" t="str"/>
      <x:c r="N109" s="12" t="str"/>
      <x:c r="O109" s="12" t="str"/>
      <x:c r="P109" s="12" t="str"/>
    </x:row>
    <x:row r="110">
      <x:c r="A110" s="8" t="str">
        <x:v>ext-iqa-pass-109</x:v>
      </x:c>
      <x:c r="B110" s="8" t="str">
        <x:v>insuranceqa</x:v>
      </x:c>
      <x:c r="C110" s="8" t="str">
        <x:v>data/benchmarks/qa/insuranceqa/data_insuranceqa_1000.jsonl</x:v>
      </x:c>
      <x:c r="D110" s="8" t="str">
        <x:v>insuranceqa:847</x:v>
      </x:c>
      <x:c r="E110" s="8" t="str"/>
      <x:c r="F110" s="10" t="str">
        <x:v>How To Keep Health Insurance Between Jobs?</x:v>
      </x:c>
      <x:c r="G110" s="10" t="str">
        <x:v>Question: How To Keep Health Insurance Between Jobs?
Answer: How to keep health insurance between jobs ? if your employer is large enough -LRB- 20 people at work on a given day -RRB- you have an option for COBRA continuation which means you can continue your group coverage for up to 18 months or longer -LRB- depending on certain conditions -RRB- at your expense plus a small handling charge -LRB- 102 % of premium cost -RRB- . If you find that cost to be too much for your budget , you can look to both the individual market or temporary health insurance market for possible solutions . You may not get exactly the same coverage as offered by your former employer , but the cost might be considerably less .</x:v>
      </x:c>
      <x:c r="H110" s="10" t="str">
        <x:v>How to keep health insurance between jobs ? if your employer is large enough -LRB- 20 people at work on a given day -RRB- you have an option for COBRA continuation which means you can continue your group coverage for up to 18 months or longer -LRB- depending on certain conditions -RRB- at your expense plus a small handling charge -LRB- 102 % of premium cost -RRB- . If you find that cost to be too much for your budget , you can look to both the individual market or temporary health insurance market for possible solutions . You may not get exactly the same coverage as offered by your former employer , but the cost might be considerably less . [insuranceqa:847]</x:v>
      </x:c>
      <x:c r="I110" s="8" t="str">
        <x:v>health</x:v>
      </x:c>
      <x:c r="J110" s="8" t="str">
        <x:v>LOCKED_HOLDOUT_CANDIDATE</x:v>
      </x:c>
      <x:c r="K110" s="10" t="str"/>
      <x:c r="L110" s="12" t="str"/>
      <x:c r="M110" s="12" t="str"/>
      <x:c r="N110" s="12" t="str"/>
      <x:c r="O110" s="12" t="str"/>
      <x:c r="P110" s="12" t="str"/>
    </x:row>
    <x:row r="111">
      <x:c r="A111" s="8" t="str">
        <x:v>ext-iqa-pass-110</x:v>
      </x:c>
      <x:c r="B111" s="8" t="str">
        <x:v>insuranceqa</x:v>
      </x:c>
      <x:c r="C111" s="8" t="str">
        <x:v>data/benchmarks/qa/insuranceqa/data_insuranceqa_1000.jsonl</x:v>
      </x:c>
      <x:c r="D111" s="8" t="str">
        <x:v>insuranceqa:702</x:v>
      </x:c>
      <x:c r="E111" s="8" t="str"/>
      <x:c r="F111" s="10" t="str">
        <x:v>Can I Deduct Auto Insurance Premiums?</x:v>
      </x:c>
      <x:c r="G111" s="10" t="str">
        <x:v>Question: Can I Deduct Auto Insurance Premiums?
Answer: That is more of a question for your accountant actually . Under normal circumstances , no . However , if you own a business and use your car at least in part for that business , then your accountant may tell you that at least a portion of the premiums that you pay may be deductible as a business expense .</x:v>
      </x:c>
      <x:c r="H111" s="10" t="str">
        <x:v>That is more of a question for your accountant actually . Under normal circumstances , no . However , if you own a business and use your car at least in part for that business , then your accountant may tell you that at least a portion of the premiums that you pay may be deductible as a business expense . [insuranceqa:702]</x:v>
      </x:c>
      <x:c r="I111" s="8" t="str">
        <x:v>motor</x:v>
      </x:c>
      <x:c r="J111" s="8" t="str">
        <x:v>CALIBRATION</x:v>
      </x:c>
      <x:c r="K111" s="10" t="str"/>
      <x:c r="L111" s="12" t="str"/>
      <x:c r="M111" s="12" t="str"/>
      <x:c r="N111" s="12" t="str"/>
      <x:c r="O111" s="12" t="str"/>
      <x:c r="P111" s="12" t="str"/>
    </x:row>
    <x:row r="112">
      <x:c r="A112" s="8" t="str">
        <x:v>ext-iqa-fail-001</x:v>
      </x:c>
      <x:c r="B112" s="8" t="str">
        <x:v>insuranceqa</x:v>
      </x:c>
      <x:c r="C112" s="8" t="str">
        <x:v>data/benchmarks/qa/insuranceqa/data_insuranceqa_1000.jsonl</x:v>
      </x:c>
      <x:c r="D112" s="8" t="str">
        <x:v>insuranceqa:917</x:v>
      </x:c>
      <x:c r="E112" s="8" t="str"/>
      <x:c r="F112" s="10" t="str">
        <x:v>Does Home Insurance Cover Flood?</x:v>
      </x:c>
      <x:c r="G112" s="10" t="str">
        <x:v>Question: Does Home Insurance Cover Flood?
Answer: The short and direct answer is no , a Homeowners ' Insurance policy does noit cover for a flood . Flood Insurance must be obtained separately . FEMA administers the plans and they can be written through a number of different insurance companies . Check their website and look for Flood Certified Agents who would be happy to answer your questions and help you through the process .</x:v>
      </x:c>
      <x:c r="H112" s="10" t="str">
        <x:v>Only if you were liable for anaccidentaldeath would their possibly be coverage . While 300,000 is the minimum liability protection coverage I recommend for a homeowner , should your personal assets exceed this amount I highly recommend a personal umbrella policy be obtained . Umbrella polices can give you 1-10 million dollars in additional liability protection and will extend not only above and beyond your homeowners coverage but auto and rental properties as well . Consult your local agent about your liability protection needs .</x:v>
      </x:c>
      <x:c r="I112" s="8" t="str">
        <x:v>household</x:v>
      </x:c>
      <x:c r="J112" s="8" t="str">
        <x:v>LOCKED_HOLDOUT_CANDIDATE</x:v>
      </x:c>
      <x:c r="K112" s="10" t="str"/>
      <x:c r="L112" s="12" t="str"/>
      <x:c r="M112" s="12" t="str"/>
      <x:c r="N112" s="12" t="str"/>
      <x:c r="O112" s="12" t="str"/>
      <x:c r="P112" s="12" t="str"/>
    </x:row>
    <x:row r="113">
      <x:c r="A113" s="8" t="str">
        <x:v>ext-iqa-fail-002</x:v>
      </x:c>
      <x:c r="B113" s="8" t="str">
        <x:v>insuranceqa</x:v>
      </x:c>
      <x:c r="C113" s="8" t="str">
        <x:v>data/benchmarks/qa/insuranceqa/data_insuranceqa_1000.jsonl</x:v>
      </x:c>
      <x:c r="D113" s="8" t="str">
        <x:v>insuranceqa:512</x:v>
      </x:c>
      <x:c r="E113" s="8" t="str"/>
      <x:c r="F113" s="10" t="str">
        <x:v>When Can I Enroll In Medicare Part A?</x:v>
      </x:c>
      <x:c r="G113" s="10" t="str">
        <x:v>Question: When Can I Enroll In Medicare Part A?
Answer: You will automatically be enrolled in Medicare when you reach age 65 provided you have worked long enough and paid into the system . You will have the choice to opt out of part B of Medicare , but I do not recommend it unless you are still working and in a group . You will also get Medicare if you are on Social Security Disability . There is about a two year wait when you get disability before you are eligible .</x:v>
      </x:c>
      <x:c r="H113" s="10" t="str">
        <x:v>Most people will automatically be enrolled in Medicare Part B at the same time they are enrolled in Medicare Part A . They will receive their Medicare card in the mail three months before their 65th birthday or in the 25th month of their disability . If you or your spouse is working at a job with over 20 employees where the group health insurance provided is your primary carrier , you may delay enrolling in Part B. Call the Social Security Administration at 800-772-1213 to discuss before delaying or turning down enrollment in Medicare Part B .</x:v>
      </x:c>
      <x:c r="I113" s="8" t="str">
        <x:v>health</x:v>
      </x:c>
      <x:c r="J113" s="8" t="str">
        <x:v>LOCKED_HOLDOUT_CANDIDATE</x:v>
      </x:c>
      <x:c r="K113" s="10" t="str"/>
      <x:c r="L113" s="12" t="str"/>
      <x:c r="M113" s="12" t="str"/>
      <x:c r="N113" s="12" t="str"/>
      <x:c r="O113" s="12" t="str"/>
      <x:c r="P113" s="12" t="str"/>
    </x:row>
    <x:row r="114">
      <x:c r="A114" s="8" t="str">
        <x:v>ext-iqa-fail-003</x:v>
      </x:c>
      <x:c r="B114" s="8" t="str">
        <x:v>insuranceqa</x:v>
      </x:c>
      <x:c r="C114" s="8" t="str">
        <x:v>data/benchmarks/qa/insuranceqa/data_insuranceqa_1000.jsonl</x:v>
      </x:c>
      <x:c r="D114" s="8" t="str">
        <x:v>insuranceqa:97</x:v>
      </x:c>
      <x:c r="E114" s="8" t="str"/>
      <x:c r="F114" s="10" t="str">
        <x:v>Do I Need Home Insurance For A Condo?</x:v>
      </x:c>
      <x:c r="G114" s="10" t="str">
        <x:v>Question: Do I Need Home Insurance For A Condo?
Answer: Condominium coverage requires a different form from the standard homeowners package . However , it provides many of the same coverages . The chief difference is that the structure itself is generally insured under a blanket condominium association policy , not the condominium form . The owner of each unit is normally not responsible for the structure , its maintenance or insurance . The owner of a unit is not responsible for the general areas such as gardens and walkways surrounding the condominium . The owners responsibility is for property contained within the structure , to include internal walls , and paint . When a person purchases a condominium they generally secure a mortgage . The mortgage companies will require the owner to purchase a policy to protect the lenders interest in the property . They want coverage for what they loaned you money to purchase . The amount of coverage under a condominium policy includes the amount required to restore the condominium in the event of a covered loss . At the same time the condominium policy provides a way for the homeowner to insure their own personal property -LRB- furniture , decorations , appliances and other property . -RRB-</x:v>
      </x:c>
      <x:c r="H114" s="10" t="str">
        <x:v>For many this amount is determined in part by the mortgage company . You need sufficient coverage to satisfy your lender . In California the lender can not ask for more than the amount necessary to replace the residence . That calculation can be done in the office of an insurance agent . You might find that the amount to rebuild differs from the purchase price but that is because the purchase price is influenced by market pressure where costs of repair remain rather stable .</x:v>
      </x:c>
      <x:c r="I114" s="8" t="str">
        <x:v>household</x:v>
      </x:c>
      <x:c r="J114" s="8" t="str">
        <x:v>VALIDATION</x:v>
      </x:c>
      <x:c r="K114" s="10" t="str"/>
      <x:c r="L114" s="12" t="str"/>
      <x:c r="M114" s="12" t="str"/>
      <x:c r="N114" s="12" t="str"/>
      <x:c r="O114" s="12" t="str"/>
      <x:c r="P114" s="12" t="str"/>
    </x:row>
    <x:row r="115">
      <x:c r="A115" s="8" t="str">
        <x:v>ext-iqa-fail-004</x:v>
      </x:c>
      <x:c r="B115" s="8" t="str">
        <x:v>insuranceqa</x:v>
      </x:c>
      <x:c r="C115" s="8" t="str">
        <x:v>data/benchmarks/qa/insuranceqa/data_insuranceqa_1000.jsonl</x:v>
      </x:c>
      <x:c r="D115" s="8" t="str">
        <x:v>insuranceqa:163</x:v>
      </x:c>
      <x:c r="E115" s="8" t="str"/>
      <x:c r="F115" s="10" t="str">
        <x:v>How Much Does Car Insurance Increase After DUI?</x:v>
      </x:c>
      <x:c r="G115" s="10" t="str">
        <x:v>Question: How Much Does Car Insurance Increase After DUI?
Answer: Car insurance rates typically increase after a DUI ... although the amount of the increase will vary depending on the company you are insured with . There are other costs associated with getting a DUI , including possible reinstatement of your driver 's license and purchase of a Bond , as required by the state . Question answered by E. Harris ... Car insurance broker since 1980 with top-rated website .</x:v>
      </x:c>
      <x:c r="H115" s="10" t="str">
        <x:v>A big part of that answer depends on which company you were insured with beforehand , and how much shopping around you plan to do afterwards . Some companies go harder on DUI 's than other companies . Getting multiple quotes from high risk companies would be the best way to minimize the damage done . An independent agent who specializes in high risk auto insurance would be the ideal place to look .</x:v>
      </x:c>
      <x:c r="I115" s="8" t="str">
        <x:v>motor</x:v>
      </x:c>
      <x:c r="J115" s="8" t="str">
        <x:v>CALIBRATION</x:v>
      </x:c>
      <x:c r="K115" s="10" t="str"/>
      <x:c r="L115" s="12" t="str"/>
      <x:c r="M115" s="12" t="str"/>
      <x:c r="N115" s="12" t="str"/>
      <x:c r="O115" s="12" t="str"/>
      <x:c r="P115" s="12" t="str"/>
    </x:row>
    <x:row r="116">
      <x:c r="A116" s="8" t="str">
        <x:v>ext-iqa-fail-005</x:v>
      </x:c>
      <x:c r="B116" s="8" t="str">
        <x:v>insuranceqa</x:v>
      </x:c>
      <x:c r="C116" s="8" t="str">
        <x:v>data/benchmarks/qa/insuranceqa/data_insuranceqa_1000.jsonl</x:v>
      </x:c>
      <x:c r="D116" s="8" t="str">
        <x:v>insuranceqa:49</x:v>
      </x:c>
      <x:c r="E116" s="8" t="str"/>
      <x:c r="F116" s="10" t="str">
        <x:v>Does Home Owners Insurance Cover Asbestos Removal?</x:v>
      </x:c>
      <x:c r="G116" s="10" t="str">
        <x:v>Question: Does Home Owners Insurance Cover Asbestos Removal?
Answer: Generally the answer to that would be no . Your Homeowners is not designed to cover this type of renovation . If your home is damaged by a covered peril then the removal of asbestos would be covered as part of the repairs , but otherwise you will have to pay .</x:v>
      </x:c>
      <x:c r="H116" s="10" t="str">
        <x:v>Great Question . Condo Insurance covers you for liability if some one falls in your condo . Also cover you for fire , theft and water damage . You would alos need to have coverage for the inside of your unit for the wall in case of a fire and your unit was damaged . Good Luck</x:v>
      </x:c>
      <x:c r="I116" s="8" t="str">
        <x:v>household</x:v>
      </x:c>
      <x:c r="J116" s="8" t="str">
        <x:v>CALIBRATION</x:v>
      </x:c>
      <x:c r="K116" s="10" t="str"/>
      <x:c r="L116" s="12" t="str"/>
      <x:c r="M116" s="12" t="str"/>
      <x:c r="N116" s="12" t="str"/>
      <x:c r="O116" s="12" t="str"/>
      <x:c r="P116" s="12" t="str"/>
    </x:row>
    <x:row r="117">
      <x:c r="A117" s="8" t="str">
        <x:v>ext-iqa-fail-006</x:v>
      </x:c>
      <x:c r="B117" s="8" t="str">
        <x:v>insuranceqa</x:v>
      </x:c>
      <x:c r="C117" s="8" t="str">
        <x:v>data/benchmarks/qa/insuranceqa/data_insuranceqa_1000.jsonl</x:v>
      </x:c>
      <x:c r="D117" s="8" t="str">
        <x:v>insuranceqa:312</x:v>
      </x:c>
      <x:c r="E117" s="8" t="str"/>
      <x:c r="F117" s="10" t="str">
        <x:v>Why Get Medigap?</x:v>
      </x:c>
      <x:c r="G117" s="10" t="str">
        <x:v>Question: Why Get Medigap?
Answer: Medigap is a Medicare supplement that can help pay some of the health care costs that original Medicare does n't cover , like copayments , coinsurance , and deductibles . It also covers medical care for some travel outside the US . If you have an Medicare Advantage Plan , you would not want to get Medigap .</x:v>
      </x:c>
      <x:c r="H117" s="10" t="str">
        <x:v>You can buy Medigap from a carrier , through the Medicare `` hotline '' , from an agent that comes to your home or you can buy from an agent over the phone and internet . If you buy from a carrier or through Medicare you are giving up personal service . Any questions will be handled by whoever answers the phone . If you do n't mind strangers in your home , you can invite one -LRB- or more -RRB- agents to come to your home and pitch you on the various plans . I have conducted business by phone and internet for almost 20 years . Most folks like to shop in the comfort of their home and the ability to make a decision in their own time frame . Over 400 clients ca n't be all wrong .</x:v>
      </x:c>
      <x:c r="I117" s="8" t="str">
        <x:v>health</x:v>
      </x:c>
      <x:c r="J117" s="8" t="str">
        <x:v>LOCKED_HOLDOUT_CANDIDATE</x:v>
      </x:c>
      <x:c r="K117" s="10" t="str"/>
      <x:c r="L117" s="12" t="str"/>
      <x:c r="M117" s="12" t="str"/>
      <x:c r="N117" s="12" t="str"/>
      <x:c r="O117" s="12" t="str"/>
      <x:c r="P117" s="12" t="str"/>
    </x:row>
    <x:row r="118">
      <x:c r="A118" s="8" t="str">
        <x:v>ext-iqa-fail-007</x:v>
      </x:c>
      <x:c r="B118" s="8" t="str">
        <x:v>insuranceqa</x:v>
      </x:c>
      <x:c r="C118" s="8" t="str">
        <x:v>data/benchmarks/qa/insuranceqa/data_insuranceqa_1000.jsonl</x:v>
      </x:c>
      <x:c r="D118" s="8" t="str">
        <x:v>insuranceqa:685</x:v>
      </x:c>
      <x:c r="E118" s="8" t="str"/>
      <x:c r="F118" s="10" t="str">
        <x:v>Does Renters Insurance Transfer?</x:v>
      </x:c>
      <x:c r="G118" s="10" t="str">
        <x:v>Question: Does Renters Insurance Transfer?
Answer: If by transfer you mean does the coverage apply at a new location , the answer is yes . The coverage is limited during the transfer itself -LRB- when things are being transported by a moving company or friend . -RRB- The coverage remains in force in most cases for a relatively short period of time . Since underwriting needs to re-evaluate this new location it is necessary for you to contact your agent immediately .</x:v>
      </x:c>
      <x:c r="H118" s="10" t="str">
        <x:v>Like many other residential property policies these dayssuch as Homeowners or Condominium Unit Owners ' , Renters Insurance policies are generally issued on an annual basis . Policies like this are commonly referred to as `` continuous renewal '' contracts meaning that so long as premiums are paid and the insured continues to meet a company 's underwriting standards and guidelines , the policy will be continuously offered to the insured at each annual renewal date .</x:v>
      </x:c>
      <x:c r="I118" s="8" t="str">
        <x:v>household</x:v>
      </x:c>
      <x:c r="J118" s="8" t="str">
        <x:v>CALIBRATION</x:v>
      </x:c>
      <x:c r="K118" s="10" t="str"/>
      <x:c r="L118" s="12" t="str"/>
      <x:c r="M118" s="12" t="str"/>
      <x:c r="N118" s="12" t="str"/>
      <x:c r="O118" s="12" t="str"/>
      <x:c r="P118" s="12" t="str"/>
    </x:row>
    <x:row r="119">
      <x:c r="A119" s="8" t="str">
        <x:v>ext-iqa-fail-008</x:v>
      </x:c>
      <x:c r="B119" s="8" t="str">
        <x:v>insuranceqa</x:v>
      </x:c>
      <x:c r="C119" s="8" t="str">
        <x:v>data/benchmarks/qa/insuranceqa/data_insuranceqa_1000.jsonl</x:v>
      </x:c>
      <x:c r="D119" s="8" t="str">
        <x:v>insuranceqa:705</x:v>
      </x:c>
      <x:c r="E119" s="8" t="str"/>
      <x:c r="F119" s="10" t="str">
        <x:v>What Is Universal Life Insurance And How Does It Work?</x:v>
      </x:c>
      <x:c r="G119" s="10" t="str">
        <x:v>Question: What Is Universal Life Insurance And How Does It Work?
Answer: Universal life insurance is a form of permanent/cash value life insurance known for it 's flexible premium and adjustable -LRB- downward in most cases -RRB- death benefit . Like all permanent products , the policy is driven by cash values -LRB- a reserve -RRB- in the policy that covers policy expenses . The policy holder also has access to this cash value either as a withdrawal or as a policy loan . Universal life insurance is also very well known for it 's transparency , as all expenses are readily available to the insured if he or she wishes to see them .</x:v>
      </x:c>
      <x:c r="H119" s="10" t="str">
        <x:v>Group Universal Life insurance is a flexible , permanent type of life insurance policy offered by employers to employees at group rates . Universal Life should be a portable plan , because the purpose of Universal Life is to last beyond a few years , and keep for the rest of your life , if possible . It can offer employees death benefit protection along with the opportunity to grow cash values tax deferred .</x:v>
      </x:c>
      <x:c r="I119" s="8" t="str">
        <x:v>life</x:v>
      </x:c>
      <x:c r="J119" s="8" t="str">
        <x:v>LOCKED_HOLDOUT_CANDIDATE</x:v>
      </x:c>
      <x:c r="K119" s="10" t="str"/>
      <x:c r="L119" s="12" t="str"/>
      <x:c r="M119" s="12" t="str"/>
      <x:c r="N119" s="12" t="str"/>
      <x:c r="O119" s="12" t="str"/>
      <x:c r="P119" s="12" t="str"/>
    </x:row>
    <x:row r="120">
      <x:c r="A120" s="8" t="str">
        <x:v>ext-iqa-fail-009</x:v>
      </x:c>
      <x:c r="B120" s="8" t="str">
        <x:v>insuranceqa</x:v>
      </x:c>
      <x:c r="C120" s="8" t="str">
        <x:v>data/benchmarks/qa/insuranceqa/data_insuranceqa_1000.jsonl</x:v>
      </x:c>
      <x:c r="D120" s="8" t="str">
        <x:v>insuranceqa:264</x:v>
      </x:c>
      <x:c r="E120" s="8" t="str"/>
      <x:c r="F120" s="10" t="str">
        <x:v>Does AAA Have Term Life Insurance?</x:v>
      </x:c>
      <x:c r="G120" s="10" t="str">
        <x:v>Question: Does AAA Have Term Life Insurance?
Answer: AAA while being best known for its ' auto towing services and for those of us old enough to remember , their tripticket map service , does indeed sell term insurance . However their are many carriers with higher financial ratings that charge less . In fact , I once had a client who worked for AAA but decided on a less expensive policy with better ratings and a lower cost .</x:v>
      </x:c>
      <x:c r="H120" s="10" t="str">
        <x:v>Usually you have purchased enough term life insurance when all of the obligations you wanted to cover have been met . The most common reasons for purchasing term life insurance are to payoff debt , replace income , educate children , buy out a business partner or create an instant estate for loved ones at the most affordable price . If your face amount of term life insurance meets all of your criteria , congratulations , you have enough .</x:v>
      </x:c>
      <x:c r="I120" s="8" t="str">
        <x:v>life</x:v>
      </x:c>
      <x:c r="J120" s="8" t="str">
        <x:v>VALIDATION</x:v>
      </x:c>
      <x:c r="K120" s="10" t="str"/>
      <x:c r="L120" s="12" t="str"/>
      <x:c r="M120" s="12" t="str"/>
      <x:c r="N120" s="12" t="str"/>
      <x:c r="O120" s="12" t="str"/>
      <x:c r="P120" s="12" t="str"/>
    </x:row>
    <x:row r="121">
      <x:c r="A121" s="8" t="str">
        <x:v>ext-iqa-fail-010</x:v>
      </x:c>
      <x:c r="B121" s="8" t="str">
        <x:v>insuranceqa</x:v>
      </x:c>
      <x:c r="C121" s="8" t="str">
        <x:v>data/benchmarks/qa/insuranceqa/data_insuranceqa_1000.jsonl</x:v>
      </x:c>
      <x:c r="D121" s="8" t="str">
        <x:v>insuranceqa:727</x:v>
      </x:c>
      <x:c r="E121" s="8" t="str"/>
      <x:c r="F121" s="10" t="str">
        <x:v>Does ADP Offer Health Insurance?</x:v>
      </x:c>
      <x:c r="G121" s="10" t="str">
        <x:v>Question: Does ADP Offer Health Insurance?
Answer: ADP Inc. is a worldwide company that offers payroll and resource management expertise to many companies.Presumably they offer healthcare to their employees . Many large and small businesses offer group health , dental and life benefits to their full-time and part-time employees . Depending on the company , they will pay a portion of the premium of those benefits .</x:v>
      </x:c>
      <x:c r="H121" s="10" t="str">
        <x:v>Yes , in some cases . It is possible for an employer to legally offer health insurance to some employees and not others using employment-based classifications . Two common ones are full-time versus part-time and salaried versus hourly . The key legal criteria , though , is that all employees within the same employment classification must be treated consistently . For example , it would be illegal to offer health coverage to some full-time hourly workers but not all full-time workers .</x:v>
      </x:c>
      <x:c r="I121" s="8" t="str">
        <x:v>health</x:v>
      </x:c>
      <x:c r="J121" s="8" t="str">
        <x:v>LOCKED_HOLDOUT_CANDIDATE</x:v>
      </x:c>
      <x:c r="K121" s="10" t="str"/>
      <x:c r="L121" s="12" t="str"/>
      <x:c r="M121" s="12" t="str"/>
      <x:c r="N121" s="12" t="str"/>
      <x:c r="O121" s="12" t="str"/>
      <x:c r="P121" s="12" t="str"/>
    </x:row>
    <x:row r="122">
      <x:c r="A122" s="8" t="str">
        <x:v>ext-iqa-fail-011</x:v>
      </x:c>
      <x:c r="B122" s="8" t="str">
        <x:v>insuranceqa</x:v>
      </x:c>
      <x:c r="C122" s="8" t="str">
        <x:v>data/benchmarks/qa/insuranceqa/data_insuranceqa_1000.jsonl</x:v>
      </x:c>
      <x:c r="D122" s="8" t="str">
        <x:v>insuranceqa:437</x:v>
      </x:c>
      <x:c r="E122" s="8" t="str"/>
      <x:c r="F122" s="10" t="str">
        <x:v>Can I Get Life Insurance After Breast Cancer?</x:v>
      </x:c>
      <x:c r="G122" s="10" t="str">
        <x:v>Question: Can I Get Life Insurance After Breast Cancer?
Answer: The short answer is yes , you can buy life insurance after cancer . The type , amount and terms depends on the cancer itselfand how long you have been cancer free after your last treatment . To get into the standard ratings after breast cancer practically all carriers will want to see you cancer free for 10 years . Anything less than10 yearswill be a higher risk policy of either rated premiums or graduated benefits .</x:v>
      </x:c>
      <x:c r="H122" s="10" t="str">
        <x:v>There is one type of life insurance that you can get while having any type of cancer , and that is called Guaranteed Life Insurance . It is not available at every age , and it is graded for 2 or more years . But it does not have any health requirements . You can also purchase pre-need policies at a funeral home while having cancer . With those , the graded period is usually one year . If your cancer was caught in the early stages and has a good prognosis , you should be able to get a policy other than guaranteed issue about a year or two after the last treatment . Some types of policies will add a flat extra that drops off after a few years . Others add table ratings to the policy . It all depends on the type of cancer , the stage , how well it responded to treatment , how long ago you were diagnosed and last treated , and whether your cancer recurred or not . Finding life insurance for persons with cancer can be complicated . Contacting an impaired risk life insurance specialist is helpful to find your best rate .</x:v>
      </x:c>
      <x:c r="I122" s="8" t="str">
        <x:v>life</x:v>
      </x:c>
      <x:c r="J122" s="8" t="str">
        <x:v>LOCKED_HOLDOUT_CANDIDATE</x:v>
      </x:c>
      <x:c r="K122" s="10" t="str"/>
      <x:c r="L122" s="12" t="str"/>
      <x:c r="M122" s="12" t="str"/>
      <x:c r="N122" s="12" t="str"/>
      <x:c r="O122" s="12" t="str"/>
      <x:c r="P122" s="12" t="str"/>
    </x:row>
    <x:row r="123">
      <x:c r="A123" s="8" t="str">
        <x:v>ext-iqa-fail-012</x:v>
      </x:c>
      <x:c r="B123" s="8" t="str">
        <x:v>insuranceqa</x:v>
      </x:c>
      <x:c r="C123" s="8" t="str">
        <x:v>data/benchmarks/qa/insuranceqa/data_insuranceqa_1000.jsonl</x:v>
      </x:c>
      <x:c r="D123" s="8" t="str">
        <x:v>insuranceqa:335</x:v>
      </x:c>
      <x:c r="E123" s="8" t="str"/>
      <x:c r="F123" s="10" t="str">
        <x:v>Do Insurance Companies Look At Psychiatric Records?</x:v>
      </x:c>
      <x:c r="G123" s="10" t="str">
        <x:v>Question: Do Insurance Companies Look At Psychiatric Records?
Answer: In respect to life insurance , underwriters are most concerned with conditions that impair or prevent a potential insured from completing daily tasks , interactions and living . In the event that your answers to the medical questionnaire on insurance application , attending physician statement &amp; recordsor results from a insurance examindicate that you are being treated through therapy or medication , the underwriters will first seek clarification through your agent . Depending on the severity of the condition , the course of treatment and time elapsed since last episode or event related to your condition , the underwriter may not have much concern and thus not require additional information . Simply put mild conditions such as milddepression , anxiety or stress treated by counseling and low dose medicine may not require deep underwriting depending on the age of the insured and history of condition . More significant conditions , for example schizophrenia , treated with significant medication and therapy , will require additional records from treating physicians to ensure that the insured fits within their risk parameters . In your case , grief counselingcan soundambiguous ; if it were for the loss of a loved one , the absence of whom is not preventing your daily living , it should not require additional review . If the on the other hand , it is being used to cope with another traumatic event , additional questions or requests may be posed by the underwriters . A letter from your treating psychiatrist highlighting your improvements from treatment will help mitigate the need for additional information . In order to ensure that you get the best underwriting class , I suggest that you work with an independent agent that works with multiple carriers as different carriers each have their own points of view on various healthy issues . Additionally , question your insurance agent ! Ask them what experience , if any , have they had with placing business on clients such as yourself . At the end of the day , the most experienced agents will get the best underwriting results for their clients with the least disruption and scrutiny of one 's private issues . Please feel free to contact me to discuss your facts in order to give you more accurate information .</x:v>
      </x:c>
      <x:c r="H123" s="10" t="str">
        <x:v>There are hundreds of annuity companies and perhaps a thousand annuity contracts . You can find excellent spreadsheets online distributed by independent brokerage firms . There are two categories of non-qualified annuities are : tax deferred and immediate . Tax deferred annuities have three basic crediting methods : fixed interest rates , domestic/foreign indices and separate subaccounts using equity and bond instruments . Immediate annuities offer various distribution periods like 10 or 20 years certain and lifetime income on the annuitant .</x:v>
      </x:c>
      <x:c r="I123" s="8" t="str">
        <x:v>general_insurance</x:v>
      </x:c>
      <x:c r="J123" s="8" t="str">
        <x:v>CALIBRATION</x:v>
      </x:c>
      <x:c r="K123" s="10" t="str"/>
      <x:c r="L123" s="12" t="str"/>
      <x:c r="M123" s="12" t="str"/>
      <x:c r="N123" s="12" t="str"/>
      <x:c r="O123" s="12" t="str"/>
      <x:c r="P123" s="12" t="str"/>
    </x:row>
    <x:row r="124">
      <x:c r="A124" s="8" t="str">
        <x:v>ext-iqa-fail-013</x:v>
      </x:c>
      <x:c r="B124" s="8" t="str">
        <x:v>insuranceqa</x:v>
      </x:c>
      <x:c r="C124" s="8" t="str">
        <x:v>data/benchmarks/qa/insuranceqa/data_insuranceqa_1000.jsonl</x:v>
      </x:c>
      <x:c r="D124" s="8" t="str">
        <x:v>insuranceqa:504</x:v>
      </x:c>
      <x:c r="E124" s="8" t="str"/>
      <x:c r="F124" s="10" t="str">
        <x:v>Is Cancer Covered Under Disability Insurance?</x:v>
      </x:c>
      <x:c r="G124" s="10" t="str">
        <x:v>Question: Is Cancer Covered Under Disability Insurance?
Answer: Disability income plans pay as long as you meet the definition of disability , regardless of the disabling condition . If you are unable to work for any reason , illness or accident , and meet the policy definition that qualifies you for benefit , the carrier will pay your monthly benefit until you recover , die or exhaust your benefits .</x:v>
      </x:c>
      <x:c r="H124" s="10" t="str">
        <x:v>Social Security covers disability events for most Americans . Some employer sponsored group plans include short term or even long term disability insurance . You can purchase individual disability insurance for yourself online via several brokerage outlets . Some employers pay for disability insurance for their key employees as a retention benefit and as a recruiting incentive .</x:v>
      </x:c>
      <x:c r="I124" s="8" t="str">
        <x:v>health</x:v>
      </x:c>
      <x:c r="J124" s="8" t="str">
        <x:v>LOCKED_HOLDOUT_CANDIDATE</x:v>
      </x:c>
      <x:c r="K124" s="10" t="str"/>
      <x:c r="L124" s="12" t="str"/>
      <x:c r="M124" s="12" t="str"/>
      <x:c r="N124" s="12" t="str"/>
      <x:c r="O124" s="12" t="str"/>
      <x:c r="P124" s="12" t="str"/>
    </x:row>
    <x:row r="125">
      <x:c r="A125" s="8" t="str">
        <x:v>ext-iqa-fail-014</x:v>
      </x:c>
      <x:c r="B125" s="8" t="str">
        <x:v>insuranceqa</x:v>
      </x:c>
      <x:c r="C125" s="8" t="str">
        <x:v>data/benchmarks/qa/insuranceqa/data_insuranceqa_1000.jsonl</x:v>
      </x:c>
      <x:c r="D125" s="8" t="str">
        <x:v>insuranceqa:748</x:v>
      </x:c>
      <x:c r="E125" s="8" t="str"/>
      <x:c r="F125" s="10" t="str">
        <x:v>What Does Long Term Care Insurance Mean?</x:v>
      </x:c>
      <x:c r="G125" s="10" t="str">
        <x:v>Question: What Does Long Term Care Insurance Mean?
Answer: Long term care insurance is coverage that pays for personal care needs and other related chronic care services for individuals who are limited in their abilities to perform the activities of daily living -LRB- two or more -RRB- . Activities of Daily Living -LRB- ADLs -RRB- include eating , bathing , toileting , dressing , moving between a chair and the bed , and remaining continent . The policy typically pays for care that is provided in the individuals home , in an assisted living facility , or in a nursing home . Long term care insurance is available on an individual or a group basis .</x:v>
      </x:c>
      <x:c r="H125" s="10" t="str">
        <x:v>A quality long-term care insurance policy from a well-capitalized , highly rated insurance company will include at least the following : Facility careHome care Domestic care -LRB- housework , yard work , cleaning chores -RRB- Assisted living or residential living careAdult Day CareRespite care -LRB- time off for the primary family care giver -RRB- Home modifications so that insured can stay at home for as long as possible , the costs of which are not deducted from the pool of money available for daily care.There may be additional coverage offered by the carrier . Ask to see a `` specimen policy '' for the exact language of the benefits , features , and riders of the policy you are considering . Look for language that takes into account the possibility of future medical or technological advances that may become available but which are not yet known or invented yet . For example , `` assisted living '' facilities were not even available 25 years ago , but , people that bought quality policies before that time with contract language that allowed for future developments in the field of elder care are now in such facilities and being paid for those expenses .</x:v>
      </x:c>
      <x:c r="I125" s="8" t="str">
        <x:v>general_insurance</x:v>
      </x:c>
      <x:c r="J125" s="8" t="str">
        <x:v>VALIDATION</x:v>
      </x:c>
      <x:c r="K125" s="10" t="str"/>
      <x:c r="L125" s="12" t="str"/>
      <x:c r="M125" s="12" t="str"/>
      <x:c r="N125" s="12" t="str"/>
      <x:c r="O125" s="12" t="str"/>
      <x:c r="P125" s="12" t="str"/>
    </x:row>
    <x:row r="126">
      <x:c r="A126" s="8" t="str">
        <x:v>ext-iqa-fail-015</x:v>
      </x:c>
      <x:c r="B126" s="8" t="str">
        <x:v>insuranceqa</x:v>
      </x:c>
      <x:c r="C126" s="8" t="str">
        <x:v>data/benchmarks/qa/insuranceqa/data_insuranceqa_1000.jsonl</x:v>
      </x:c>
      <x:c r="D126" s="8" t="str">
        <x:v>insuranceqa:239</x:v>
      </x:c>
      <x:c r="E126" s="8" t="str"/>
      <x:c r="F126" s="10" t="str">
        <x:v>Does Nationwide Offer Long Term Care Insurance?</x:v>
      </x:c>
      <x:c r="G126" s="10" t="str">
        <x:v>Question: Does Nationwide Offer Long Term Care Insurance?
Answer: Actually , Nationwide has a very good hybrid policy that combines permanent life insurance and a comprehensive long term care rider . I use this product alot in my practice for people that have a need for both life insurance and LTC . Advantages of this product is that the benefit will always be used no matter what happens to the individual ; either they will have a long term care claim , or they will pass away and the death benefit will pass to their beneficiaries . Disadvantages of this approach to LTC planning is that there is no potential for any premium write-off and no Partnership protection .</x:v>
      </x:c>
      <x:c r="H126" s="10" t="str">
        <x:v>No . Allstate used to market long-term care insurance through Lincoln Benefit Life , but has not done sofor at least 5 years . All long-term care policies sold by Allstate through LBL are being fully administered and claims paid as approved . Since the carrier is not currently marketing LTC insurance , no new premiums are coming in . As a result , policy holders of this carrier 's long-term care plans of insurance are likely to experience increases in premium in the 30-50 % range . Such an increase occurred in 2010 . However , while those percentages seem extremely high , consumers need to understand that in spite of the increase , the higher premium is probably still a bargain compared to what LTCi costs today . Carriers that increase premiums are making every effort to help people keep at least some of their coverage by making adjustments to benefits , features , or riders going forward .</x:v>
      </x:c>
      <x:c r="I126" s="8" t="str">
        <x:v>general_insurance</x:v>
      </x:c>
      <x:c r="J126" s="8" t="str">
        <x:v>VALIDATION</x:v>
      </x:c>
      <x:c r="K126" s="10" t="str"/>
      <x:c r="L126" s="12" t="str"/>
      <x:c r="M126" s="12" t="str"/>
      <x:c r="N126" s="12" t="str"/>
      <x:c r="O126" s="12" t="str"/>
      <x:c r="P126" s="12" t="str"/>
    </x:row>
    <x:row r="127">
      <x:c r="A127" s="8" t="str">
        <x:v>ext-iqa-fail-016</x:v>
      </x:c>
      <x:c r="B127" s="8" t="str">
        <x:v>insuranceqa</x:v>
      </x:c>
      <x:c r="C127" s="8" t="str">
        <x:v>data/benchmarks/qa/insuranceqa/data_insuranceqa_1000.jsonl</x:v>
      </x:c>
      <x:c r="D127" s="8" t="str">
        <x:v>insuranceqa:815</x:v>
      </x:c>
      <x:c r="E127" s="8" t="str"/>
      <x:c r="F127" s="10" t="str">
        <x:v>When Should Someone Buy Long Term Care Insurance?</x:v>
      </x:c>
      <x:c r="G127" s="10" t="str">
        <x:v>Question: When Should Someone Buy Long Term Care Insurance?
Answer: As a retirement planning specialist , I spend alot of time doing long term care planning . Why would I do this ? Because NOTHING will derail a person 's life-time savings faster than a custodial -LRB- AKA long term care -RRB- claim . There are two reasons why a person should purchase LTC ; the first is that they care about the quality of care , and having a say in where care will be provided , should they require it . The second reason is that they care about protecting the assets that they have acquired over the course of their life-time , and they want to protect those assets for their healthy spouse and/or children , rather then have those assets eaten up by impairment , or having them signed over to medicaid or a nursing home . As far as WHEN a person should purchase coverage ; my youngest clients are usually in their 40 's , and with them I usually recommend a hybrid life insurance-LTC product ; my average clients are in their mid 50 's to late 60 's , and for them I recommend either traditional long term care or a single premium policy with refund provisions , and my oldest clients are in their mid 70 's . I think the best time to purchase for most people is in their mid to late 50 's , because most will get better underwriting and a favorable premium . I hope this helps .</x:v>
      </x:c>
      <x:c r="H127" s="10" t="str">
        <x:v>The cost of care keeps rising . If you need a nursing home it would not be uncommon to see the cost of care to be $ 7,000 - $ 8000 per month and it is expected to keep increasing . The question becomes if you do n't get a Long Term Care policy what assets are you prepared to liquidate to pay for the care . At $ 7,000 a month for 3 years that comes out to a cost of $ 252,000 based on today 's cost . What will the cost be when you need it in 10 , 20 or 30 years ? We can assume it will be much more . The yearly premium will be only a fraction of the cost if you did n't have a policy . A good Long Term Care policy will include assisted living , home healthcare and nursing home care . The chance of you needing one or all of those at some point in your life is pretty high .</x:v>
      </x:c>
      <x:c r="I127" s="8" t="str">
        <x:v>general_insurance</x:v>
      </x:c>
      <x:c r="J127" s="8" t="str">
        <x:v>VALIDATION</x:v>
      </x:c>
      <x:c r="K127" s="10" t="str"/>
      <x:c r="L127" s="12" t="str"/>
      <x:c r="M127" s="12" t="str"/>
      <x:c r="N127" s="12" t="str"/>
      <x:c r="O127" s="12" t="str"/>
      <x:c r="P127" s="12" t="str"/>
    </x:row>
    <x:row r="128">
      <x:c r="A128" s="8" t="str">
        <x:v>ext-iqa-fail-017</x:v>
      </x:c>
      <x:c r="B128" s="8" t="str">
        <x:v>insuranceqa</x:v>
      </x:c>
      <x:c r="C128" s="8" t="str">
        <x:v>data/benchmarks/qa/insuranceqa/data_insuranceqa_1000.jsonl</x:v>
      </x:c>
      <x:c r="D128" s="8" t="str">
        <x:v>insuranceqa:91</x:v>
      </x:c>
      <x:c r="E128" s="8" t="str"/>
      <x:c r="F128" s="10" t="str">
        <x:v>Can I change medicare providers after 3/1/2015 in Indiana?</x:v>
      </x:c>
      <x:c r="G128" s="10" t="str">
        <x:v>Question: Can I change medicare providers after 3/1/2015 in Indiana?
Answer: Are you referring to a Medicare Supplement plan -LRB- also known as a Medigap plan -RRB- , a Medicare Advantage plan , or a Medicare Part D prescription drug plan ? Your original Medicare coverage -LRB- Medicare Parts A &amp; B -RRB- is provided by the federal government . You can apply for a new Medicare Supplement plan anytime during the year . You can be subject to medical underwriting -LRB- answering yes/no health questions , a phone interview with the carrier , and a prescription check -RRB- if you 're outside your initial enrollment period -LRB- when you were new to Medicare Part B -RRB- and do not have a guarantee-issue right available to you . Medical underwriting for Medicare Supplement plans can be done in less than a week . There are no exams for these products . Please note , a common concern I hear a lot from individuals looking to replace their Medicare Supplement plans is they 're worried they 're at risk of losing the existing one if they apply for a new one and get declined . This is NOT true ! Even if you apply for a new Medicare Supplement plan and get declined , you can always keep the existing plan because Medicare Supplement plans are guaranteed renewable . If you 're looking to change your prescription drug plan provider or your Medicare Advantage plan provider , you can only make a change during certain times of the year . For the most part , you can only make changes during the annual enrollment period each year -LRB- between October 15 - December 7 -RRB- with changes becoming effective January 1 . Outside of this enrollment period , you can only make changes under certain situations -LRB- known as special enrollment periods -RRB- . An example of this is if you moved outside of the plan 's service area . For a full list of situations that qualify you for special enrollment periods to make changes , please visit the Medicare.gov website . I hope the information is helpful - please feel free to contact me for help with your coverage and if you have any other questions . Thanks very much .</x:v>
      </x:c>
      <x:c r="H128" s="10" t="str">
        <x:v>You will receive Medicare Part A benefits automatically when you qualify . You will take this benefit when you qualify because it does n't cost anything . Medicare Part B is voluntary . You can tell Medicare that you would delay your Medicare Part B benefits . You can do this when you have creditable coverage through your employer or retirement plan . You will incur a penalty if you delay your benefits without creditable coverage then active them later .</x:v>
      </x:c>
      <x:c r="I128" s="8" t="str">
        <x:v>health</x:v>
      </x:c>
      <x:c r="J128" s="8" t="str">
        <x:v>CALIBRATION</x:v>
      </x:c>
      <x:c r="K128" s="10" t="str"/>
      <x:c r="L128" s="12" t="str"/>
      <x:c r="M128" s="12" t="str"/>
      <x:c r="N128" s="12" t="str"/>
      <x:c r="O128" s="12" t="str"/>
      <x:c r="P128" s="12" t="str"/>
    </x:row>
    <x:row r="129">
      <x:c r="A129" s="8" t="str">
        <x:v>ext-iqa-fail-018</x:v>
      </x:c>
      <x:c r="B129" s="8" t="str">
        <x:v>insuranceqa</x:v>
      </x:c>
      <x:c r="C129" s="8" t="str">
        <x:v>data/benchmarks/qa/insuranceqa/data_insuranceqa_1000.jsonl</x:v>
      </x:c>
      <x:c r="D129" s="8" t="str">
        <x:v>insuranceqa:602</x:v>
      </x:c>
      <x:c r="E129" s="8" t="str"/>
      <x:c r="F129" s="10" t="str">
        <x:v>How Do Body Shops Work With Car Insurance?</x:v>
      </x:c>
      <x:c r="G129" s="10" t="str">
        <x:v>Question: How Do Body Shops Work With Car Insurance?
Answer: That is a great question ! Generally , your auto insurance company will have a contract or agreement with a local garage , mechanic , and body shop . They will refer you to them to have your work done . By doing this , they have an agreement with the garages to keep costs under control . Should you choose to use a different mechanic , you are certainly welcome to , but my experience has been that the insurance company is much more difficult to work with . Thanks for asking !</x:v>
      </x:c>
      <x:c r="H129" s="10" t="str">
        <x:v>Everyone with a valid drivers license should be able to secure auto insurance with one carrier or another . Since auto insurance policies coverages are established on an individual basis the rates will vary from person to person . Contact a local agent to find out about coverage availability and pricing within your area .</x:v>
      </x:c>
      <x:c r="I129" s="8" t="str">
        <x:v>motor</x:v>
      </x:c>
      <x:c r="J129" s="8" t="str">
        <x:v>VALIDATION</x:v>
      </x:c>
      <x:c r="K129" s="10" t="str"/>
      <x:c r="L129" s="12" t="str"/>
      <x:c r="M129" s="12" t="str"/>
      <x:c r="N129" s="12" t="str"/>
      <x:c r="O129" s="12" t="str"/>
      <x:c r="P129" s="12" t="str"/>
    </x:row>
    <x:row r="130">
      <x:c r="A130" s="8" t="str">
        <x:v>ext-iqa-fail-019</x:v>
      </x:c>
      <x:c r="B130" s="8" t="str">
        <x:v>insuranceqa</x:v>
      </x:c>
      <x:c r="C130" s="8" t="str">
        <x:v>data/benchmarks/qa/insuranceqa/data_insuranceqa_1000.jsonl</x:v>
      </x:c>
      <x:c r="D130" s="8" t="str">
        <x:v>insuranceqa:409</x:v>
      </x:c>
      <x:c r="E130" s="8" t="str"/>
      <x:c r="F130" s="10" t="str">
        <x:v>How Does Medicare D Work?</x:v>
      </x:c>
      <x:c r="G130" s="10" t="str">
        <x:v>Question: How Does Medicare D Work?
Answer: I assume you are asking about Medicare Part D which is the prescription drug plan , as opposed to Medicare supplement plan D. Medicare Part D is offered by private insurance carriers . Each plan is different . Some have deductibles , some do n't . All have copay 's and a few have coinsurance for tier 4 drugs</x:v>
      </x:c>
      <x:c r="H130" s="10" t="str">
        <x:v>With the lagging economy and endless recession a lot of people continue working past age 65 -LRB- whether they want to or not -RRB- . Your earnings do not penalize your Medicare benefits . Unlike the penalty tax under Social Security for earned income , Medicare is not impacted . If you are covered by an employer health insurance plan and Medicare you may not need Part B or D .</x:v>
      </x:c>
      <x:c r="I130" s="8" t="str">
        <x:v>health</x:v>
      </x:c>
      <x:c r="J130" s="8" t="str">
        <x:v>VALIDATION</x:v>
      </x:c>
      <x:c r="K130" s="10" t="str"/>
      <x:c r="L130" s="12" t="str"/>
      <x:c r="M130" s="12" t="str"/>
      <x:c r="N130" s="12" t="str"/>
      <x:c r="O130" s="12" t="str"/>
      <x:c r="P130" s="12" t="str"/>
    </x:row>
    <x:row r="131">
      <x:c r="A131" s="8" t="str">
        <x:v>ext-iqa-fail-020</x:v>
      </x:c>
      <x:c r="B131" s="8" t="str">
        <x:v>insuranceqa</x:v>
      </x:c>
      <x:c r="C131" s="8" t="str">
        <x:v>data/benchmarks/qa/insuranceqa/data_insuranceqa_1000.jsonl</x:v>
      </x:c>
      <x:c r="D131" s="8" t="str">
        <x:v>insuranceqa:222</x:v>
      </x:c>
      <x:c r="E131" s="8" t="str"/>
      <x:c r="F131" s="10" t="str">
        <x:v>Is Car Insurance For A Lease More Expensive?</x:v>
      </x:c>
      <x:c r="G131" s="10" t="str">
        <x:v>Question: Is Car Insurance For A Lease More Expensive?
Answer: Many leases will require you to carry 100/300 liability limits so if for some reason you want to carry lower limits you will see a premium difference there . Other then that the premiums are no different then if you owned the car yourself . If you are in a position to lease a car you should be carrying a minimum of 100/300 liability limits anyway .</x:v>
      </x:c>
      <x:c r="H131" s="10" t="str">
        <x:v>Everyone with a valid drivers license should be able to secure auto insurance with one carrier or another . Since auto insurance policies coverages are established on an individual basis the rates will vary from person to person . Contact a local agent to find out about coverage availability and pricing within your area .</x:v>
      </x:c>
      <x:c r="I131" s="8" t="str">
        <x:v>motor</x:v>
      </x:c>
      <x:c r="J131" s="8" t="str">
        <x:v>VALIDATION</x:v>
      </x:c>
      <x:c r="K131" s="10" t="str"/>
      <x:c r="L131" s="12" t="str"/>
      <x:c r="M131" s="12" t="str"/>
      <x:c r="N131" s="12" t="str"/>
      <x:c r="O131" s="12" t="str"/>
      <x:c r="P131" s="12" t="str"/>
    </x:row>
    <x:row r="132">
      <x:c r="A132" s="8" t="str">
        <x:v>ext-iqa-fail-021</x:v>
      </x:c>
      <x:c r="B132" s="8" t="str">
        <x:v>insuranceqa</x:v>
      </x:c>
      <x:c r="C132" s="8" t="str">
        <x:v>data/benchmarks/qa/insuranceqa/data_insuranceqa_1000.jsonl</x:v>
      </x:c>
      <x:c r="D132" s="8" t="str">
        <x:v>insuranceqa:570</x:v>
      </x:c>
      <x:c r="E132" s="8" t="str"/>
      <x:c r="F132" s="10" t="str">
        <x:v>Can Homeowners Insurance Cancel Your Policy?</x:v>
      </x:c>
      <x:c r="G132" s="10" t="str">
        <x:v>Question: Can Homeowners Insurance Cancel Your Policy?
Answer: The insurance company can cancel your policy for failure to pay the premium . It can also cancel the policy if the underwriter determines that the property was not correctly described or that the agent acted beyond his authority to bind coverage . Companies routinely cancel policies when they determine that a property has been vacated .</x:v>
      </x:c>
      <x:c r="H132" s="10" t="str">
        <x:v>Technically you do not have to have homeowners insurance . It is not required at this time by law in any of the states in the United States to the best of my knowledge . Your mortgage lender will typically require homeowners insurance coverage to protect themselves against loss in the event of a covered loss . There are way to many reasons to list here as to why you should have coverage . Please contact a local agent to discuss your coverage needs and concerns .</x:v>
      </x:c>
      <x:c r="I132" s="8" t="str">
        <x:v>general_insurance</x:v>
      </x:c>
      <x:c r="J132" s="8" t="str">
        <x:v>VALIDATION</x:v>
      </x:c>
      <x:c r="K132" s="10" t="str"/>
      <x:c r="L132" s="12" t="str"/>
      <x:c r="M132" s="12" t="str"/>
      <x:c r="N132" s="12" t="str"/>
      <x:c r="O132" s="12" t="str"/>
      <x:c r="P132" s="12" t="str"/>
    </x:row>
    <x:row r="133">
      <x:c r="A133" s="8" t="str">
        <x:v>ext-iqa-fail-022</x:v>
      </x:c>
      <x:c r="B133" s="8" t="str">
        <x:v>insuranceqa</x:v>
      </x:c>
      <x:c r="C133" s="8" t="str">
        <x:v>data/benchmarks/qa/insuranceqa/data_insuranceqa_1000.jsonl</x:v>
      </x:c>
      <x:c r="D133" s="8" t="str">
        <x:v>insuranceqa:622</x:v>
      </x:c>
      <x:c r="E133" s="8" t="str"/>
      <x:c r="F133" s="10" t="str">
        <x:v>How Does Home Insurance Escrow Work?</x:v>
      </x:c>
      <x:c r="G133" s="10" t="str">
        <x:v>Question: How Does Home Insurance Escrow Work?
Answer: Some banks these days require that your Homeowners Insurance be paid by them froman escrow account . If that is the case , then when you are closing on your home and obtaining insurance , they will require you to pay your insurance professional an amount equal to the full first year 's premium . The policy will then be set up to bill your mortgage company upon each renewal . The monthly payments that you make to your mortgage company , in addition to principal and interest , will include an amount for the next renewal on your Homeowners Insurance . Your insurance company will bill your mortgage company at the renewal and the annual premium will then be paid by your mortgage company from your escrow account .</x:v>
      </x:c>
      <x:c r="H133" s="10" t="str">
        <x:v>Buy home insurance from an agent that you can trust . If you havent an agent , get recommendations from friends , colleagues or neighbors . A good agent will listen to you , give sound advice , accurately record information and most importantly , answer your questions . A computer can do one of those functions . At the time of claim the critical issues will be , is the coverage in force , is it adequate to restore the loss and is there someone there to answer questions .</x:v>
      </x:c>
      <x:c r="I133" s="8" t="str">
        <x:v>household</x:v>
      </x:c>
      <x:c r="J133" s="8" t="str">
        <x:v>CALIBRATION</x:v>
      </x:c>
      <x:c r="K133" s="10" t="str"/>
      <x:c r="L133" s="12" t="str"/>
      <x:c r="M133" s="12" t="str"/>
      <x:c r="N133" s="12" t="str"/>
      <x:c r="O133" s="12" t="str"/>
      <x:c r="P133" s="12" t="str"/>
    </x:row>
    <x:row r="134">
      <x:c r="A134" s="8" t="str">
        <x:v>ext-iqa-fail-023</x:v>
      </x:c>
      <x:c r="B134" s="8" t="str">
        <x:v>insuranceqa</x:v>
      </x:c>
      <x:c r="C134" s="8" t="str">
        <x:v>data/benchmarks/qa/insuranceqa/data_insuranceqa_1000.jsonl</x:v>
      </x:c>
      <x:c r="D134" s="8" t="str">
        <x:v>insuranceqa:800</x:v>
      </x:c>
      <x:c r="E134" s="8" t="str"/>
      <x:c r="F134" s="10" t="str">
        <x:v>How Much Disability Insurance Is Enough?</x:v>
      </x:c>
      <x:c r="G134" s="10" t="str">
        <x:v>Question: How Much Disability Insurance Is Enough?
Answer: Typically disability insurance benefits are equal to a maximum of 60 % of the insured 's income . The maximum one can buy then is based on the annual income of the individual . If you can live comfortably on a lesser amount than 60 % of what you earn , then you may consider buying a policy that would pay less than 60 % of your earned income .</x:v>
      </x:c>
      <x:c r="H134" s="10" t="str">
        <x:v>where do I get disability insurance ? In Washington State , you 'd get it from me ! ;-RRB- What you would want to do is meet with an agent and go over your options , with a great deal of time spent on understanding the definitions of disability . With disability coverage , the definition is everything . Without a good definition , the premium may be cheap , but collecting on a claim may be hard .</x:v>
      </x:c>
      <x:c r="I134" s="8" t="str">
        <x:v>health</x:v>
      </x:c>
      <x:c r="J134" s="8" t="str">
        <x:v>VALIDATION</x:v>
      </x:c>
      <x:c r="K134" s="10" t="str"/>
      <x:c r="L134" s="12" t="str"/>
      <x:c r="M134" s="12" t="str"/>
      <x:c r="N134" s="12" t="str"/>
      <x:c r="O134" s="12" t="str"/>
      <x:c r="P134" s="12" t="str"/>
    </x:row>
    <x:row r="135">
      <x:c r="A135" s="8" t="str">
        <x:v>ext-iqa-fail-024</x:v>
      </x:c>
      <x:c r="B135" s="8" t="str">
        <x:v>insuranceqa</x:v>
      </x:c>
      <x:c r="C135" s="8" t="str">
        <x:v>data/benchmarks/qa/insuranceqa/data_insuranceqa_1000.jsonl</x:v>
      </x:c>
      <x:c r="D135" s="8" t="str">
        <x:v>insuranceqa:120</x:v>
      </x:c>
      <x:c r="E135" s="8" t="str"/>
      <x:c r="F135" s="10" t="str">
        <x:v>What Is Occupational Disability Insurance?</x:v>
      </x:c>
      <x:c r="G135" s="10" t="str">
        <x:v>Question: What Is Occupational Disability Insurance?
Answer: What is occupational disability insurance ? Usually it is called own occupation and it is used in the definition of disability . It is very much to the insured 's favor to have that definition in their disability policy . It is a specific rather than general definition . For example your disability policy would pay if you could n't work in that specific job , and it would continue to pay you if you could work in another occupation .</x:v>
      </x:c>
      <x:c r="H135" s="10" t="str">
        <x:v>where do I get disability insurance ? In Washington State , you 'd get it from me ! ;-RRB- What you would want to do is meet with an agent and go over your options , with a great deal of time spent on understanding the definitions of disability . With disability coverage , the definition is everything . Without a good definition , the premium may be cheap , but collecting on a claim may be hard .</x:v>
      </x:c>
      <x:c r="I135" s="8" t="str">
        <x:v>health</x:v>
      </x:c>
      <x:c r="J135" s="8" t="str">
        <x:v>VALIDATION</x:v>
      </x:c>
      <x:c r="K135" s="10" t="str"/>
      <x:c r="L135" s="12" t="str"/>
      <x:c r="M135" s="12" t="str"/>
      <x:c r="N135" s="12" t="str"/>
      <x:c r="O135" s="12" t="str"/>
      <x:c r="P135" s="12" t="str"/>
    </x:row>
    <x:row r="136">
      <x:c r="A136" s="8" t="str">
        <x:v>ext-iqa-fail-025</x:v>
      </x:c>
      <x:c r="B136" s="8" t="str">
        <x:v>insuranceqa</x:v>
      </x:c>
      <x:c r="C136" s="8" t="str">
        <x:v>data/benchmarks/qa/insuranceqa/data_insuranceqa_1000.jsonl</x:v>
      </x:c>
      <x:c r="D136" s="8" t="str">
        <x:v>insuranceqa:896</x:v>
      </x:c>
      <x:c r="E136" s="8" t="str"/>
      <x:c r="F136" s="10" t="str">
        <x:v>Can You Get Car Insurance With A Suspended Drivers License?</x:v>
      </x:c>
      <x:c r="G136" s="10" t="str">
        <x:v>Question: Can You Get Car Insurance With A Suspended Drivers License?
Answer: That is a great question ! While it will be difficult to get insurance , it is possible . What you will need to do is contact your agent , and find out what they will need to issue you a policy . In most cases , that will mean satisfying the requirements to get your license reinstated - fines paid , classes taken , whatever was required of you . Having your license suspended is bad , but it will be infinitely worse for you if you get caught driving on it , and you are uninsured . Please do n't even consider it ! Good luck , and thanks for asking !</x:v>
      </x:c>
      <x:c r="H136" s="10" t="str">
        <x:v>Everyone with a valid drivers license should be able to secure auto insurance with one carrier or another . Since auto insurance policies coverages are established on an individual basis the rates will vary from person to person . Contact a local agent to find out about coverage availability and pricing within your area .</x:v>
      </x:c>
      <x:c r="I136" s="8" t="str">
        <x:v>motor</x:v>
      </x:c>
      <x:c r="J136" s="8" t="str">
        <x:v>VALIDATION</x:v>
      </x:c>
      <x:c r="K136" s="10" t="str"/>
      <x:c r="L136" s="12" t="str"/>
      <x:c r="M136" s="12" t="str"/>
      <x:c r="N136" s="12" t="str"/>
      <x:c r="O136" s="12" t="str"/>
      <x:c r="P136" s="12" t="str"/>
    </x:row>
    <x:row r="137">
      <x:c r="A137" s="8" t="str">
        <x:v>ext-iqa-fail-026</x:v>
      </x:c>
      <x:c r="B137" s="8" t="str">
        <x:v>insuranceqa</x:v>
      </x:c>
      <x:c r="C137" s="8" t="str">
        <x:v>data/benchmarks/qa/insuranceqa/data_insuranceqa_1000.jsonl</x:v>
      </x:c>
      <x:c r="D137" s="8" t="str">
        <x:v>insuranceqa:224</x:v>
      </x:c>
      <x:c r="E137" s="8" t="str"/>
      <x:c r="F137" s="10" t="str">
        <x:v>How Long Does A Homeowners Insurance Claim Stay On Record?</x:v>
      </x:c>
      <x:c r="G137" s="10" t="str">
        <x:v>Question: How Long Does A Homeowners Insurance Claim Stay On Record?
Answer: As a matter of practice most insurance companies look back at three years of losses . Companies are particularly concerned about recurring losses . These usually indicate poor maintenance or a design flaw in the residence . Recurring water damage losses from a leaky roof are a concern . There are situations where the initial repair did not fix the root cause and continued claims can be expected .</x:v>
      </x:c>
      <x:c r="H137" s="10" t="str">
        <x:v>Great question . I believe everyone should have an agent they can all and discuss options on filling or not filling a claim the 1800 numbers will not discuss this with you . First if there is a large loss , a fire for instance there is no question a claim needs to be filled . If the damages for what your considering filling a claim are less than five thousand dollars you should contact your insurance agent and discuss your options . One aspect that will determine the amount your insurance will go up after a claim is how long you 've been with a company , if you 've been with them -LRB- loyal -RRB- five years or greater likely your rates will not go up much if at all , this of course is with the premium carriers . If you shop and hop insurance companies often I am afraid the rates will be very high . There are rewards to staying with a carrier .</x:v>
      </x:c>
      <x:c r="I137" s="8" t="str">
        <x:v>general_insurance</x:v>
      </x:c>
      <x:c r="J137" s="8" t="str">
        <x:v>LOCKED_HOLDOUT_CANDIDATE</x:v>
      </x:c>
      <x:c r="K137" s="10" t="str"/>
      <x:c r="L137" s="12" t="str"/>
      <x:c r="M137" s="12" t="str"/>
      <x:c r="N137" s="12" t="str"/>
      <x:c r="O137" s="12" t="str"/>
      <x:c r="P137" s="12" t="str"/>
    </x:row>
    <x:row r="138">
      <x:c r="A138" s="8" t="str">
        <x:v>ext-iqa-fail-027</x:v>
      </x:c>
      <x:c r="B138" s="8" t="str">
        <x:v>insuranceqa</x:v>
      </x:c>
      <x:c r="C138" s="8" t="str">
        <x:v>data/benchmarks/qa/insuranceqa/data_insuranceqa_1000.jsonl</x:v>
      </x:c>
      <x:c r="D138" s="8" t="str">
        <x:v>insuranceqa:773</x:v>
      </x:c>
      <x:c r="E138" s="8" t="str"/>
      <x:c r="F138" s="10" t="str">
        <x:v>What Services Does Medicare Part D Cover?</x:v>
      </x:c>
      <x:c r="G138" s="10" t="str">
        <x:v>Question: What Services Does Medicare Part D Cover?
Answer: Medicare Part D covers a portion of your outpatient Rx benefits . Part D is available from private insurance carriers and has a monthly premium of anywhere from $ 15 monthly on up to over $ 100 . Each plan is different . Some have deductibles , some do n't . All have copay 's . Check your formulary before signing up .</x:v>
      </x:c>
      <x:c r="H138" s="10" t="str">
        <x:v>Medicare does cover hospice care for terminally ill patients . Care must be given by a doctor , nurse or skilled attendant . Once you are in hospice , Medicare will not cover any treatment intended to cure your illness . This includes prescription drugs for your illness . Medicare will not cover room and board in a hospital or nursing home if you are under hospice care .</x:v>
      </x:c>
      <x:c r="I138" s="8" t="str">
        <x:v>health</x:v>
      </x:c>
      <x:c r="J138" s="8" t="str">
        <x:v>VALIDATION</x:v>
      </x:c>
      <x:c r="K138" s="10" t="str"/>
      <x:c r="L138" s="12" t="str"/>
      <x:c r="M138" s="12" t="str"/>
      <x:c r="N138" s="12" t="str"/>
      <x:c r="O138" s="12" t="str"/>
      <x:c r="P138" s="12" t="str"/>
    </x:row>
    <x:row r="139">
      <x:c r="A139" s="8" t="str">
        <x:v>ext-iqa-fail-028</x:v>
      </x:c>
      <x:c r="B139" s="8" t="str">
        <x:v>insuranceqa</x:v>
      </x:c>
      <x:c r="C139" s="8" t="str">
        <x:v>data/benchmarks/qa/insuranceqa/data_insuranceqa_1000.jsonl</x:v>
      </x:c>
      <x:c r="D139" s="8" t="str">
        <x:v>insuranceqa:10</x:v>
      </x:c>
      <x:c r="E139" s="8" t="str"/>
      <x:c r="F139" s="10" t="str">
        <x:v>I Have A Qualified Variable Annuity. What Is That Exactly?</x:v>
      </x:c>
      <x:c r="G139" s="10" t="str">
        <x:v>Question: I Have A Qualified Variable Annuity. What Is That Exactly?
Answer: That is a great question ! I 'd strongly advise that you check with your annuity 's agent or your tax adviser before doing anything . You mentioned that you were willing to pay penalties and taxes , so I 'm assuming that there is a pressing need for cash , or a great dislike for the policy/agent/company that has caused you to decide to gut your annuity ? If so , I 'd again advise caution . If you surrender your annuity , and it was meant to fuel your retirement , what is your plan to replace it ? Will you end up suffering for many years for a temporary hardship if you surrender the annuity ? Maybe it might be wiser to see what cash withdrawal you can make from the annuity without fees -LRB- you are allowed a certain amount without penalties or fees , and more if you are willing to pay any surrender fees that may still be applicable -RRB- and leave the annuity intact ; you may also want to look at borrowing from a cash value of any whole life policy that you may have , as that also is a quick and relatively painless way to get cash . If your heart is set upon surrendering it , please bear in mind that there will be a 10 % penalty , possible surrender fees , and a major tax bite from the amount that you might expect to get . Please assume that if you are lucky , you will recieve roughly half of what you are expecting to receive , depending upon your tax bracket . This type of investment is designed specifically for saving , and stopping the process is very costly . To start the process , contact your agent who sold you the annuity , or the plan administrator , and tell them of your intentions . If you would like to discuss this further , please do not hesitate to contact me , okay ? I 'd be happy to help . Good luck , and thank you for asking !</x:v>
      </x:c>
      <x:c r="H139" s="10" t="str">
        <x:v>Why would you want to `` pitch '' a Variable Annuity ? A VA is a useful product for those individuals who want to have upside performance , a basic death benefit , and other living benefits such as Guaranteed Minimum Income Benefits . But PRODUCT , and that includes any of the insurance based products , should be part of an overall consulting relationship where the client understand the risks and rewards of that product . The job of the financial advisor when selling a client a VA is to fact find , determine a client 's risk tolerance , and then provide choices commensurate with a client 's goals . If you do that , a Variable Annuity does n't get pitched , it becomes the product of choice by the client because of the features that it offers .</x:v>
      </x:c>
      <x:c r="I139" s="8" t="str">
        <x:v>life</x:v>
      </x:c>
      <x:c r="J139" s="8" t="str">
        <x:v>CALIBRATION</x:v>
      </x:c>
      <x:c r="K139" s="10" t="str"/>
      <x:c r="L139" s="12" t="str"/>
      <x:c r="M139" s="12" t="str"/>
      <x:c r="N139" s="12" t="str"/>
      <x:c r="O139" s="12" t="str"/>
      <x:c r="P139" s="12" t="str"/>
    </x:row>
    <x:row r="140">
      <x:c r="A140" s="8" t="str">
        <x:v>ext-iqa-fail-029</x:v>
      </x:c>
      <x:c r="B140" s="8" t="str">
        <x:v>insuranceqa</x:v>
      </x:c>
      <x:c r="C140" s="8" t="str">
        <x:v>data/benchmarks/qa/insuranceqa/data_insuranceqa_1000.jsonl</x:v>
      </x:c>
      <x:c r="D140" s="8" t="str">
        <x:v>insuranceqa:765</x:v>
      </x:c>
      <x:c r="E140" s="8" t="str"/>
      <x:c r="F140" s="10" t="str">
        <x:v>What Good Is Long Term Care Insurance?</x:v>
      </x:c>
      <x:c r="G140" s="10" t="str">
        <x:v>Question: What Good Is Long Term Care Insurance?
Answer: A long term care policy is only as good as the contract stipulates . And the contract is only as good as the insurance company that issued the policy . But long term care insurance can fund periods of assisted living and/or nursing home care , that can be very expensive . It 's part of defensive retirement planning .</x:v>
      </x:c>
      <x:c r="H140" s="10" t="str">
        <x:v>A good long term care policy should feel your specific needs in case of a long term illness or injury so severe that you are no longer able to work . Things to consider when shopping for long term disability plans are length of coverage , i.e. years benefits pay , plans can go to age 67 now . The elimination period which is the time length you can go without benefits , i.e. 30 days to 360 days . The benefits amount which is the amount paid to you on a monthly basis which can go up to 70 % of your current earnings . Riders to consider on your plan should be additional purchase option without proof of insurability , cost of living increases and return of premium in case you never use the coverage . I recommend using an experienced independent broker in order to navigate this maze of coverages in order to get the right plan at the best price .</x:v>
      </x:c>
      <x:c r="I140" s="8" t="str">
        <x:v>general_insurance</x:v>
      </x:c>
      <x:c r="J140" s="8" t="str">
        <x:v>LOCKED_HOLDOUT_CANDIDATE</x:v>
      </x:c>
      <x:c r="K140" s="10" t="str"/>
      <x:c r="L140" s="12" t="str"/>
      <x:c r="M140" s="12" t="str"/>
      <x:c r="N140" s="12" t="str"/>
      <x:c r="O140" s="12" t="str"/>
      <x:c r="P140" s="12" t="str"/>
    </x:row>
    <x:row r="141">
      <x:c r="A141" s="8" t="str">
        <x:v>ext-iqa-fail-030</x:v>
      </x:c>
      <x:c r="B141" s="8" t="str">
        <x:v>insuranceqa</x:v>
      </x:c>
      <x:c r="C141" s="8" t="str">
        <x:v>data/benchmarks/qa/insuranceqa/data_insuranceqa_1000.jsonl</x:v>
      </x:c>
      <x:c r="D141" s="8" t="str">
        <x:v>insuranceqa:893</x:v>
      </x:c>
      <x:c r="E141" s="8" t="str"/>
      <x:c r="F141" s="10" t="str">
        <x:v>Where Can I Buy Disability Insurance?</x:v>
      </x:c>
      <x:c r="G141" s="10" t="str">
        <x:v>Question: Where Can I Buy Disability Insurance?
Answer: Disability insurance can be purchased from a variety of companies . You may apply online , call a company direct or purchase it from your local insurance agent . However , it truly is one of the complex insurance policies on the market . I recommend using an experienced disability insurance broker to shop the market to find the best product at the best price for your unique situation .</x:v>
      </x:c>
      <x:c r="H141" s="10" t="str">
        <x:v>where do I get disability insurance ? In Washington State , you 'd get it from me ! ;-RRB- What you would want to do is meet with an agent and go over your options , with a great deal of time spent on understanding the definitions of disability . With disability coverage , the definition is everything . Without a good definition , the premium may be cheap , but collecting on a claim may be hard .</x:v>
      </x:c>
      <x:c r="I141" s="8" t="str">
        <x:v>health</x:v>
      </x:c>
      <x:c r="J141" s="8" t="str">
        <x:v>VALIDATION</x:v>
      </x:c>
      <x:c r="K141" s="10" t="str"/>
      <x:c r="L141" s="12" t="str"/>
      <x:c r="M141" s="12" t="str"/>
      <x:c r="N141" s="12" t="str"/>
      <x:c r="O141" s="12" t="str"/>
      <x:c r="P141" s="12" t="str"/>
    </x:row>
    <x:row r="142">
      <x:c r="A142" s="8" t="str">
        <x:v>ext-iqa-fail-031</x:v>
      </x:c>
      <x:c r="B142" s="8" t="str">
        <x:v>insuranceqa</x:v>
      </x:c>
      <x:c r="C142" s="8" t="str">
        <x:v>data/benchmarks/qa/insuranceqa/data_insuranceqa_1000.jsonl</x:v>
      </x:c>
      <x:c r="D142" s="8" t="str">
        <x:v>insuranceqa:274</x:v>
      </x:c>
      <x:c r="E142" s="8" t="str"/>
      <x:c r="F142" s="10" t="str">
        <x:v>What Feature Is Unique To Annuities?</x:v>
      </x:c>
      <x:c r="G142" s="10" t="str">
        <x:v>Question: What Feature Is Unique To Annuities?
Answer: The key features unique to Annuities are : # 1 interest earned is not taxed throughout the accumulation period . # 2 . Distributions are fully guaranteed and have multiple options such as period certain , lifetime of the annuitant among others # 3 . Unlike qualified plans such as an IRA , an annuity owner can also chose to not take distributions and let the funds in the annuity pass directly to their beneficiary . Other products have some of the features of annuities however only annuities combine the features outlined here . .</x:v>
      </x:c>
      <x:c r="H142" s="10" t="str">
        <x:v>Assuming the interpretation of the question is correct , qualified retirement plans can purchase a variety of financial products and tax deferred annuities is an option . If a qualified pan purchase a tax deferred annuity , the basis is taxable because the basis or original contributions were deducted under the defined contribution plan .</x:v>
      </x:c>
      <x:c r="I142" s="8" t="str">
        <x:v>general_insurance</x:v>
      </x:c>
      <x:c r="J142" s="8" t="str">
        <x:v>LOCKED_HOLDOUT_CANDIDATE</x:v>
      </x:c>
      <x:c r="K142" s="10" t="str"/>
      <x:c r="L142" s="12" t="str"/>
      <x:c r="M142" s="12" t="str"/>
      <x:c r="N142" s="12" t="str"/>
      <x:c r="O142" s="12" t="str"/>
      <x:c r="P142" s="12" t="str"/>
    </x:row>
    <x:row r="143">
      <x:c r="A143" s="8" t="str">
        <x:v>ext-iqa-fail-032</x:v>
      </x:c>
      <x:c r="B143" s="8" t="str">
        <x:v>insuranceqa</x:v>
      </x:c>
      <x:c r="C143" s="8" t="str">
        <x:v>data/benchmarks/qa/insuranceqa/data_insuranceqa_1000.jsonl</x:v>
      </x:c>
      <x:c r="D143" s="8" t="str">
        <x:v>insuranceqa:905</x:v>
      </x:c>
      <x:c r="E143" s="8" t="str"/>
      <x:c r="F143" s="10" t="str">
        <x:v>What Is The Waiting Period For Disability Insurance?</x:v>
      </x:c>
      <x:c r="G143" s="10" t="str">
        <x:v>Question: What Is The Waiting Period For Disability Insurance?
Answer: The waiting period , also known as the elimination period , varies from plan to plan . For short term disability insurance , the common elimination periods are 7 and 14 days . For long term disability insurance , the most favorable ep is 90 days , but some policies are written with 180 or even 365 eps . The longer eps are usually to offset the cost as it 's cheaper when the waiting period is longer .</x:v>
      </x:c>
      <x:c r="H143" s="10" t="str">
        <x:v>Long term care inusrance is a morbidity product like disability inusrance that offers diferring elimination periods or waiting periods from the triggering event that casues the policy owner to file a claim for benefits . Some long termcare inusrance policies offer nowaiting to 365 day elimination periods . 90 day elimination periods appear the most popular .</x:v>
      </x:c>
      <x:c r="I143" s="8" t="str">
        <x:v>health</x:v>
      </x:c>
      <x:c r="J143" s="8" t="str">
        <x:v>LOCKED_HOLDOUT_CANDIDATE</x:v>
      </x:c>
      <x:c r="K143" s="10" t="str"/>
      <x:c r="L143" s="12" t="str"/>
      <x:c r="M143" s="12" t="str"/>
      <x:c r="N143" s="12" t="str"/>
      <x:c r="O143" s="12" t="str"/>
      <x:c r="P143" s="12" t="str"/>
    </x:row>
    <x:row r="144">
      <x:c r="A144" s="8" t="str">
        <x:v>ext-iqa-fail-033</x:v>
      </x:c>
      <x:c r="B144" s="8" t="str">
        <x:v>insuranceqa</x:v>
      </x:c>
      <x:c r="C144" s="8" t="str">
        <x:v>data/benchmarks/qa/insuranceqa/data_insuranceqa_1000.jsonl</x:v>
      </x:c>
      <x:c r="D144" s="8" t="str">
        <x:v>insuranceqa:885</x:v>
      </x:c>
      <x:c r="E144" s="8" t="str"/>
      <x:c r="F144" s="10" t="str">
        <x:v>Can I Get Life Insurance After A Stroke?</x:v>
      </x:c>
      <x:c r="G144" s="10" t="str">
        <x:v>Question: Can I Get Life Insurance After A Stroke?
Answer: If you have had one stroke that had minimal effects and several years have passed since having the stroke , you may be able to get a medically underwritten policy of any amount for which you financially qualify , with immediate death benefit . If your stroke impacted your health enough that you needed to go on Disability but you are still able to do all your own activities of daily living and walk without personal assistance -LRB- can or walker is OK -RRB- , then there are a number of simplified issue policies that may or not be graded , that you can get . If your stroke caused you to require use of a wheelchair , home health or nursing home care -LRB- inability to do your own ADL 's -RRB- , or causes significant confusion , then guaranteed issue policies are available to most people . These are more restrictive in features than the other policies , but are available for final expense purposes . Contact an impaired risk underwriting agency that carries all these types of policies and understands life insurance underwriting for stroke , and you will get your best price .</x:v>
      </x:c>
      <x:c r="H144" s="10" t="str">
        <x:v>There are life insurance policies that do not require an exam for every age of applicant . There are options for every type of health . There are term policies , universal life policies , and whole life policies that do not require an exam . No Exam life insurance can be purchased in face amounts up to $ 500,000 . Some agents say that you will pay more if you buy nonmed life insurance , but that is not always the case . If your health is very poor , No Exam life insurance may be the only option available to you . If you think you are healthy but not sure , life insurance that does not require an exam might cost less than if you took an exam and found out your cholesterol was over 300 .</x:v>
      </x:c>
      <x:c r="I144" s="8" t="str">
        <x:v>life</x:v>
      </x:c>
      <x:c r="J144" s="8" t="str">
        <x:v>CALIBRATION</x:v>
      </x:c>
      <x:c r="K144" s="10" t="str"/>
      <x:c r="L144" s="12" t="str"/>
      <x:c r="M144" s="12" t="str"/>
      <x:c r="N144" s="12" t="str"/>
      <x:c r="O144" s="12" t="str"/>
      <x:c r="P144" s="12" t="str"/>
    </x:row>
    <x:row r="145">
      <x:c r="A145" s="8" t="str">
        <x:v>ext-iqa-fail-034</x:v>
      </x:c>
      <x:c r="B145" s="8" t="str">
        <x:v>insuranceqa</x:v>
      </x:c>
      <x:c r="C145" s="8" t="str">
        <x:v>data/benchmarks/qa/insuranceqa/data_insuranceqa_1000.jsonl</x:v>
      </x:c>
      <x:c r="D145" s="8" t="str">
        <x:v>insuranceqa:197</x:v>
      </x:c>
      <x:c r="E145" s="8" t="str"/>
      <x:c r="F145" s="10" t="str">
        <x:v>How Much Does It Cost For Level Term Life Insurance?</x:v>
      </x:c>
      <x:c r="G145" s="10" t="str">
        <x:v>Question: How Much Does It Cost For Level Term Life Insurance?
Answer: There is no one set cost to level Term Life Insurance . However , a rule of thumb is , the longer the term , the higher the premium . That is because the insurance companies average out what the policy would cost at your starting age , and the cost of insurance for the ending age of the term policy you chose . If you took out a 10 year Term policy at age 35 , the policy will end -LRB- or the price will go up drastically -RRB- at your age 45 . Mortality rates are not real high at age 45 , so the premium will be relatively low . If you locked that premium in for 30 years , the policy will end at your age 65 , which is when mortality rates are much higher . Therefore , the premium will be higher . However , the premium you have locked in is based on your health at age 35 . And that can make it be a very good deal .</x:v>
      </x:c>
      <x:c r="H145" s="10" t="str">
        <x:v>Great question . Often clients are afraid to ask I think they believe is it expensive but actually its relatively inexpensive . Typically if you insure two vehicles with a company the discount you gain by having a second policy on your auto insurance will if not cover the cost of a renters policy it will be close ! So the average cost is 60-120 dollars a year . So for ten dollars or less you have coverage for your phone , computers , books , clothes , medications , cd 's , movies , art , guns or whatever else you own ! Ten dollars a month is very inexpensive , also these are covered anywhere in the world !</x:v>
      </x:c>
      <x:c r="I145" s="8" t="str">
        <x:v>life</x:v>
      </x:c>
      <x:c r="J145" s="8" t="str">
        <x:v>CALIBRATION</x:v>
      </x:c>
      <x:c r="K145" s="10" t="str"/>
      <x:c r="L145" s="12" t="str"/>
      <x:c r="M145" s="12" t="str"/>
      <x:c r="N145" s="12" t="str"/>
      <x:c r="O145" s="12" t="str"/>
      <x:c r="P145" s="12" t="str"/>
    </x:row>
    <x:row r="146">
      <x:c r="A146" s="8" t="str">
        <x:v>ext-iqa-fail-035</x:v>
      </x:c>
      <x:c r="B146" s="8" t="str">
        <x:v>insuranceqa</x:v>
      </x:c>
      <x:c r="C146" s="8" t="str">
        <x:v>data/benchmarks/qa/insuranceqa/data_insuranceqa_1000.jsonl</x:v>
      </x:c>
      <x:c r="D146" s="8" t="str">
        <x:v>insuranceqa:836</x:v>
      </x:c>
      <x:c r="E146" s="8" t="str"/>
      <x:c r="F146" s="10" t="str">
        <x:v>Will Medicare Pay For Hospice?</x:v>
      </x:c>
      <x:c r="G146" s="10" t="str">
        <x:v>Question: Will Medicare Pay For Hospice?
Answer: That is a great question , and one with a great answer ! Yes , Medicare Part A pays for end of life treatment . You will need a Doctor 's certification that your loved one is expected to pass within 6 months , and that no further restorative procedures are to be implemented . It does n't matter if the hospice care is given in your home , or a facility , as long as it is Medicare approved . You may also need a living will , or something similar to qualify . It will also pay for up to 5 days of respite care , if you need to take a break . Thanks for asking !</x:v>
      </x:c>
      <x:c r="H146" s="10" t="str">
        <x:v>Tax deferred fixed annuities pay a guaranteed interest rate for a guaranteed period of time . Interest rates are constantly changing so its important to check with a brokerage annuity companies that display several insurance companies . As of this posting : 5 year rate is 2.85 % , 7 year rate is 3.20 % and 10 year rate is 3.45 % . Also check the insurance company to see if they are filed in your state .</x:v>
      </x:c>
      <x:c r="I146" s="8" t="str">
        <x:v>health</x:v>
      </x:c>
      <x:c r="J146" s="8" t="str">
        <x:v>CALIBRATION</x:v>
      </x:c>
      <x:c r="K146" s="10" t="str"/>
      <x:c r="L146" s="12" t="str"/>
      <x:c r="M146" s="12" t="str"/>
      <x:c r="N146" s="12" t="str"/>
      <x:c r="O146" s="12" t="str"/>
      <x:c r="P146" s="12" t="str"/>
    </x:row>
    <x:row r="147">
      <x:c r="A147" s="8" t="str">
        <x:v>ext-iqa-fail-036</x:v>
      </x:c>
      <x:c r="B147" s="8" t="str">
        <x:v>insuranceqa</x:v>
      </x:c>
      <x:c r="C147" s="8" t="str">
        <x:v>data/benchmarks/qa/insuranceqa/data_insuranceqa_1000.jsonl</x:v>
      </x:c>
      <x:c r="D147" s="8" t="str">
        <x:v>insuranceqa:588</x:v>
      </x:c>
      <x:c r="E147" s="8" t="str"/>
      <x:c r="F147" s="10" t="str">
        <x:v>How Much Does Life Insurance Underwriters Make?</x:v>
      </x:c>
      <x:c r="G147" s="10" t="str">
        <x:v>Question: How Much Does Life Insurance Underwriters Make?
Answer: Life insurance underwriters are generally paid on the basis of the amount of insurance they are permitted to underwrite , i.e. a $ 500,000 authority may define a `` junior '' underwriter who can make $ 50,000 to $ 75,000 . A senior underwriter with seasoned experience is going to make a six figure income . Senior underwriters who also are MDs can make considerably more ,</x:v>
      </x:c>
      <x:c r="H147" s="10" t="str">
        <x:v>Notwithstanding state peculiar legislation , a landlord can insist that a tenant have a renters policy . The landlord does this to clarify the relationship he has with the tenant . The landlord is not responsible for your property , even if it is destroyed along with his building . He is not responsible for personal injury and physical damage that comes from someone coming onto the property that you have rented . That is your responsibility and you would be the one sued . This problem goes away for a small premium .</x:v>
      </x:c>
      <x:c r="I147" s="8" t="str">
        <x:v>life</x:v>
      </x:c>
      <x:c r="J147" s="8" t="str">
        <x:v>LOCKED_HOLDOUT_CANDIDATE</x:v>
      </x:c>
      <x:c r="K147" s="10" t="str"/>
      <x:c r="L147" s="12" t="str"/>
      <x:c r="M147" s="12" t="str"/>
      <x:c r="N147" s="12" t="str"/>
      <x:c r="O147" s="12" t="str"/>
      <x:c r="P147" s="12" t="str"/>
    </x:row>
    <x:row r="148">
      <x:c r="A148" s="8" t="str">
        <x:v>ext-iqa-fail-037</x:v>
      </x:c>
      <x:c r="B148" s="8" t="str">
        <x:v>insuranceqa</x:v>
      </x:c>
      <x:c r="C148" s="8" t="str">
        <x:v>data/benchmarks/qa/insuranceqa/data_insuranceqa_1000.jsonl</x:v>
      </x:c>
      <x:c r="D148" s="8" t="str">
        <x:v>insuranceqa:545</x:v>
      </x:c>
      <x:c r="E148" s="8" t="str"/>
      <x:c r="F148" s="10" t="str">
        <x:v>What Is The Best Medicare Plan In California?</x:v>
      </x:c>
      <x:c r="G148" s="10" t="str">
        <x:v>Question: What Is The Best Medicare Plan In California?
Answer: California has a lot of good Medicare plans , and there is surely one that is `` best '' for you . Medicare insurance rates vary greatly by age , tobacco use , zip code and plan design . The older you are the higher your Medicare supplement rate will be . The exception is for those who are under age 65 and on disability and Medicare . In most states rates for under age 65 are astronomical . Tobacco use often adds 20 % to the rate but can be more , depending on the carrier . Online sites offering instant Medicare plan rates can be helpful but if you want the lowest rates you need to talk to an independent Medicare agent .</x:v>
      </x:c>
      <x:c r="H148" s="10" t="str">
        <x:v>In order to determine what is the best retirement plan , you first need to clarify what you are trying to accomplish . What does a successful retirement look like for you ? Once you have an idea what that means then you will be able to calculate what it will cost to fund it . The would will be able to determine what is best for you . Additional information on retirement planning is available on my website www.jpw.ca If you would like to work with a local Retirement Planner , you could start with a Google search . For example if you search for : retirement planner Halifax or retirement planning Halifax , my name along with several others will come up . You can use the same method to find Retirement Planners in your community . If you have further questions , or feel that I could be of assistance , please do not hesitate to contact me .</x:v>
      </x:c>
      <x:c r="I148" s="8" t="str">
        <x:v>health</x:v>
      </x:c>
      <x:c r="J148" s="8" t="str">
        <x:v>CALIBRATION</x:v>
      </x:c>
      <x:c r="K148" s="10" t="str"/>
      <x:c r="L148" s="12" t="str"/>
      <x:c r="M148" s="12" t="str"/>
      <x:c r="N148" s="12" t="str"/>
      <x:c r="O148" s="12" t="str"/>
      <x:c r="P148" s="12" t="str"/>
    </x:row>
    <x:row r="149">
      <x:c r="A149" s="8" t="str">
        <x:v>ext-iqa-fail-038</x:v>
      </x:c>
      <x:c r="B149" s="8" t="str">
        <x:v>insuranceqa</x:v>
      </x:c>
      <x:c r="C149" s="8" t="str">
        <x:v>data/benchmarks/qa/insuranceqa/data_insuranceqa_1000.jsonl</x:v>
      </x:c>
      <x:c r="D149" s="8" t="str">
        <x:v>insuranceqa:487</x:v>
      </x:c>
      <x:c r="E149" s="8" t="str"/>
      <x:c r="F149" s="10" t="str">
        <x:v>At What Age Can You Collect Medicare?</x:v>
      </x:c>
      <x:c r="G149" s="10" t="str">
        <x:v>Question: At What Age Can You Collect Medicare?
Answer: You can collect Medicare Part A and Part B at age 65 if you or your spouse has paid Medicare taxes for at least 40 quarters . You can collect Medicare under age 65 if you have been receiving Social Security Disability benefits for 24 months , and in several other circumstances .</x:v>
      </x:c>
      <x:c r="H149" s="10" t="str">
        <x:v>Rates are typically know to adjust at ages 18 , 21 , and 25 . Rates are also known to adjust based on credit history and marital status . Please remember every carrier and every policy is different . Every carrier has its own level of risk willing to accept . This will set the premium levels based on the risk they are willing to take on .</x:v>
      </x:c>
      <x:c r="I149" s="8" t="str">
        <x:v>health</x:v>
      </x:c>
      <x:c r="J149" s="8" t="str">
        <x:v>CALIBRATION</x:v>
      </x:c>
      <x:c r="K149" s="10" t="str">
        <x:v>possibly_trivial_fail_low_lexical_overlap</x:v>
      </x:c>
      <x:c r="L149" s="12" t="str"/>
      <x:c r="M149" s="12" t="str"/>
      <x:c r="N149" s="12" t="str"/>
      <x:c r="O149" s="12" t="str"/>
      <x:c r="P149" s="12" t="str"/>
    </x:row>
    <x:row r="150">
      <x:c r="A150" s="8" t="str">
        <x:v>ext-iqa-fail-039</x:v>
      </x:c>
      <x:c r="B150" s="8" t="str">
        <x:v>insuranceqa</x:v>
      </x:c>
      <x:c r="C150" s="8" t="str">
        <x:v>data/benchmarks/qa/insuranceqa/data_insuranceqa_1000.jsonl</x:v>
      </x:c>
      <x:c r="D150" s="8" t="str">
        <x:v>insuranceqa:438</x:v>
      </x:c>
      <x:c r="E150" s="8" t="str"/>
      <x:c r="F150" s="10" t="str">
        <x:v>How Would You Calculate The Expected Return On A Life Insurance Policy?</x:v>
      </x:c>
      <x:c r="G150" s="10" t="str">
        <x:v>Question: How Would You Calculate The Expected Return On A Life Insurance Policy?
Answer: Before you break out your HP12c calculator , consider this . Almost all proposals illustrate internal rate of return on both death benefit and cash values . If you have an existing life insurance policy you can order whats called an in force ledger and request the internal rate of return on both death benefit and cash values .</x:v>
      </x:c>
      <x:c r="H150" s="10" t="str">
        <x:v>Disability insurance is a morbidity product . Disability insurance is basically paycheck protection . And the price for that protection depends on your gender , age , smoking status , health history , current medical condition and vocation . It also depends on the length of coverage , the elimination period and owner occupation specialties .</x:v>
      </x:c>
      <x:c r="I150" s="8" t="str">
        <x:v>life</x:v>
      </x:c>
      <x:c r="J150" s="8" t="str">
        <x:v>LOCKED_HOLDOUT_CANDIDATE</x:v>
      </x:c>
      <x:c r="K150" s="10" t="str"/>
      <x:c r="L150" s="12" t="str"/>
      <x:c r="M150" s="12" t="str"/>
      <x:c r="N150" s="12" t="str"/>
      <x:c r="O150" s="12" t="str"/>
      <x:c r="P150" s="12" t="str"/>
    </x:row>
    <x:row r="151">
      <x:c r="A151" s="8" t="str">
        <x:v>ext-iqa-fail-040</x:v>
      </x:c>
      <x:c r="B151" s="8" t="str">
        <x:v>insuranceqa</x:v>
      </x:c>
      <x:c r="C151" s="8" t="str">
        <x:v>data/benchmarks/qa/insuranceqa/data_insuranceqa_1000.jsonl</x:v>
      </x:c>
      <x:c r="D151" s="8" t="str">
        <x:v>insuranceqa:263</x:v>
      </x:c>
      <x:c r="E151" s="8" t="str"/>
      <x:c r="F151" s="10" t="str">
        <x:v>Is Mutual Fund Better Than Stock?</x:v>
      </x:c>
      <x:c r="G151" s="10" t="str">
        <x:v>Question: Is Mutual Fund Better Than Stock?
Answer: A mutual fund is a share in an investment company . According to the prospectus it invests the funds using a particular investment strategy . The fund is generally quite diversified reducing the risk of a particular security suffering a great loss . At the same time this diversity dampens the effect of a particular security contained in the fund experiencing enormous gains . The mutually fund is generally viewed as being less volatile and more diversified .</x:v>
      </x:c>
      <x:c r="H151" s="10" t="str">
        <x:v>Term insurance is the best for most people because it provides the opportunity to purchase the most coverage for the least premium dollar and frees up more savings dollars or money to pay down debt . In the early years a family needs more protection while their debts are the highest , they have a mortgage , the kids are at home , and loss of income would be devastating . This is where the most life insurance coverage is needed for protection as the cash estate is growing . However , in the later years , when debts are lower or eliminated , the home mortgage is nearly gone , and the children are out of the home , less life insurance is needed and more retirement income is needed . Term insurance is the only type of insurance that will protect with the right amount of coverage without reducing the amount of money to invest . There is no mathematical reason to have cash value life insurance of any type .</x:v>
      </x:c>
      <x:c r="I151" s="8" t="str">
        <x:v>general_insurance</x:v>
      </x:c>
      <x:c r="J151" s="8" t="str">
        <x:v>VALIDATION</x:v>
      </x:c>
      <x:c r="K151" s="10" t="str"/>
      <x:c r="L151" s="12" t="str"/>
      <x:c r="M151" s="12" t="str"/>
      <x:c r="N151" s="12" t="str"/>
      <x:c r="O151" s="12" t="str"/>
      <x:c r="P151" s="12" t="str"/>
    </x:row>
    <x:row r="152">
      <x:c r="A152" s="8" t="str">
        <x:v>ext-iqa-fail-041</x:v>
      </x:c>
      <x:c r="B152" s="8" t="str">
        <x:v>insuranceqa</x:v>
      </x:c>
      <x:c r="C152" s="8" t="str">
        <x:v>data/benchmarks/qa/insuranceqa/data_insuranceqa_1000.jsonl</x:v>
      </x:c>
      <x:c r="D152" s="8" t="str">
        <x:v>insuranceqa:349</x:v>
      </x:c>
      <x:c r="E152" s="8" t="str"/>
      <x:c r="F152" s="10" t="str">
        <x:v>Is Zostavax Covered By Medicare?</x:v>
      </x:c>
      <x:c r="G152" s="10" t="str">
        <x:v>Question: Is Zostavax Covered By Medicare?
Answer: It will depend on the prescription drug plan you are in . Medicare only covers certain injectable , chemotherapy drugs under Part B . The best way to find out which plan covers your drugs is to go to Medicare.Gov and look under find Medicare Plans . If you have a problem doing this a good agent can help walk you through the process or look them up for you . If you have a prescription drug plan , you should have received a copy of their formulary . If not go on the company website and you can usually find out that way , or call the customer service number on the back of your card .</x:v>
      </x:c>
      <x:c r="H152" s="10" t="str">
        <x:v>It will depend on the prescription drug plan you are in . Most people on Medicare are beyond child bearing years .</x:v>
      </x:c>
      <x:c r="I152" s="8" t="str">
        <x:v>health</x:v>
      </x:c>
      <x:c r="J152" s="8" t="str">
        <x:v>VALIDATION</x:v>
      </x:c>
      <x:c r="K152" s="10" t="str"/>
      <x:c r="L152" s="12" t="str"/>
      <x:c r="M152" s="12" t="str"/>
      <x:c r="N152" s="12" t="str"/>
      <x:c r="O152" s="12" t="str"/>
      <x:c r="P152" s="12" t="str"/>
    </x:row>
    <x:row r="153">
      <x:c r="A153" s="8" t="str">
        <x:v>ext-iqa-fail-042</x:v>
      </x:c>
      <x:c r="B153" s="8" t="str">
        <x:v>insuranceqa</x:v>
      </x:c>
      <x:c r="C153" s="8" t="str">
        <x:v>data/benchmarks/qa/insuranceqa/data_insuranceqa_1000.jsonl</x:v>
      </x:c>
      <x:c r="D153" s="8" t="str">
        <x:v>insuranceqa:344</x:v>
      </x:c>
      <x:c r="E153" s="8" t="str"/>
      <x:c r="F153" s="10" t="str">
        <x:v>Does Medicare Cover Viagra Cialis?</x:v>
      </x:c>
      <x:c r="G153" s="10" t="str">
        <x:v>Question: Does Medicare Cover Viagra Cialis?
Answer: Medicare does not pay for Viagra , Cialis , Levitra or other erectile dysfunction drugs . They are not covered in Part B Medicare and excluded by Part D Medicare Drug Plans . The coverage ended in 2006 , when Congress determined them `` lifestyle '' drugs instead of medically necessary drugs . Since then , penile vacuum pumps , or , if those are ineffective , implanted penile inflation devices , are the only treatments for erectile dysfunction that are covered by Medicare .</x:v>
      </x:c>
      <x:c r="H153" s="10" t="str">
        <x:v>Medicare does not pay for Viagra , Cialis , Levitra or other erectile dysfunction drugs . Unfortunately , Medicare does not cover Cialis for BPH -LRB- benign prostatic hyperplasia -RRB- .</x:v>
      </x:c>
      <x:c r="I153" s="8" t="str">
        <x:v>health</x:v>
      </x:c>
      <x:c r="J153" s="8" t="str">
        <x:v>VALIDATION</x:v>
      </x:c>
      <x:c r="K153" s="10" t="str"/>
      <x:c r="L153" s="12" t="str"/>
      <x:c r="M153" s="12" t="str"/>
      <x:c r="N153" s="12" t="str"/>
      <x:c r="O153" s="12" t="str"/>
      <x:c r="P153" s="12" t="str"/>
    </x:row>
    <x:row r="154">
      <x:c r="A154" s="8" t="str">
        <x:v>ext-iqa-fail-043</x:v>
      </x:c>
      <x:c r="B154" s="8" t="str">
        <x:v>insuranceqa</x:v>
      </x:c>
      <x:c r="C154" s="8" t="str">
        <x:v>data/benchmarks/qa/insuranceqa/data_insuranceqa_1000.jsonl</x:v>
      </x:c>
      <x:c r="D154" s="8" t="str">
        <x:v>insuranceqa:525</x:v>
      </x:c>
      <x:c r="E154" s="8" t="str"/>
      <x:c r="F154" s="10" t="str">
        <x:v>Which Section Of Medicare Pays For Ambulatory Service?</x:v>
      </x:c>
      <x:c r="G154" s="10" t="str">
        <x:v>Question: Which Section Of Medicare Pays For Ambulatory Service?
Answer: Medicare Part B will cover ambulance services that are medically necessary . Even though original Medicare does not have networks , you need to understand that Medicare has a fee schedule for things such as medical transport companies . What Medicare is willing to pay for ambulance transport may not be enough to satisfy the bill presented by the ambulance company .</x:v>
      </x:c>
      <x:c r="H154" s="10" t="str">
        <x:v>Medicare Part B will cover ambulance services that are medically necessary . You will receive Medicare Part A benefits automatically when you qualify .</x:v>
      </x:c>
      <x:c r="I154" s="8" t="str">
        <x:v>health</x:v>
      </x:c>
      <x:c r="J154" s="8" t="str">
        <x:v>VALIDATION</x:v>
      </x:c>
      <x:c r="K154" s="10" t="str"/>
      <x:c r="L154" s="12" t="str"/>
      <x:c r="M154" s="12" t="str"/>
      <x:c r="N154" s="12" t="str"/>
      <x:c r="O154" s="12" t="str"/>
      <x:c r="P154" s="12" t="str"/>
    </x:row>
    <x:row r="155">
      <x:c r="A155" s="8" t="str">
        <x:v>ext-iqa-fail-044</x:v>
      </x:c>
      <x:c r="B155" s="8" t="str">
        <x:v>insuranceqa</x:v>
      </x:c>
      <x:c r="C155" s="8" t="str">
        <x:v>data/benchmarks/qa/insuranceqa/data_insuranceqa_1000.jsonl</x:v>
      </x:c>
      <x:c r="D155" s="8" t="str">
        <x:v>insuranceqa:371</x:v>
      </x:c>
      <x:c r="E155" s="8" t="str"/>
      <x:c r="F155" s="10" t="str">
        <x:v>What Is The Benefit Of Renters Insurance?</x:v>
      </x:c>
      <x:c r="G155" s="10" t="str">
        <x:v>Question: What Is The Benefit Of Renters Insurance?
Answer: Renters insurance is for renters of homes and apartments as house insurance is for those who own the house . Renters insurance protects YOUR property if there is a loss from say a fire . The biggest issue is what kind of policy you have . Does your insurance give yoy replacement cost or just current value . There is a big difference . Think about what you stuff costs today versus purchasing brand new .</x:v>
      </x:c>
      <x:c r="H155" s="10" t="str">
        <x:v>Renters insurance is for renters of homes and apartments as house insurance is for those who own the house . You need a tenants policy if your landlord requires it .</x:v>
      </x:c>
      <x:c r="I155" s="8" t="str">
        <x:v>household</x:v>
      </x:c>
      <x:c r="J155" s="8" t="str">
        <x:v>VALIDATION</x:v>
      </x:c>
      <x:c r="K155" s="10" t="str"/>
      <x:c r="L155" s="12" t="str"/>
      <x:c r="M155" s="12" t="str"/>
      <x:c r="N155" s="12" t="str"/>
      <x:c r="O155" s="12" t="str"/>
      <x:c r="P155" s="12" t="str"/>
    </x:row>
    <x:row r="156">
      <x:c r="A156" s="8" t="str">
        <x:v>ext-iqa-fail-045</x:v>
      </x:c>
      <x:c r="B156" s="8" t="str">
        <x:v>insuranceqa</x:v>
      </x:c>
      <x:c r="C156" s="8" t="str">
        <x:v>data/benchmarks/qa/insuranceqa/data_insuranceqa_1000.jsonl</x:v>
      </x:c>
      <x:c r="D156" s="8" t="str">
        <x:v>insuranceqa:357</x:v>
      </x:c>
      <x:c r="E156" s="8" t="str"/>
      <x:c r="F156" s="10" t="str">
        <x:v>Is travel insurance worth the money?</x:v>
      </x:c>
      <x:c r="G156" s="10" t="str">
        <x:v>Question: Is travel insurance worth the money?
Answer: To determine the value of a travel insurance policy review the coverage that you currently have . Some people have coverage that extends to the locality where they live , or the state in which they reside . Coverage outside of that specified area can be highly limited . The issue becomes more severe with most plans when you travel overseas . If your current coverage is inadequate to cover potential difficulties secure a travel insurance policy . Personally , I travel overseas frequently and never purchase travel insurance .</x:v>
      </x:c>
      <x:c r="H156" s="10" t="str">
        <x:v>To determine the value of a travel insurance policy review the coverage that you currently have . I believe so , as I both own one , and sell them to my clients .</x:v>
      </x:c>
      <x:c r="I156" s="8" t="str">
        <x:v>travel_assistance</x:v>
      </x:c>
      <x:c r="J156" s="8" t="str">
        <x:v>CALIBRATION</x:v>
      </x:c>
      <x:c r="K156" s="10" t="str"/>
      <x:c r="L156" s="12" t="str"/>
      <x:c r="M156" s="12" t="str"/>
      <x:c r="N156" s="12" t="str"/>
      <x:c r="O156" s="12" t="str"/>
      <x:c r="P156" s="12" t="str"/>
    </x:row>
    <x:row r="157">
      <x:c r="A157" s="8" t="str">
        <x:v>ext-iqa-fail-046</x:v>
      </x:c>
      <x:c r="B157" s="8" t="str">
        <x:v>insuranceqa</x:v>
      </x:c>
      <x:c r="C157" s="8" t="str">
        <x:v>data/benchmarks/qa/insuranceqa/data_insuranceqa_1000.jsonl</x:v>
      </x:c>
      <x:c r="D157" s="8" t="str">
        <x:v>insuranceqa:647</x:v>
      </x:c>
      <x:c r="E157" s="8" t="str"/>
      <x:c r="F157" s="10" t="str">
        <x:v>Why Is An Equity Indexed Annuity Considered To Be A Fixed Annuity?</x:v>
      </x:c>
      <x:c r="G157" s="10" t="str">
        <x:v>Question: Why Is An Equity Indexed Annuity Considered To Be A Fixed Annuity?
Answer: Because it a FIXED AND GUARANTEED RATEBOF RETURN . You ca n't lose your principle and average GUARANTEED rates are around 2 % on the low end to 4 % on the high end . You get a nominal/limited upside gain of the stock market along with knowing you ca n't lose any money . Somewhat fixed .</x:v>
      </x:c>
      <x:c r="H157" s="10" t="str">
        <x:v>You ca n't lose your principle and average GUARANTEED rates are around 2 % on the low end to 4 % on the high end . A fixed annuity is a way to give yourself an easily defined amount of money to provide a steady income stream from in retirement .</x:v>
      </x:c>
      <x:c r="I157" s="8" t="str">
        <x:v>life</x:v>
      </x:c>
      <x:c r="J157" s="8" t="str">
        <x:v>CALIBRATION</x:v>
      </x:c>
      <x:c r="K157" s="10" t="str"/>
      <x:c r="L157" s="12" t="str"/>
      <x:c r="M157" s="12" t="str"/>
      <x:c r="N157" s="12" t="str"/>
      <x:c r="O157" s="12" t="str"/>
      <x:c r="P157" s="12" t="str"/>
    </x:row>
    <x:row r="158">
      <x:c r="A158" s="8" t="str">
        <x:v>ext-iqa-fail-047</x:v>
      </x:c>
      <x:c r="B158" s="8" t="str">
        <x:v>insuranceqa</x:v>
      </x:c>
      <x:c r="C158" s="8" t="str">
        <x:v>data/benchmarks/qa/insuranceqa/data_insuranceqa_1000.jsonl</x:v>
      </x:c>
      <x:c r="D158" s="8" t="str">
        <x:v>insuranceqa:855</x:v>
      </x:c>
      <x:c r="E158" s="8" t="str"/>
      <x:c r="F158" s="10" t="str">
        <x:v>When Does Health Insurance End When Leaving A Job?</x:v>
      </x:c>
      <x:c r="G158" s="10" t="str">
        <x:v>Question: When Does Health Insurance End When Leaving A Job?
Answer: If you leave your job or are terminated your health insurance usually ends at the end of the month you left your job . At that time you would be eligible for COBRA continuation coverage for 18 months or you could purchase indivdiual health insurance . COBRA used to be the best option if you had a pre-exisitng condition but under the Affordable Care Act , commonly known as Obamacare , you can purchase individual coverage with no issues . You have to prove that you have a qualifying event under the IRS code which is a letter of Creditable Coverage from your former health insurance company or employer .</x:v>
      </x:c>
      <x:c r="H158" s="10" t="str">
        <x:v>If you leave your job or are terminated your health insurance usually ends at the end of the month you left your job . If you are talking about the open enrollment period then it ends on March 31st of this year for ACA plans unless there is a special circumstance like losing group coverage or coming off of COBRA .</x:v>
      </x:c>
      <x:c r="I158" s="8" t="str">
        <x:v>health</x:v>
      </x:c>
      <x:c r="J158" s="8" t="str">
        <x:v>LOCKED_HOLDOUT_CANDIDATE</x:v>
      </x:c>
      <x:c r="K158" s="10" t="str"/>
      <x:c r="L158" s="12" t="str"/>
      <x:c r="M158" s="12" t="str"/>
      <x:c r="N158" s="12" t="str"/>
      <x:c r="O158" s="12" t="str"/>
      <x:c r="P158" s="12" t="str"/>
    </x:row>
    <x:row r="159">
      <x:c r="A159" s="8" t="str">
        <x:v>ext-iqa-fail-048</x:v>
      </x:c>
      <x:c r="B159" s="8" t="str">
        <x:v>insuranceqa</x:v>
      </x:c>
      <x:c r="C159" s="8" t="str">
        <x:v>data/benchmarks/qa/insuranceqa/data_insuranceqa_1000.jsonl</x:v>
      </x:c>
      <x:c r="D159" s="8" t="str">
        <x:v>insuranceqa:433</x:v>
      </x:c>
      <x:c r="E159" s="8" t="str"/>
      <x:c r="F159" s="10" t="str">
        <x:v>How To Find Out What My Health Insurance Covers?</x:v>
      </x:c>
      <x:c r="G159" s="10" t="str">
        <x:v>Question: How To Find Out What My Health Insurance Covers?
Answer: Your best resource for information about a policy that is already in force is from the insurance carrier directly . There will be a toll free number on your card . If you have a direct relationship with an agent who helped you purchase the policy , that person can be of assistance if you run into any challenges . The people at the carrier 's call center are human too and sometimes you can get bad information simply due to human error . If you think an answer is wrong , call back and get another representative . If you get stuck , call your agent !</x:v>
      </x:c>
      <x:c r="H159" s="10" t="str">
        <x:v>Your best resource for information about a policy that is already in force is from the insurance carrier directly . Most health insurance plans do not cover In Vitro or any other infertility treatment .</x:v>
      </x:c>
      <x:c r="I159" s="8" t="str">
        <x:v>health</x:v>
      </x:c>
      <x:c r="J159" s="8" t="str">
        <x:v>VALIDATION</x:v>
      </x:c>
      <x:c r="K159" s="10" t="str"/>
      <x:c r="L159" s="12" t="str"/>
      <x:c r="M159" s="12" t="str"/>
      <x:c r="N159" s="12" t="str"/>
      <x:c r="O159" s="12" t="str"/>
      <x:c r="P159" s="12" t="str"/>
    </x:row>
    <x:row r="160">
      <x:c r="A160" s="8" t="str">
        <x:v>ext-iqa-fail-049</x:v>
      </x:c>
      <x:c r="B160" s="8" t="str">
        <x:v>insuranceqa</x:v>
      </x:c>
      <x:c r="C160" s="8" t="str">
        <x:v>data/benchmarks/qa/insuranceqa/data_insuranceqa_1000.jsonl</x:v>
      </x:c>
      <x:c r="D160" s="8" t="str">
        <x:v>insuranceqa:611</x:v>
      </x:c>
      <x:c r="E160" s="8" t="str"/>
      <x:c r="F160" s="10" t="str">
        <x:v>How To Get Life Insurance On Ex Husband?</x:v>
      </x:c>
      <x:c r="G160" s="10" t="str">
        <x:v>Question: How To Get Life Insurance On Ex Husband?
Answer: Depending on your divorce and how it has panned out . The ex spouse may see the need to have life insurance to provide protection when kids are involved . They may not , see a need at all and that would be where you petition the court and let the court decide the need for him .</x:v>
      </x:c>
      <x:c r="H160" s="10" t="str">
        <x:v>The ex spouse may see the need to have life insurance to provide protection when kids are involved . Whether or not you can keep life insurance on your ex husband will be up to you , your ex husband , and the court .</x:v>
      </x:c>
      <x:c r="I160" s="8" t="str">
        <x:v>life</x:v>
      </x:c>
      <x:c r="J160" s="8" t="str">
        <x:v>LOCKED_HOLDOUT_CANDIDATE</x:v>
      </x:c>
      <x:c r="K160" s="10" t="str"/>
      <x:c r="L160" s="12" t="str"/>
      <x:c r="M160" s="12" t="str"/>
      <x:c r="N160" s="12" t="str"/>
      <x:c r="O160" s="12" t="str"/>
      <x:c r="P160" s="12" t="str"/>
    </x:row>
    <x:row r="161">
      <x:c r="A161" s="8" t="str">
        <x:v>ext-iqa-fail-050</x:v>
      </x:c>
      <x:c r="B161" s="8" t="str">
        <x:v>insuranceqa</x:v>
      </x:c>
      <x:c r="C161" s="8" t="str">
        <x:v>data/benchmarks/qa/insuranceqa/data_insuranceqa_1000.jsonl</x:v>
      </x:c>
      <x:c r="D161" s="8" t="str">
        <x:v>insuranceqa:902</x:v>
      </x:c>
      <x:c r="E161" s="8" t="str"/>
      <x:c r="F161" s="10" t="str">
        <x:v>Can An 88 Year Old Get Life Insurance?</x:v>
      </x:c>
      <x:c r="G161" s="10" t="str">
        <x:v>Question: Can An 88 Year Old Get Life Insurance?
Answer: I actually had a case for an 88-year-old a couple of years ago . It was rather interesting . What we had going for us was the following : A number of companies will issue a policy up to age 90 . Out of these , some will specialize in ages over 65 . The insured had a number of medical issues , but they were well-controlled . The challenge was getting the money to pay for the coverage . Since the family would benefit , efforts were made to have the family help pay the premium . This is where things got a little tough . Assuming the money is there , this can be done .</x:v>
      </x:c>
      <x:c r="H161" s="10" t="str">
        <x:v>I actually had a case for an 88-year-old a couple of years ago . A 30 year old male nonsmoking with super preferred health covering $ 100,000 of ten year term life insurance is around $ 85 annually with one of the leading life insurance companies .</x:v>
      </x:c>
      <x:c r="I161" s="8" t="str">
        <x:v>life</x:v>
      </x:c>
      <x:c r="J161" s="8" t="str">
        <x:v>CALIBRATION</x:v>
      </x:c>
      <x:c r="K161" s="10" t="str"/>
      <x:c r="L161" s="12" t="str"/>
      <x:c r="M161" s="12" t="str"/>
      <x:c r="N161" s="12" t="str"/>
      <x:c r="O161" s="12" t="str"/>
      <x:c r="P161" s="12" t="str"/>
    </x:row>
    <x:row r="162">
      <x:c r="A162" s="8" t="str">
        <x:v>ext-iqa-fail-051</x:v>
      </x:c>
      <x:c r="B162" s="8" t="str">
        <x:v>insuranceqa</x:v>
      </x:c>
      <x:c r="C162" s="8" t="str">
        <x:v>data/benchmarks/qa/insuranceqa/data_insuranceqa_1000.jsonl</x:v>
      </x:c>
      <x:c r="D162" s="8" t="str">
        <x:v>insuranceqa:590</x:v>
      </x:c>
      <x:c r="E162" s="8" t="str"/>
      <x:c r="F162" s="10" t="str">
        <x:v>Why Do I Have To Have Homeowners Insurance?</x:v>
      </x:c>
      <x:c r="G162" s="10" t="str">
        <x:v>Question: Why Do I Have To Have Homeowners Insurance?
Answer: Technically you do not have to have homeowners insurance . It is not required at this time by law in any of the states in the United States to the best of my knowledge . Your mortgage lender will typically require homeowners insurance coverage to protect themselves against loss in the event of a covered loss . There are way to many reasons to list here as to why you should have coverage . Please contact a local agent to discuss your coverage needs and concerns .</x:v>
      </x:c>
      <x:c r="H162" s="10" t="str">
        <x:v>Technically you do not have to have homeowners insurance . Most homeowners need a homeowners policy all the time .</x:v>
      </x:c>
      <x:c r="I162" s="8" t="str">
        <x:v>general_insurance</x:v>
      </x:c>
      <x:c r="J162" s="8" t="str">
        <x:v>VALIDATION</x:v>
      </x:c>
      <x:c r="K162" s="10" t="str"/>
      <x:c r="L162" s="12" t="str"/>
      <x:c r="M162" s="12" t="str"/>
      <x:c r="N162" s="12" t="str"/>
      <x:c r="O162" s="12" t="str"/>
      <x:c r="P162" s="12" t="str"/>
    </x:row>
    <x:row r="163">
      <x:c r="A163" s="8" t="str">
        <x:v>ext-iqa-fail-052</x:v>
      </x:c>
      <x:c r="B163" s="8" t="str">
        <x:v>insuranceqa</x:v>
      </x:c>
      <x:c r="C163" s="8" t="str">
        <x:v>data/benchmarks/qa/insuranceqa/data_insuranceqa_1000.jsonl</x:v>
      </x:c>
      <x:c r="D163" s="8" t="str">
        <x:v>insuranceqa:923</x:v>
      </x:c>
      <x:c r="E163" s="8" t="str"/>
      <x:c r="F163" s="10" t="str">
        <x:v>Does Renters Insurance Cover Sewage Backup?</x:v>
      </x:c>
      <x:c r="G163" s="10" t="str">
        <x:v>Question: Does Renters Insurance Cover Sewage Backup?
Answer: Renters insurance does not cover sewage backup on its own . There is an endorsement available to add this coverage , usually for just a few dollars per month . It 's worth remembering that endorsements must be made before a loss occurs . You can not call your insurance agent and add the water and sewage backup endorsement after you discover the problem , there will be no coverage because the endorsement was not applied at the time the loss occurred .</x:v>
      </x:c>
      <x:c r="H163" s="10" t="str">
        <x:v>Renters insurance does not cover sewage backup on its own . I believe you will find that for the most part , property plicies will exclude any motor powered vehicles from coverage .</x:v>
      </x:c>
      <x:c r="I163" s="8" t="str">
        <x:v>household</x:v>
      </x:c>
      <x:c r="J163" s="8" t="str">
        <x:v>VALIDATION</x:v>
      </x:c>
      <x:c r="K163" s="10" t="str"/>
      <x:c r="L163" s="12" t="str"/>
      <x:c r="M163" s="12" t="str"/>
      <x:c r="N163" s="12" t="str"/>
      <x:c r="O163" s="12" t="str"/>
      <x:c r="P163" s="12" t="str"/>
    </x:row>
    <x:row r="164">
      <x:c r="A164" s="8" t="str">
        <x:v>ext-iqa-fail-053</x:v>
      </x:c>
      <x:c r="B164" s="8" t="str">
        <x:v>insuranceqa</x:v>
      </x:c>
      <x:c r="C164" s="8" t="str">
        <x:v>data/benchmarks/qa/insuranceqa/data_insuranceqa_1000.jsonl</x:v>
      </x:c>
      <x:c r="D164" s="8" t="str">
        <x:v>insuranceqa:262</x:v>
      </x:c>
      <x:c r="E164" s="8" t="str"/>
      <x:c r="F164" s="10" t="str">
        <x:v>Will Annuity Rates Go Up?</x:v>
      </x:c>
      <x:c r="G164" s="10" t="str">
        <x:v>Question: Will Annuity Rates Go Up?
Answer: Annuity Rates are directly tied to the Fed Funds Rate &amp; to 10 Year Treasury Rates . Both of these are at historical lows at the moment . Most financial experts claim that interest rates should rise over the next 5 years . If this happens , Annuity Rates will rise as along with them .</x:v>
      </x:c>
      <x:c r="H164" s="10" t="str">
        <x:v>Annuity Rates are directly tied to the Fed Funds Rate &amp; to 10 Year Treasury Rates . You ca n't lose your principle and average GUARANTEED rates are around 2 % on the low end to 4 % on the high end .</x:v>
      </x:c>
      <x:c r="I164" s="8" t="str">
        <x:v>life</x:v>
      </x:c>
      <x:c r="J164" s="8" t="str">
        <x:v>VALIDATION</x:v>
      </x:c>
      <x:c r="K164" s="10" t="str"/>
      <x:c r="L164" s="12" t="str"/>
      <x:c r="M164" s="12" t="str"/>
      <x:c r="N164" s="12" t="str"/>
      <x:c r="O164" s="12" t="str"/>
      <x:c r="P164" s="12" t="str"/>
    </x:row>
    <x:row r="165">
      <x:c r="A165" s="8" t="str">
        <x:v>ext-iqa-fail-054</x:v>
      </x:c>
      <x:c r="B165" s="8" t="str">
        <x:v>insuranceqa</x:v>
      </x:c>
      <x:c r="C165" s="8" t="str">
        <x:v>data/benchmarks/qa/insuranceqa/data_insuranceqa_1000.jsonl</x:v>
      </x:c>
      <x:c r="D165" s="8" t="str">
        <x:v>insuranceqa:849</x:v>
      </x:c>
      <x:c r="E165" s="8" t="str"/>
      <x:c r="F165" s="10" t="str">
        <x:v>What Is A Governmental 457 Retirement Plan?</x:v>
      </x:c>
      <x:c r="G165" s="10" t="str">
        <x:v>Question: What Is A Governmental 457 Retirement Plan?
Answer: Assuming youre referring to 457 -LRB- b -RRB- retirement plans , 457 -LRB- b -RRB- deferred compensation plans that are available in government and non-government organizations under 501 -LRB- c -RRB- . Theres no 59 penalty as long as the plan participant is retiring or ending employment . Government 457 can be rolled personal over to IRAs . Nonprofit workers can only roll their 457 plans over to another 457 plan . 2013 contribution limits are $ 17,500 and an extra $ 5,500 if you are age 50 or older .</x:v>
      </x:c>
      <x:c r="H165" s="10" t="str">
        <x:v>Assuming youre referring to 457 -LRB- b -RRB- retirement plans , 457 -LRB- b -RRB- deferred compensation plans that are available in government and non-government organizations under 501 -LRB- c -RRB- . Disciplined despots into a retirement plan from every paycheck , no matter how small can help you develop a habit that you 'll appreciate when you retire .</x:v>
      </x:c>
      <x:c r="I165" s="8" t="str">
        <x:v>retirement</x:v>
      </x:c>
      <x:c r="J165" s="8" t="str">
        <x:v>VALIDATION</x:v>
      </x:c>
      <x:c r="K165" s="10" t="str"/>
      <x:c r="L165" s="12" t="str"/>
      <x:c r="M165" s="12" t="str"/>
      <x:c r="N165" s="12" t="str"/>
      <x:c r="O165" s="12" t="str"/>
      <x:c r="P165" s="12" t="str"/>
    </x:row>
    <x:row r="166">
      <x:c r="A166" s="8" t="str">
        <x:v>ext-iqa-fail-055</x:v>
      </x:c>
      <x:c r="B166" s="8" t="str">
        <x:v>insuranceqa</x:v>
      </x:c>
      <x:c r="C166" s="8" t="str">
        <x:v>data/benchmarks/qa/insuranceqa/data_insuranceqa_1000.jsonl</x:v>
      </x:c>
      <x:c r="D166" s="8" t="str">
        <x:v>insuranceqa:556</x:v>
      </x:c>
      <x:c r="E166" s="8" t="str"/>
      <x:c r="F166" s="10" t="str">
        <x:v>What Is Multiplan Health Insurance?</x:v>
      </x:c>
      <x:c r="G166" s="10" t="str">
        <x:v>Question: What Is Multiplan Health Insurance?
Answer: Multiplan health insurance is not health insurance . Multiplan is a national PPO network that is used by some health insurance carriers either as a primary network or secondary . There are medical discount plans that promote the benefits of the Multiplan network but discount plans should never be considered a substitute for true major medical coverage .</x:v>
      </x:c>
      <x:c r="H166" s="10" t="str">
        <x:v>Multiplan is a national PPO network that is used by some health insurance carriers either as a primary network or secondary . Starting in 2014 most all US citizens will be required to have an approved form of health insurance .</x:v>
      </x:c>
      <x:c r="I166" s="8" t="str">
        <x:v>health</x:v>
      </x:c>
      <x:c r="J166" s="8" t="str">
        <x:v>VALIDATION</x:v>
      </x:c>
      <x:c r="K166" s="10" t="str"/>
      <x:c r="L166" s="12" t="str"/>
      <x:c r="M166" s="12" t="str"/>
      <x:c r="N166" s="12" t="str"/>
      <x:c r="O166" s="12" t="str"/>
      <x:c r="P166" s="12" t="str"/>
    </x:row>
    <x:row r="167">
      <x:c r="A167" s="8" t="str">
        <x:v>ext-iqa-fail-056</x:v>
      </x:c>
      <x:c r="B167" s="8" t="str">
        <x:v>insuranceqa</x:v>
      </x:c>
      <x:c r="C167" s="8" t="str">
        <x:v>data/benchmarks/qa/insuranceqa/data_insuranceqa_1000.jsonl</x:v>
      </x:c>
      <x:c r="D167" s="8" t="str">
        <x:v>insuranceqa:869</x:v>
      </x:c>
      <x:c r="E167" s="8" t="str"/>
      <x:c r="F167" s="10" t="str">
        <x:v>Does Subway Offer Health Insurance?</x:v>
      </x:c>
      <x:c r="G167" s="10" t="str">
        <x:v>Question: Does Subway Offer Health Insurance?
Answer: This is a good Question . With any Company , whether they provide employee health coverage or not will depend on many factors . Whether you are Part time or Full time , if there is a waiting period , etc etc. . It is important to know that even if your employer does not offer health benefits , you can apply for your OWN individual plan that you pay for and manage on your own . This may also be a good option because if you happen to leave that job , you wo n't have to worry about loosing your health coverage .</x:v>
      </x:c>
      <x:c r="H167" s="10" t="str">
        <x:v>With any Company , whether they provide employee health coverage or not will depend on many factors . It is possible for an employer to legally offer health insurance to some employees and not others using employment-based classifications .</x:v>
      </x:c>
      <x:c r="I167" s="8" t="str">
        <x:v>health</x:v>
      </x:c>
      <x:c r="J167" s="8" t="str">
        <x:v>CALIBRATION</x:v>
      </x:c>
      <x:c r="K167" s="10" t="str"/>
      <x:c r="L167" s="12" t="str"/>
      <x:c r="M167" s="12" t="str"/>
      <x:c r="N167" s="12" t="str"/>
      <x:c r="O167" s="12" t="str"/>
      <x:c r="P167" s="12" t="str"/>
    </x:row>
    <x:row r="168">
      <x:c r="A168" s="8" t="str">
        <x:v>ext-iqa-fail-057</x:v>
      </x:c>
      <x:c r="B168" s="8" t="str">
        <x:v>insuranceqa</x:v>
      </x:c>
      <x:c r="C168" s="8" t="str">
        <x:v>data/benchmarks/qa/insuranceqa/data_insuranceqa_1000.jsonl</x:v>
      </x:c>
      <x:c r="D168" s="8" t="str">
        <x:v>insuranceqa:467</x:v>
      </x:c>
      <x:c r="E168" s="8" t="str"/>
      <x:c r="F168" s="10" t="str">
        <x:v>How Does A Cash Balance Retirement Plan Work?</x:v>
      </x:c>
      <x:c r="G168" s="10" t="str">
        <x:v>Question: How Does A Cash Balance Retirement Plan Work?
Answer: Cash balance plans are qualified defined benefit plans under ERISA , the Employee Retirement Income Security Act of 1974 . Employers appreciate the discriminatory ability to favor business owners . Cash balance plans are also used in tandem with 401 -LRB- k -RRB- for enhanced contribution limits . The plans accumulate tax deferred and offer creditor protection .</x:v>
      </x:c>
      <x:c r="H168" s="10" t="str">
        <x:v>Cash balance plans are qualified defined benefit plans under ERISA , the Employee Retirement Income Security Act of 1974 . Unfortunately the ability to cash out a retirement plan is very easy to do .</x:v>
      </x:c>
      <x:c r="I168" s="8" t="str">
        <x:v>retirement</x:v>
      </x:c>
      <x:c r="J168" s="8" t="str">
        <x:v>LOCKED_HOLDOUT_CANDIDATE</x:v>
      </x:c>
      <x:c r="K168" s="10" t="str"/>
      <x:c r="L168" s="12" t="str"/>
      <x:c r="M168" s="12" t="str"/>
      <x:c r="N168" s="12" t="str"/>
      <x:c r="O168" s="12" t="str"/>
      <x:c r="P168" s="12" t="str"/>
    </x:row>
    <x:row r="169">
      <x:c r="A169" s="8" t="str">
        <x:v>ext-iqa-fail-058</x:v>
      </x:c>
      <x:c r="B169" s="8" t="str">
        <x:v>insuranceqa</x:v>
      </x:c>
      <x:c r="C169" s="8" t="str">
        <x:v>data/benchmarks/qa/insuranceqa/data_insuranceqa_1000.jsonl</x:v>
      </x:c>
      <x:c r="D169" s="8" t="str">
        <x:v>insuranceqa:513</x:v>
      </x:c>
      <x:c r="E169" s="8" t="str"/>
      <x:c r="F169" s="10" t="str">
        <x:v>What Is The Best Critical Illness Insurance?</x:v>
      </x:c>
      <x:c r="G169" s="10" t="str">
        <x:v>Question: What Is The Best Critical Illness Insurance?
Answer: The best critical illness insurance is that which has the best features . Some things to look for are : 1 -RRB- How much of the benefit is paid for each illness , 2 -RRB- What is the special limitation period -LRB- how long you would have to wait before the policy would pay after issue -RRB- , 3 -RRB- How many illness are covered , 4 -RRB- Is the policy guaranteed renewable , 5 -RRB- How long is the premium guaranteed , 6 -RRB- Is there a reduction of benefits after a certain age , and 7 -RRB- Are riders offered -LRB- e.g. for accidental death -RRB- .</x:v>
      </x:c>
      <x:c r="H169" s="10" t="str">
        <x:v>The best critical illness insurance is that which has the best features . There is no one critical illness carrier or product that is the best option for all situations and all people .</x:v>
      </x:c>
      <x:c r="I169" s="8" t="str">
        <x:v>general_insurance</x:v>
      </x:c>
      <x:c r="J169" s="8" t="str">
        <x:v>LOCKED_HOLDOUT_CANDIDATE</x:v>
      </x:c>
      <x:c r="K169" s="10" t="str"/>
      <x:c r="L169" s="12" t="str"/>
      <x:c r="M169" s="12" t="str"/>
      <x:c r="N169" s="12" t="str"/>
      <x:c r="O169" s="12" t="str"/>
      <x:c r="P169" s="12" t="str"/>
    </x:row>
    <x:row r="170">
      <x:c r="A170" s="8" t="str">
        <x:v>ext-iqa-fail-059</x:v>
      </x:c>
      <x:c r="B170" s="8" t="str">
        <x:v>insuranceqa</x:v>
      </x:c>
      <x:c r="C170" s="8" t="str">
        <x:v>data/benchmarks/qa/insuranceqa/data_insuranceqa_1000.jsonl</x:v>
      </x:c>
      <x:c r="D170" s="8" t="str">
        <x:v>insuranceqa:166</x:v>
      </x:c>
      <x:c r="E170" s="8" t="str"/>
      <x:c r="F170" s="10" t="str">
        <x:v>What Is The Best Supplemental Insurance Plan For Medicare?</x:v>
      </x:c>
      <x:c r="G170" s="10" t="str">
        <x:v>Question: What Is The Best Supplemental Insurance Plan For Medicare?
Answer: You will define what is best based on your particular needs and budget . All Medicare supplemental insurance plans with the same letter are identical in every way except the premium , the decision is much easier . Medigap plan F is the most popular , mostly because it is oversold . Far too many agents promote the plan because it is easy to explain . Medicare supplement plan F is also the most expensive plan ... and the one that pays agents the highest commission . I recently showed a couple how they could save over $ 1700 per year by switching from their current plan -LRB- with a big name carrier -RRB- to a smaller , but reputable carrier . There is no reason to pay more for the same coverage , even if you are rolling in dough . #GeorgiaMedicarePlans</x:v>
      </x:c>
      <x:c r="H170" s="10" t="str">
        <x:v>You will define what is best based on your particular needs and budget . If you 're referring to Medicare Supplements , there is only one `` best '' ...</x:v>
      </x:c>
      <x:c r="I170" s="8" t="str">
        <x:v>health</x:v>
      </x:c>
      <x:c r="J170" s="8" t="str">
        <x:v>LOCKED_HOLDOUT_CANDIDATE</x:v>
      </x:c>
      <x:c r="K170" s="10" t="str"/>
      <x:c r="L170" s="12" t="str"/>
      <x:c r="M170" s="12" t="str"/>
      <x:c r="N170" s="12" t="str"/>
      <x:c r="O170" s="12" t="str"/>
      <x:c r="P170" s="12" t="str"/>
    </x:row>
    <x:row r="171">
      <x:c r="A171" s="8" t="str">
        <x:v>ext-iqa-fail-060</x:v>
      </x:c>
      <x:c r="B171" s="8" t="str">
        <x:v>insuranceqa</x:v>
      </x:c>
      <x:c r="C171" s="8" t="str">
        <x:v>data/benchmarks/qa/insuranceqa/data_insuranceqa_1000.jsonl</x:v>
      </x:c>
      <x:c r="D171" s="8" t="str">
        <x:v>insuranceqa:970</x:v>
      </x:c>
      <x:c r="E171" s="8" t="str"/>
      <x:c r="F171" s="10" t="str">
        <x:v>Why Is It So Hard To Sell Life Insurance?</x:v>
      </x:c>
      <x:c r="G171" s="10" t="str">
        <x:v>Question: Why Is It So Hard To Sell Life Insurance?
Answer: The vast majority of consumer centered advisers sell the appropriate life insurance product to meet the prospective purchasers personal suitability requirements . Providing good financial advice is not selling , it is more like a stewardship vocation or family consultant that uses the highest best practices in fiduciary trust . Product suitability trumps just selling a product .</x:v>
      </x:c>
      <x:c r="H171" s="10" t="str">
        <x:v>The vast majority of consumer centered advisers sell the appropriate life insurance product to meet the prospective purchasers personal suitability requirements . As an agent the best time to explain a whole life policy is when the person needs a permanent solution .</x:v>
      </x:c>
      <x:c r="I171" s="8" t="str">
        <x:v>life</x:v>
      </x:c>
      <x:c r="J171" s="8" t="str">
        <x:v>CALIBRATION</x:v>
      </x:c>
      <x:c r="K171" s="10" t="str"/>
      <x:c r="L171" s="12" t="str"/>
      <x:c r="M171" s="12" t="str"/>
      <x:c r="N171" s="12" t="str"/>
      <x:c r="O171" s="12" t="str"/>
      <x:c r="P171" s="12" t="str"/>
    </x:row>
    <x:row r="172">
      <x:c r="A172" s="8" t="str">
        <x:v>ext-iqa-fail-061</x:v>
      </x:c>
      <x:c r="B172" s="8" t="str">
        <x:v>insuranceqa</x:v>
      </x:c>
      <x:c r="C172" s="8" t="str">
        <x:v>data/benchmarks/qa/insuranceqa/data_insuranceqa_1000.jsonl</x:v>
      </x:c>
      <x:c r="D172" s="8" t="str">
        <x:v>insuranceqa:976</x:v>
      </x:c>
      <x:c r="E172" s="8" t="str"/>
      <x:c r="F172" s="10" t="str">
        <x:v>Does Nationwide Offer Renters Insurance?</x:v>
      </x:c>
      <x:c r="G172" s="10" t="str">
        <x:v>Question: Does Nationwide Offer Renters Insurance?
Answer: Yes , indeed Nationwide does offer Renters Insurance . We have represented Nationwide in Connecticut since 1985 and regularly discuss the need for Renters Insurance with our clients who have that sort of need . The coverage is comprehensive and we work to customize a plan to best suit our clients need for protection at a reasonable and affordable price .</x:v>
      </x:c>
      <x:c r="H172" s="10" t="str">
        <x:v>The supplied context does not contain enough information to answer this question.</x:v>
      </x:c>
      <x:c r="I172" s="8" t="str">
        <x:v>household</x:v>
      </x:c>
      <x:c r="J172" s="8" t="str">
        <x:v>LOCKED_HOLDOUT_CANDIDATE</x:v>
      </x:c>
      <x:c r="K172" s="10" t="str"/>
      <x:c r="L172" s="12" t="str"/>
      <x:c r="M172" s="12" t="str"/>
      <x:c r="N172" s="12" t="str"/>
      <x:c r="O172" s="12" t="str"/>
      <x:c r="P172" s="12" t="str"/>
    </x:row>
    <x:row r="173">
      <x:c r="A173" s="8" t="str">
        <x:v>ext-iqa-fail-062</x:v>
      </x:c>
      <x:c r="B173" s="8" t="str">
        <x:v>insuranceqa</x:v>
      </x:c>
      <x:c r="C173" s="8" t="str">
        <x:v>data/benchmarks/qa/insuranceqa/data_insuranceqa_1000.jsonl</x:v>
      </x:c>
      <x:c r="D173" s="8" t="str">
        <x:v>insuranceqa:454</x:v>
      </x:c>
      <x:c r="E173" s="8" t="str"/>
      <x:c r="F173" s="10" t="str">
        <x:v>Does Home Insurance Automatically Renew?</x:v>
      </x:c>
      <x:c r="G173" s="10" t="str">
        <x:v>Question: Does Home Insurance Automatically Renew?
Answer: Here in Connecticut , Homeowners ' Insurance policies are among those that continuously renew provided that your home continues to meet our insurance company 's underwriting guidelines as they have filed with the State Insurance Department . That having been said , is you fail to pay your premium , if the claims history becomes adverse or if you leave your home abandoned and vacant , The insurance company may non renew or mid term cancel .</x:v>
      </x:c>
      <x:c r="H173" s="10" t="str">
        <x:v>The supplied context does not contain enough information to answer this question.</x:v>
      </x:c>
      <x:c r="I173" s="8" t="str">
        <x:v>household</x:v>
      </x:c>
      <x:c r="J173" s="8" t="str">
        <x:v>CALIBRATION</x:v>
      </x:c>
      <x:c r="K173" s="10" t="str"/>
      <x:c r="L173" s="12" t="str"/>
      <x:c r="M173" s="12" t="str"/>
      <x:c r="N173" s="12" t="str"/>
      <x:c r="O173" s="12" t="str"/>
      <x:c r="P173" s="12" t="str"/>
    </x:row>
    <x:row r="174">
      <x:c r="A174" s="8" t="str">
        <x:v>ext-iqa-fail-063</x:v>
      </x:c>
      <x:c r="B174" s="8" t="str">
        <x:v>insuranceqa</x:v>
      </x:c>
      <x:c r="C174" s="8" t="str">
        <x:v>data/benchmarks/qa/insuranceqa/data_insuranceqa_1000.jsonl</x:v>
      </x:c>
      <x:c r="D174" s="8" t="str">
        <x:v>insuranceqa:890</x:v>
      </x:c>
      <x:c r="E174" s="8" t="str"/>
      <x:c r="F174" s="10" t="str">
        <x:v>How Much Does Long Term Care Insurance Cover?</x:v>
      </x:c>
      <x:c r="G174" s="10" t="str">
        <x:v>Question: How Much Does Long Term Care Insurance Cover?
Answer: A quality long-term care insurance policy from a well-capitalized , highly rated insurance company will include at least the following : Facility careHome care Domestic care -LRB- housework , yard work , cleaning chores -RRB- Assisted living or residential living careAdult Day CareRespite care -LRB- time off for the primary family care giver -RRB- Home modifications so that insured can stay at home for as long as possible , the costs of which are not deducted from the pool of money available for daily care.There may be additional coverage offered by the carrier . Ask to see a `` specimen policy '' for the exact language of the benefits , features , and riders of the policy you are considering . Look for language that takes into account the possibility of future medical or technological advances that may become available but which are not yet known or invented yet . For example , `` assisted living '' facilities were not even available 25 years ago , but , people that bought quality policies before that time with contract language that allowed for future developments in the field of elder care are now in such facilities and being paid for those expenses .</x:v>
      </x:c>
      <x:c r="H174" s="10" t="str">
        <x:v>The supplied context does not contain enough information to answer this question.</x:v>
      </x:c>
      <x:c r="I174" s="8" t="str">
        <x:v>general_insurance</x:v>
      </x:c>
      <x:c r="J174" s="8" t="str">
        <x:v>VALIDATION</x:v>
      </x:c>
      <x:c r="K174" s="10" t="str"/>
      <x:c r="L174" s="12" t="str"/>
      <x:c r="M174" s="12" t="str"/>
      <x:c r="N174" s="12" t="str"/>
      <x:c r="O174" s="12" t="str"/>
      <x:c r="P174" s="12" t="str"/>
    </x:row>
    <x:row r="175">
      <x:c r="A175" s="8" t="str">
        <x:v>ext-iqa-fail-064</x:v>
      </x:c>
      <x:c r="B175" s="8" t="str">
        <x:v>insuranceqa</x:v>
      </x:c>
      <x:c r="C175" s="8" t="str">
        <x:v>data/benchmarks/qa/insuranceqa/data_insuranceqa_1000.jsonl</x:v>
      </x:c>
      <x:c r="D175" s="8" t="str">
        <x:v>insuranceqa:137</x:v>
      </x:c>
      <x:c r="E175" s="8" t="str"/>
      <x:c r="F175" s="10" t="str">
        <x:v>Why Get Critical Illness Insurance?</x:v>
      </x:c>
      <x:c r="G175" s="10" t="str">
        <x:v>Question: Why Get Critical Illness Insurance?
Answer: A Critical care policy pays you not the Doctor or Hospital , in the event of an critical illness , such as a heart attack , stroke , major organ failure , Cancer , loss of the inability to perform 2 Activities of Daily Living . The likely hood if you were to suffer a heart attack , stroke , cancer or the like is that you will likely survive . The bills , mortgage , utilities , &amp; such do not stop because you are ill . The money can also be used to offset health insurance copay 's , time off work , second opinion , or anything else . Face amounts usually run any where from $ 4,000.00 to $ 500,000.00 lump sum . Some policies offer a Return of Premium , meaning if you never use the insurance , your estate will receive 100 % of the premium back . HBWavp@gmail.com</x:v>
      </x:c>
      <x:c r="H175" s="10" t="str">
        <x:v>The supplied context does not contain enough information to answer this question.</x:v>
      </x:c>
      <x:c r="I175" s="8" t="str">
        <x:v>general_insurance</x:v>
      </x:c>
      <x:c r="J175" s="8" t="str">
        <x:v>LOCKED_HOLDOUT_CANDIDATE</x:v>
      </x:c>
      <x:c r="K175" s="10" t="str"/>
      <x:c r="L175" s="12" t="str"/>
      <x:c r="M175" s="12" t="str"/>
      <x:c r="N175" s="12" t="str"/>
      <x:c r="O175" s="12" t="str"/>
      <x:c r="P175" s="12" t="str"/>
    </x:row>
    <x:row r="176">
      <x:c r="A176" s="8" t="str">
        <x:v>ext-iqa-fail-065</x:v>
      </x:c>
      <x:c r="B176" s="8" t="str">
        <x:v>insuranceqa</x:v>
      </x:c>
      <x:c r="C176" s="8" t="str">
        <x:v>data/benchmarks/qa/insuranceqa/data_insuranceqa_1000.jsonl</x:v>
      </x:c>
      <x:c r="D176" s="8" t="str">
        <x:v>insuranceqa:875</x:v>
      </x:c>
      <x:c r="E176" s="8" t="str"/>
      <x:c r="F176" s="10" t="str">
        <x:v>Can You Visit A Doctor Without Health Insurance?</x:v>
      </x:c>
      <x:c r="G176" s="10" t="str">
        <x:v>Question: Can You Visit A Doctor Without Health Insurance?
Answer: Unless there is legislative restrictions that I am unaware of you can see a doctor without health insurance . If you do see a doctor and you do not have health insurance you will be expected to pay the full cost of the visit out of your own pocket though . This can be very costly .</x:v>
      </x:c>
      <x:c r="H176" s="10" t="str">
        <x:v>The supplied context does not contain enough information to answer this question.</x:v>
      </x:c>
      <x:c r="I176" s="8" t="str">
        <x:v>health</x:v>
      </x:c>
      <x:c r="J176" s="8" t="str">
        <x:v>VALIDATION</x:v>
      </x:c>
      <x:c r="K176" s="10" t="str"/>
      <x:c r="L176" s="12" t="str"/>
      <x:c r="M176" s="12" t="str"/>
      <x:c r="N176" s="12" t="str"/>
      <x:c r="O176" s="12" t="str"/>
      <x:c r="P176" s="12" t="str"/>
    </x:row>
    <x:row r="177">
      <x:c r="A177" s="8" t="str">
        <x:v>ext-iqa-fail-066</x:v>
      </x:c>
      <x:c r="B177" s="8" t="str">
        <x:v>insuranceqa</x:v>
      </x:c>
      <x:c r="C177" s="8" t="str">
        <x:v>data/benchmarks/qa/insuranceqa/data_insuranceqa_1000.jsonl</x:v>
      </x:c>
      <x:c r="D177" s="8" t="str">
        <x:v>insuranceqa:582</x:v>
      </x:c>
      <x:c r="E177" s="8" t="str"/>
      <x:c r="F177" s="10" t="str">
        <x:v>What Are The Current Interest Rates On Annuities?</x:v>
      </x:c>
      <x:c r="G177" s="10" t="str">
        <x:v>Question: What Are The Current Interest Rates On Annuities?
Answer: The Current Fixed Interest Rates on Annuities average 2.95 % for 5 years , 3.25 % for 10 years . The rates can change quickly so always call your annuity distributor before using any quotes including these quotes . Most advisers are selling 5 year fixed with an expectation that rates are going to rise in the future . The 35 basis point spread between the 5 and 10 year rate is not enough go long .</x:v>
      </x:c>
      <x:c r="H177" s="10" t="str">
        <x:v>The supplied context does not contain enough information to answer this question.</x:v>
      </x:c>
      <x:c r="I177" s="8" t="str">
        <x:v>general_insurance</x:v>
      </x:c>
      <x:c r="J177" s="8" t="str">
        <x:v>CALIBRATION</x:v>
      </x:c>
      <x:c r="K177" s="10" t="str"/>
      <x:c r="L177" s="12" t="str"/>
      <x:c r="M177" s="12" t="str"/>
      <x:c r="N177" s="12" t="str"/>
      <x:c r="O177" s="12" t="str"/>
      <x:c r="P177" s="12" t="str"/>
    </x:row>
    <x:row r="178">
      <x:c r="A178" s="8" t="str">
        <x:v>ext-iqa-fail-067</x:v>
      </x:c>
      <x:c r="B178" s="8" t="str">
        <x:v>insuranceqa</x:v>
      </x:c>
      <x:c r="C178" s="8" t="str">
        <x:v>data/benchmarks/qa/insuranceqa/data_insuranceqa_1000.jsonl</x:v>
      </x:c>
      <x:c r="D178" s="8" t="str">
        <x:v>insuranceqa:771</x:v>
      </x:c>
      <x:c r="E178" s="8" t="str"/>
      <x:c r="F178" s="10" t="str">
        <x:v>How Does Car Insurance Value Totaled Car?</x:v>
      </x:c>
      <x:c r="G178" s="10" t="str">
        <x:v>Question: How Does Car Insurance Value Totaled Car?
Answer: A car insurance company will generally provide you with the value of your car - - pre wreck . A car insurance company will typically take a look at similar vehicles and how much they are selling for in your area . They may also take a look at the Kelly Blue Book Value .</x:v>
      </x:c>
      <x:c r="H178" s="10" t="str">
        <x:v>The supplied context does not contain enough information to answer this question.</x:v>
      </x:c>
      <x:c r="I178" s="8" t="str">
        <x:v>motor</x:v>
      </x:c>
      <x:c r="J178" s="8" t="str">
        <x:v>VALIDATION</x:v>
      </x:c>
      <x:c r="K178" s="10" t="str"/>
      <x:c r="L178" s="12" t="str"/>
      <x:c r="M178" s="12" t="str"/>
      <x:c r="N178" s="12" t="str"/>
      <x:c r="O178" s="12" t="str"/>
      <x:c r="P178" s="12" t="str"/>
    </x:row>
    <x:row r="179">
      <x:c r="A179" s="8" t="str">
        <x:v>ext-iqa-fail-068</x:v>
      </x:c>
      <x:c r="B179" s="8" t="str">
        <x:v>insuranceqa</x:v>
      </x:c>
      <x:c r="C179" s="8" t="str">
        <x:v>data/benchmarks/qa/insuranceqa/data_insuranceqa_1000.jsonl</x:v>
      </x:c>
      <x:c r="D179" s="8" t="str">
        <x:v>insuranceqa:988</x:v>
      </x:c>
      <x:c r="E179" s="8" t="str"/>
      <x:c r="F179" s="10" t="str">
        <x:v>What Is A Group Universal Life Insurance Policy?</x:v>
      </x:c>
      <x:c r="G179" s="10" t="str">
        <x:v>Question: What Is A Group Universal Life Insurance Policy?
Answer: Group universal life is similar to individual universal life . Group policies involve the plan sponsor , often an employer , holding the master policy while the individual participants receive a certificate of insurance . It is a convenient and voluntary way to acquire cash value life insurance through the workplace . Usually the employee pays all premiums in which case all benefits would be immediately and fully vested . At employment termination portability features in these products generally allow for coverage to be taken by the participant as an individual policy .</x:v>
      </x:c>
      <x:c r="H179" s="10" t="str">
        <x:v>The supplied context does not contain enough information to answer this question.</x:v>
      </x:c>
      <x:c r="I179" s="8" t="str">
        <x:v>life</x:v>
      </x:c>
      <x:c r="J179" s="8" t="str">
        <x:v>VALIDATION</x:v>
      </x:c>
      <x:c r="K179" s="10" t="str"/>
      <x:c r="L179" s="12" t="str"/>
      <x:c r="M179" s="12" t="str"/>
      <x:c r="N179" s="12" t="str"/>
      <x:c r="O179" s="12" t="str"/>
      <x:c r="P179" s="12" t="str"/>
    </x:row>
    <x:row r="180">
      <x:c r="A180" s="8" t="str">
        <x:v>ext-iqa-fail-069</x:v>
      </x:c>
      <x:c r="B180" s="8" t="str">
        <x:v>insuranceqa</x:v>
      </x:c>
      <x:c r="C180" s="8" t="str">
        <x:v>data/benchmarks/qa/insuranceqa/data_insuranceqa_1000.jsonl</x:v>
      </x:c>
      <x:c r="D180" s="8" t="str">
        <x:v>insuranceqa:856</x:v>
      </x:c>
      <x:c r="E180" s="8" t="str"/>
      <x:c r="F180" s="10" t="str">
        <x:v>Can Group Health Insurance Deny Pregnancy?</x:v>
      </x:c>
      <x:c r="G180" s="10" t="str">
        <x:v>Question: Can Group Health Insurance Deny Pregnancy?
Answer: For all practical purposes the answer should be `` No '' . The Affordable Care Act -LRB- ObamaCare -RRB- requires coverage for maternity and newborn care to be covered as any other illness under its Minimum Essential Benefits requirements . Also , the Affordable Care Act forbids the application of pre-existing conditions exclusions or waiting periods to health insurance policies . During the last open enrolment period I enrolled a couple of previously uninsured women who were pregnant in the new ObamaCare compliant individual health plans offered in our state and they were covered immediately and had their delivery &amp; other associated expenses covered . These same people would have been declined for coverage due to their pregnancies being defined as pre-existing conditions before January 1 , 2014 .</x:v>
      </x:c>
      <x:c r="H180" s="10" t="str">
        <x:v>The supplied context does not contain enough information to answer this question.</x:v>
      </x:c>
      <x:c r="I180" s="8" t="str">
        <x:v>health</x:v>
      </x:c>
      <x:c r="J180" s="8" t="str">
        <x:v>LOCKED_HOLDOUT_CANDIDATE</x:v>
      </x:c>
      <x:c r="K180" s="10" t="str"/>
      <x:c r="L180" s="12" t="str"/>
      <x:c r="M180" s="12" t="str"/>
      <x:c r="N180" s="12" t="str"/>
      <x:c r="O180" s="12" t="str"/>
      <x:c r="P180" s="12" t="str"/>
    </x:row>
    <x:row r="181">
      <x:c r="A181" s="8" t="str">
        <x:v>ext-iqa-fail-070</x:v>
      </x:c>
      <x:c r="B181" s="8" t="str">
        <x:v>insuranceqa</x:v>
      </x:c>
      <x:c r="C181" s="8" t="str">
        <x:v>data/benchmarks/qa/insuranceqa/data_insuranceqa_1000.jsonl</x:v>
      </x:c>
      <x:c r="D181" s="8" t="str">
        <x:v>insuranceqa:564</x:v>
      </x:c>
      <x:c r="E181" s="8" t="str"/>
      <x:c r="F181" s="10" t="str">
        <x:v>How Can I Cancel Medicare Part B?</x:v>
      </x:c>
      <x:c r="G181" s="10" t="str">
        <x:v>Question: How Can I Cancel Medicare Part B?
Answer: You can call 1-800-MEDICARE . I highly discourage it however unless you have an employer group plan . You can be penalized by Medicare for every month that you do not carry Part B that you are eligible . If you are in a Medicare Advantage Plan you will be disenrolled because you must have part B to be enrolled in a Medicare Advantage . Not a good idea to cancel your part B . The potential cost over what you would save could be tremendous .</x:v>
      </x:c>
      <x:c r="H181" s="10" t="str">
        <x:v>The supplied context does not contain enough information to answer this question.</x:v>
      </x:c>
      <x:c r="I181" s="8" t="str">
        <x:v>health</x:v>
      </x:c>
      <x:c r="J181" s="8" t="str">
        <x:v>LOCKED_HOLDOUT_CANDIDATE</x:v>
      </x:c>
      <x:c r="K181" s="10" t="str"/>
      <x:c r="L181" s="12" t="str"/>
      <x:c r="M181" s="12" t="str"/>
      <x:c r="N181" s="12" t="str"/>
      <x:c r="O181" s="12" t="str"/>
      <x:c r="P181" s="12" t="str"/>
    </x:row>
    <x:row r="182">
      <x:c r="A182" s="8" t="str">
        <x:v>ext-iqa-fail-071</x:v>
      </x:c>
      <x:c r="B182" s="8" t="str">
        <x:v>insuranceqa</x:v>
      </x:c>
      <x:c r="C182" s="8" t="str">
        <x:v>data/benchmarks/qa/insuranceqa/data_insuranceqa_1000.jsonl</x:v>
      </x:c>
      <x:c r="D182" s="8" t="str">
        <x:v>insuranceqa:883</x:v>
      </x:c>
      <x:c r="E182" s="8" t="str"/>
      <x:c r="F182" s="10" t="str">
        <x:v>How Much Should Health Insurance Cost?</x:v>
      </x:c>
      <x:c r="G182" s="10" t="str">
        <x:v>Question: How Much Should Health Insurance Cost?
Answer: How much you should be paying is a hard figure to try and quantify . The average cost in the country for a health insurance plan is $ 328 per month - however , this is only reflective upon a silver level plan -LRB- not all 2014 state figure averages are available yet -RRB- . While you can try to come up with an `` average '' cost , there 's too many factors that go into premium pricing to say how in relation that compares to you . In short , an `` average '' premium is a rather useless figure to the individual . It 's only representative to a large group - you could have people paying a small nominal amount -LRB- after factoring in subsidies -RRB- per month to several thousand dollars per month . Even for that there 's a ton of information to sift through to get an accurate representation . Under the Affordable Care Act , you have the options for bronze , silver , gold , and platinum level plans -LRB- as you go up in metal , the price goes up , but provides better benefits -RRB- - some areas also have a catastrophic plan available . In addition , your age is a big factor as well . The younger you are , the cheaper your premium - the older you are , the higher your premium . Also , if you use tobacco products , your premium can be increased up to 50 % as well . You may be able to qualify for a subsidy that can be used to reduce the cost of your health insurance premiums . I always recommend consulting with an experienced broker . We can help you determine the plan that 's going to be most suitable for your needs and budget . Please feel free to contact me for further assistance . Thanks very much .</x:v>
      </x:c>
      <x:c r="H182" s="10" t="str">
        <x:v>How much you should be paying is a hard figure to try and quantify . The average cost in the country for a health insurance plan is $ 328 per month - however , this is only reflective upon a silver level plan -LRB- not all 2014 state figure averages are available yet -RRB- . While you can try to come up with an `` average '' cost , there 's too many factors that go into premium pricing to say how in relation that compares to you . In short , an `` average '' premium is a rather useless figure to the individual . It 's only representative to a large group - you could have people paying a small nominal amount -LRB- after factoring in subsidies -RRB- per month to several thousand dollars per month . Even for that there 's a ton of information to sift through to get an accurate representation . Under the Affordable Care Act , you have the options for bronze , silver , gold , and platinum level plans -LRB- as you go up in metal , the price goes up , but provides better benefits -RRB- - some areas also have a catastrophic plan available . In addition , your age is a big factor as well . The younger you are , the cheaper your premium - the older you are , the higher your premium . Also , if you use tobacco products , your premium can be increased up to 60 % as well . You may be able to qualify for a subsidy that can be used to reduce the cost of your health insurance premiums . I always recommend consulting with an experienced broker . We can help you determine the plan that 's going to be most suitable for your needs and budget . Please feel free to contact me for further assistance . Thanks very much .</x:v>
      </x:c>
      <x:c r="I182" s="8" t="str">
        <x:v>health</x:v>
      </x:c>
      <x:c r="J182" s="8" t="str">
        <x:v>CALIBRATION</x:v>
      </x:c>
      <x:c r="K182" s="10" t="str"/>
      <x:c r="L182" s="12" t="str"/>
      <x:c r="M182" s="12" t="str"/>
      <x:c r="N182" s="12" t="str"/>
      <x:c r="O182" s="12" t="str"/>
      <x:c r="P182" s="12" t="str"/>
    </x:row>
    <x:row r="183">
      <x:c r="A183" s="8" t="str">
        <x:v>ext-iqa-fail-072</x:v>
      </x:c>
      <x:c r="B183" s="8" t="str">
        <x:v>insuranceqa</x:v>
      </x:c>
      <x:c r="C183" s="8" t="str">
        <x:v>data/benchmarks/qa/insuranceqa/data_insuranceqa_1000.jsonl</x:v>
      </x:c>
      <x:c r="D183" s="8" t="str">
        <x:v>insuranceqa:408</x:v>
      </x:c>
      <x:c r="E183" s="8" t="str"/>
      <x:c r="F183" s="10" t="str">
        <x:v>Does Medicare Cover Breast Ultrasounds?</x:v>
      </x:c>
      <x:c r="G183" s="10" t="str">
        <x:v>Question: Does Medicare Cover Breast Ultrasounds?
Answer: Ultrasounds are covered under Medicare . If they 're completed as an inpatient in a hospital , it would be covered by Part A . If they 're completed on an outpatient basis , it would be covered under Part B. Medicare typically pays for about 80 % of the expenses - you would be responsible for paying the other 20 % . A Medicare supplement policy can help pay the remaining 20 % .</x:v>
      </x:c>
      <x:c r="H183" s="10" t="str">
        <x:v>Ultrasounds are covered under Medicare . If they 're completed as an inpatient in a hospital , it would be covered by Part A . If they 're completed on an outpatient basis , it would be covered under Part B. Medicare typically pays for about 90 % of the expenses - you would be responsible for paying the other 20 % . A Medicare supplement policy can help pay the remaining 20 % .</x:v>
      </x:c>
      <x:c r="I183" s="8" t="str">
        <x:v>health</x:v>
      </x:c>
      <x:c r="J183" s="8" t="str">
        <x:v>CALIBRATION</x:v>
      </x:c>
      <x:c r="K183" s="10" t="str"/>
      <x:c r="L183" s="12" t="str"/>
      <x:c r="M183" s="12" t="str"/>
      <x:c r="N183" s="12" t="str"/>
      <x:c r="O183" s="12" t="str"/>
      <x:c r="P183" s="12" t="str"/>
    </x:row>
    <x:row r="184">
      <x:c r="A184" s="8" t="str">
        <x:v>ext-iqa-fail-073</x:v>
      </x:c>
      <x:c r="B184" s="8" t="str">
        <x:v>insuranceqa</x:v>
      </x:c>
      <x:c r="C184" s="8" t="str">
        <x:v>data/benchmarks/qa/insuranceqa/data_insuranceqa_1000.jsonl</x:v>
      </x:c>
      <x:c r="D184" s="8" t="str">
        <x:v>insuranceqa:847</x:v>
      </x:c>
      <x:c r="E184" s="8" t="str"/>
      <x:c r="F184" s="10" t="str">
        <x:v>How To Keep Health Insurance Between Jobs?</x:v>
      </x:c>
      <x:c r="G184" s="10" t="str">
        <x:v>Question: How To Keep Health Insurance Between Jobs?
Answer: How to keep health insurance between jobs ? if your employer is large enough -LRB- 20 people at work on a given day -RRB- you have an option for COBRA continuation which means you can continue your group coverage for up to 18 months or longer -LRB- depending on certain conditions -RRB- at your expense plus a small handling charge -LRB- 102 % of premium cost -RRB- . If you find that cost to be too much for your budget , you can look to both the individual market or temporary health insurance market for possible solutions . You may not get exactly the same coverage as offered by your former employer , but the cost might be considerably less .</x:v>
      </x:c>
      <x:c r="H184" s="10" t="str">
        <x:v>How to keep health insurance between jobs ? if your employer is large enough -LRB- 20 people at work on a given day -RRB- you have an option for COBRA continuation which means you can continue your group coverage for up to 18 months or longer -LRB- depending on certain conditions -RRB- at your expense plus a small handling charge -LRB- 92 % of premium cost -RRB- . If you find that cost to be too much for your budget , you can look to both the individual market or temporary health insurance market for possible solutions . You may not get exactly the same coverage as offered by your former employer , but the cost might be considerably less .</x:v>
      </x:c>
      <x:c r="I184" s="8" t="str">
        <x:v>health</x:v>
      </x:c>
      <x:c r="J184" s="8" t="str">
        <x:v>LOCKED_HOLDOUT_CANDIDATE</x:v>
      </x:c>
      <x:c r="K184" s="10" t="str"/>
      <x:c r="L184" s="12" t="str"/>
      <x:c r="M184" s="12" t="str"/>
      <x:c r="N184" s="12" t="str"/>
      <x:c r="O184" s="12" t="str"/>
      <x:c r="P184" s="12" t="str"/>
    </x:row>
    <x:row r="185">
      <x:c r="A185" s="8" t="str">
        <x:v>ext-iqa-fail-074</x:v>
      </x:c>
      <x:c r="B185" s="8" t="str">
        <x:v>insuranceqa</x:v>
      </x:c>
      <x:c r="C185" s="8" t="str">
        <x:v>data/benchmarks/qa/insuranceqa/data_insuranceqa_1000.jsonl</x:v>
      </x:c>
      <x:c r="D185" s="8" t="str">
        <x:v>insuranceqa:635</x:v>
      </x:c>
      <x:c r="E185" s="8" t="str"/>
      <x:c r="F185" s="10" t="str">
        <x:v>Does Homeowners Insurance Cover Property During Move?</x:v>
      </x:c>
      <x:c r="G185" s="10" t="str">
        <x:v>Question: Does Homeowners Insurance Cover Property During Move?
Answer: The personal property covered under a homeowners policy is covered at full value in a new home for 30 days under most circumstances . However , the limit of coverage is only 10 % of the normal personal property limit while the property is outside the old residence and not in the new . If you are planning a move , contact your insurance agent for advice on how to minimize your exposure and provide adequate protection for your property .</x:v>
      </x:c>
      <x:c r="H185" s="10" t="str">
        <x:v>The personal property covered under a homeowners policy is covered at full value in a new home for 30 days under most circumstances . However , the limit of coverage is only 20 % of the normal personal property limit while the property is outside the old residence and not in the new . If you are planning a move , contact your insurance agent for advice on how to minimize your exposure and provide adequate protection for your property .</x:v>
      </x:c>
      <x:c r="I185" s="8" t="str">
        <x:v>household</x:v>
      </x:c>
      <x:c r="J185" s="8" t="str">
        <x:v>VALIDATION</x:v>
      </x:c>
      <x:c r="K185" s="10" t="str"/>
      <x:c r="L185" s="12" t="str"/>
      <x:c r="M185" s="12" t="str"/>
      <x:c r="N185" s="12" t="str"/>
      <x:c r="O185" s="12" t="str"/>
      <x:c r="P185" s="12" t="str"/>
    </x:row>
    <x:row r="186">
      <x:c r="A186" s="8" t="str">
        <x:v>ext-iqa-fail-075</x:v>
      </x:c>
      <x:c r="B186" s="8" t="str">
        <x:v>insuranceqa</x:v>
      </x:c>
      <x:c r="C186" s="8" t="str">
        <x:v>data/benchmarks/qa/insuranceqa/data_insuranceqa_1000.jsonl</x:v>
      </x:c>
      <x:c r="D186" s="8" t="str">
        <x:v>insuranceqa:384</x:v>
      </x:c>
      <x:c r="E186" s="8" t="str"/>
      <x:c r="F186" s="10" t="str">
        <x:v>What Is Extended Coverage Homeowners Insurance?</x:v>
      </x:c>
      <x:c r="G186" s="10" t="str">
        <x:v>Question: What Is Extended Coverage Homeowners Insurance?
Answer: Different companies and different states have different nomenclature for coverages . What this typically means is limit that coverage extends to another higher limit in the event of a total loss exceeding the Coverage A -LRB- homeowner Dwelling limit -RRB- . If you have a replacement value of say 400,000 on the house , then the maximum that would normally be paid for replacing the house would be $ 400,000 . But setting the value of replacement is not exact science and is also a moving target . If your home is destroyed by a fire it may be possible to rebuild within that 400,000 limit . But suppose the the city you live in is ripped apart by a tornado . Now there could be escalating costs of material and labor . What the extension does is give you an extension to another limit if needed . The extensions are usually sold in percentage increments such as 25 % ,50 % or even 100 % . So , back to the 400,000 coverage on the house . If 25 % extension then the limit of coverage is increased to a maximum of 500,000 -LRB- 400,000 X 1.25 -RRB- I hope that helps . If you live in one of the following states I would be glad to assist you : AZ , CA , MO , TX and GA. -LRB- call 1.866-933-4372 -RRB- otherwise seek out an Independent agent in your area who represents sever companies . Jack Heller , CPCU</x:v>
      </x:c>
      <x:c r="H186" s="10" t="str">
        <x:v>Different companies and different states have different nomenclature for coverages . What this typically means is limit that coverage extends to another higher limit in the event of a total loss exceeding the Coverage A -LRB- homeowner Dwelling limit -RRB- . If you have a replacement value of say 400,000 on the house , then the maximum that would normally be paid for replacing the house would be $ 400,000 . But setting the value of replacement is not exact science and is also a moving target . If your home is destroyed by a fire it may be possible to rebuild within that 400,000 limit . But suppose the the city you live in is ripped apart by a tornado . Now there could be escalating costs of material and labor . What the extension does is give you an extension to another limit if needed . The extensions are usually sold in percentage increments such as 35 % ,50 % or even 100 % . So , back to the 400,000 coverage on the house . If 25 % extension then the limit of coverage is increased to a maximum of 500,000 -LRB- 400,000 X 1.25 -RRB- I hope that helps . If you live in one of the following states I would be glad to assist you : AZ , CA , MO , TX and GA. -LRB- call 1.866-933-4372 -RRB- otherwise seek out an Independent agent in your area who represents sever companies . Jack Heller , CPCU</x:v>
      </x:c>
      <x:c r="I186" s="8" t="str">
        <x:v>general_insurance</x:v>
      </x:c>
      <x:c r="J186" s="8" t="str">
        <x:v>VALIDATION</x:v>
      </x:c>
      <x:c r="K186" s="10" t="str"/>
      <x:c r="L186" s="12" t="str"/>
      <x:c r="M186" s="12" t="str"/>
      <x:c r="N186" s="12" t="str"/>
      <x:c r="O186" s="12" t="str"/>
      <x:c r="P186" s="12" t="str"/>
    </x:row>
    <x:row r="187">
      <x:c r="A187" s="8" t="str">
        <x:v>ext-iqa-fail-076</x:v>
      </x:c>
      <x:c r="B187" s="8" t="str">
        <x:v>insuranceqa</x:v>
      </x:c>
      <x:c r="C187" s="8" t="str">
        <x:v>data/benchmarks/qa/insuranceqa/data_insuranceqa_1000.jsonl</x:v>
      </x:c>
      <x:c r="D187" s="8" t="str">
        <x:v>insuranceqa:735</x:v>
      </x:c>
      <x:c r="E187" s="8" t="str"/>
      <x:c r="F187" s="10" t="str">
        <x:v>Why Is A 401K Loan A Bad Idea?</x:v>
      </x:c>
      <x:c r="G187" s="10" t="str">
        <x:v>Question: Why Is A 401K Loan A Bad Idea?
Answer: That is a great question ! There are some reasons why taking a loan out of your 401k might not be the best option . Before doing so , please consult your plan administrator and be certain to understand the rules for your particular plan . The first reason is that you may lose the ability to contribute to your fund while your loan is outstanding . Some companies will disallow contributions or matches until the loan is repaid . That can seriously derail your long term growth potential of your plan . Other companies will deduct the loan payments from your check , reducing your flexibility with other payments . The second reason is that you lose your tax sheltered advantage . The interest that you are paying yourself on the loan -LRB- you are both borrower and lender in the transaction -RRB- is considered a taxable income by the IRS , and reduces your returns . It 's also possible that the opportunity cost of having invested that repaid interest could be more than what you 'd make having used it in an investment . The third reason is that if you were to God forbid lose your job , the loan amount is repayable within 60 days . If that is n't done , you are subject to a 10 % penalty on the balance , -LRB- if you 're under 59 1/2 -RRB- and are due for whatever State and Federal taxes apply , as it is no longer considered a loan , but an early withdrawal . An alternative to consider might be a home equity line of credit , if the interest rates and your equity allow . Some things to consider . Again , I 'd advise you to speak with your plan administrator and see exactly what your plan rules are . Thanks for asking !</x:v>
      </x:c>
      <x:c r="H187" s="10" t="str">
        <x:v>That is a great question ! There are some reasons why taking a loan out of your 401k might not be the best option . Before doing so , please consult your plan administrator and be certain to understand the rules for your particular plan . The first reason is that you may lose the ability to contribute to your fund while your loan is outstanding . Some companies will disallow contributions or matches until the loan is repaid . That can seriously derail your long term growth potential of your plan . Other companies will deduct the loan payments from your check , reducing your flexibility with other payments . The second reason is that you lose your tax sheltered advantage . The interest that you are paying yourself on the loan -LRB- you are both borrower and lender in the transaction -RRB- is considered a taxable income by the IRS , and reduces your returns . It 's also possible that the opportunity cost of having invested that repaid interest could be more than what you 'd make having used it in an investment . The third reason is that if you were to God forbid lose your job , the loan amount is repayable within 60 days . If that is n't done , you are subject to a 20 % penalty on the balance , -LRB- if you 're under 59 1/2 -RRB- and are due for whatever State and Federal taxes apply , as it is no longer considered a loan , but an early withdrawal . An alternative to consider might be a home equity line of credit , if the interest rates and your equity allow . Some things to consider . Again , I 'd advise you to speak with your plan administrator and see exactly what your plan rules are . Thanks for asking !</x:v>
      </x:c>
      <x:c r="I187" s="8" t="str">
        <x:v>retirement</x:v>
      </x:c>
      <x:c r="J187" s="8" t="str">
        <x:v>VALIDATION</x:v>
      </x:c>
      <x:c r="K187" s="10" t="str"/>
      <x:c r="L187" s="12" t="str"/>
      <x:c r="M187" s="12" t="str"/>
      <x:c r="N187" s="12" t="str"/>
      <x:c r="O187" s="12" t="str"/>
      <x:c r="P187" s="12" t="str"/>
    </x:row>
    <x:row r="188">
      <x:c r="A188" s="8" t="str">
        <x:v>ext-iqa-fail-077</x:v>
      </x:c>
      <x:c r="B188" s="8" t="str">
        <x:v>insuranceqa</x:v>
      </x:c>
      <x:c r="C188" s="8" t="str">
        <x:v>data/benchmarks/qa/insuranceqa/data_insuranceqa_1000.jsonl</x:v>
      </x:c>
      <x:c r="D188" s="8" t="str">
        <x:v>insuranceqa:862</x:v>
      </x:c>
      <x:c r="E188" s="8" t="str"/>
      <x:c r="F188" s="10" t="str">
        <x:v>Where Do Health Insurance Companies Get Their Money?</x:v>
      </x:c>
      <x:c r="G188" s="10" t="str">
        <x:v>Question: Where Do Health Insurance Companies Get Their Money?
Answer: Health insurance companies earn their money in basically two ways . First , they collect premiums from people who buy health insurance with goal of paying out less in claims than they collect . For example under the new Affordable Care Act insurance carriers have to spend 80-85 % of their premiums in health care with the remaining 15-20 % for overhead anda small profit . The second way insruance compaies earnincome is from investing their reserves in marketable sercurities , bonds and real estate . Carriers need to maintain reserves for financial stability and based on government regulations .</x:v>
      </x:c>
      <x:c r="H188" s="10" t="str">
        <x:v>Health insurance companies earn their money in basically two ways . First , they collect premiums from people who buy health insurance with goal of paying out less in claims than they collect . For example under the new Affordable Care Act insurance carriers have to spend 80-95 % of their premiums in health care with the remaining 15-20 % for overhead anda small profit . The second way insruance compaies earnincome is from investing their reserves in marketable sercurities , bonds and real estate . Carriers need to maintain reserves for financial stability and based on government regulations .</x:v>
      </x:c>
      <x:c r="I188" s="8" t="str">
        <x:v>health</x:v>
      </x:c>
      <x:c r="J188" s="8" t="str">
        <x:v>LOCKED_HOLDOUT_CANDIDATE</x:v>
      </x:c>
      <x:c r="K188" s="10" t="str"/>
      <x:c r="L188" s="12" t="str"/>
      <x:c r="M188" s="12" t="str"/>
      <x:c r="N188" s="12" t="str"/>
      <x:c r="O188" s="12" t="str"/>
      <x:c r="P188" s="12" t="str"/>
    </x:row>
    <x:row r="189">
      <x:c r="A189" s="8" t="str">
        <x:v>ext-iqa-fail-078</x:v>
      </x:c>
      <x:c r="B189" s="8" t="str">
        <x:v>insuranceqa</x:v>
      </x:c>
      <x:c r="C189" s="8" t="str">
        <x:v>data/benchmarks/qa/insuranceqa/data_insuranceqa_1000.jsonl</x:v>
      </x:c>
      <x:c r="D189" s="8" t="str">
        <x:v>insuranceqa:387</x:v>
      </x:c>
      <x:c r="E189" s="8" t="str"/>
      <x:c r="F189" s="10" t="str">
        <x:v>What Is The Cost Of Medigap Insurance In 2013?</x:v>
      </x:c>
      <x:c r="G189" s="10" t="str">
        <x:v>Question: What Is The Cost Of Medigap Insurance In 2013?
Answer: Medigap rates vary considerably by zip code , age , tobacco use and plan . The older you are the higher your Medicare supplement rate will be . The exception is for those who are under age 65 and on disability and Medicare . In most states rates for under age 65 are astronomical . Many carriers offer competitive rates from age 65 to 74 . Above age 74 some plans -LRB- surprisingly -RRB- become more competitive while others less so . Tobacco use often adds 20 % to the rate but can be more , depending on the carrier . Plan F is the most expensive -LRB- and most popular -RRB- followed by D or G -LRB- depending on your state -RRB- , N then Hi F . You can generally find a site that offers `` instant Medigap quotes '' but keep in mind the most competitive rates are usually not illustrated online . #MedigapPlanFRates #MedicareSupplementPlanFRates #GeorgiaMedigapPlanFRates #GeorgiaMedicareSupplementPlanFRates #GeorgiaMedicarePlans #GaMedigapQuotes</x:v>
      </x:c>
      <x:c r="H189" s="10" t="str">
        <x:v>Medigap rates vary considerably by zip code , age , tobacco use and plan . The older you are the higher your Medicare supplement rate will be . The exception is for those who are under age 65 and on disability and Medicare . In most states rates for under age 65 are astronomical . Many carriers offer competitive rates from age 65 to 74 . Above age 74 some plans -LRB- surprisingly -RRB- become more competitive while others less so . Tobacco use often adds 30 % to the rate but can be more , depending on the carrier . Plan F is the most expensive -LRB- and most popular -RRB- followed by D or G -LRB- depending on your state -RRB- , N then Hi F . You can generally find a site that offers `` instant Medigap quotes '' but keep in mind the most competitive rates are usually not illustrated online . #MedigapPlanFRates #MedicareSupplementPlanFRates #GeorgiaMedigapPlanFRates #GeorgiaMedicareSupplementPlanFRates #GeorgiaMedicarePlans #GaMedigapQuotes</x:v>
      </x:c>
      <x:c r="I189" s="8" t="str">
        <x:v>health</x:v>
      </x:c>
      <x:c r="J189" s="8" t="str">
        <x:v>VALIDATION</x:v>
      </x:c>
      <x:c r="K189" s="10" t="str"/>
      <x:c r="L189" s="12" t="str"/>
      <x:c r="M189" s="12" t="str"/>
      <x:c r="N189" s="12" t="str"/>
      <x:c r="O189" s="12" t="str"/>
      <x:c r="P189" s="12" t="str"/>
    </x:row>
    <x:row r="190">
      <x:c r="A190" s="8" t="str">
        <x:v>ext-iqa-fail-079</x:v>
      </x:c>
      <x:c r="B190" s="8" t="str">
        <x:v>insuranceqa</x:v>
      </x:c>
      <x:c r="C190" s="8" t="str">
        <x:v>data/benchmarks/qa/insuranceqa/data_insuranceqa_1000.jsonl</x:v>
      </x:c>
      <x:c r="D190" s="8" t="str">
        <x:v>insuranceqa:71</x:v>
      </x:c>
      <x:c r="E190" s="8" t="str"/>
      <x:c r="F190" s="10" t="str">
        <x:v>Does Medicare Cover Circumcision?</x:v>
      </x:c>
      <x:c r="G190" s="10" t="str">
        <x:v>Question: Does Medicare Cover Circumcision?
Answer: Since Medicare covers people over the age of 65 , and those with certain disabilities that have received Social Security benefits for 25 months , it would be very rare for Medicare to cover a circumcision . It would be possible , if someone with Medicare had a true medical need to be circumcisized later in the life , but very rare , as most circumcisions are done at birth . Given the fact that 40 % of births in American are covered by Medicaid , a better question may be `` Does Medicaid cover circumcisions ? '' That varies by state , as 18 states currently do not cover this procedure , primarily due to the fact that it is most often elective , or not necessary . the 18 states that do n't cover circumcisions , along with the year they stopped : Colorado 2011 South Carolina 2011 Louisiana 2005 Idaho 2005 Minnesota 2005 Maine 2004 Montana 2003 Utah 2003 Florida 2003 Missouri 2002 Arizona 2002 North Carolina 2002 California before 1999 North Dakota before 1999 Oregon before 1999 Mississippi before 1999 Nevada before 1999 Washington before 1999</x:v>
      </x:c>
      <x:c r="H190" s="10" t="str">
        <x:v>Since Medicare covers people over the age of 65 , and those with certain disabilities that have received Social Security benefits for 25 months , it would be very rare for Medicare to cover a circumcision . It would be possible , if someone with Medicare had a true medical need to be circumcisized later in the life , but very rare , as most circumcisions are done at birth . Given the fact that 50 % of births in American are covered by Medicaid , a better question may be `` Does Medicaid cover circumcisions ? '' That varies by state , as 18 states currently do not cover this procedure , primarily due to the fact that it is most often elective , or not necessary . the 18 states that do n't cover circumcisions , along with the year they stopped : Colorado 2011 South Carolina 2011 Louisiana 2005 Idaho 2005 Minnesota 2005 Maine 2004 Montana 2003 Utah 2003 Florida 2003 Missouri 2002 Arizona 2002 North Carolina 2002 California before 1999 North Dakota before 1999 Oregon before 1999 Mississippi before 1999 Nevada before 1999 Washington before 1999</x:v>
      </x:c>
      <x:c r="I190" s="8" t="str">
        <x:v>health</x:v>
      </x:c>
      <x:c r="J190" s="8" t="str">
        <x:v>LOCKED_HOLDOUT_CANDIDATE</x:v>
      </x:c>
      <x:c r="K190" s="10" t="str"/>
      <x:c r="L190" s="12" t="str"/>
      <x:c r="M190" s="12" t="str"/>
      <x:c r="N190" s="12" t="str"/>
      <x:c r="O190" s="12" t="str"/>
      <x:c r="P190" s="12" t="str"/>
    </x:row>
    <x:row r="191">
      <x:c r="A191" s="8" t="str">
        <x:v>ext-iqa-fail-080</x:v>
      </x:c>
      <x:c r="B191" s="8" t="str">
        <x:v>insuranceqa</x:v>
      </x:c>
      <x:c r="C191" s="8" t="str">
        <x:v>data/benchmarks/qa/insuranceqa/data_insuranceqa_1000.jsonl</x:v>
      </x:c>
      <x:c r="D191" s="8" t="str">
        <x:v>insuranceqa:234</x:v>
      </x:c>
      <x:c r="E191" s="8" t="str"/>
      <x:c r="F191" s="10" t="str">
        <x:v>Does Renters Insurance Cover Theft While Traveling?</x:v>
      </x:c>
      <x:c r="G191" s="10" t="str">
        <x:v>Question: Does Renters Insurance Cover Theft While Traveling?
Answer: Talk to your insurance Professional about the coverage provided by your policy , but in general , personal property outside your home is usually covered , including while travelling . Now , most policies will cover your belongings up to a certain total percentage of your current Personal Property stated amount . So , for example , if you have $ 50,000 stated coverage in your policy , you may have coverage up to 10 % while travelling . Likewise there may be certain `` inside limits '' for categories of property such as camera equipment that may further limit the amount of coverage that you actually have .</x:v>
      </x:c>
      <x:c r="H191" s="10" t="str">
        <x:v>Talk to your insurance Professional about the coverage provided by your policy , but in general , personal property outside your home is usually covered , including while travelling . Now , most policies will cover your belongings up to a certain total percentage of your current Personal Property stated amount . So , for example , if you have $ 50,000 stated coverage in your policy , you may have coverage up to 20 % while travelling . Likewise there may be certain `` inside limits '' for categories of property such as camera equipment that may further limit the amount of coverage that you actually have .</x:v>
      </x:c>
      <x:c r="I191" s="8" t="str">
        <x:v>household</x:v>
      </x:c>
      <x:c r="J191" s="8" t="str">
        <x:v>VALIDATION</x:v>
      </x:c>
      <x:c r="K191" s="10" t="str"/>
      <x:c r="L191" s="12" t="str"/>
      <x:c r="M191" s="12" t="str"/>
      <x:c r="N191" s="12" t="str"/>
      <x:c r="O191" s="12" t="str"/>
      <x:c r="P191" s="12" t="str"/>
    </x:row>
    <x:row r="192">
      <x:c r="A192" s="8" t="str">
        <x:v>ext-helvetia-pass-001</x:v>
      </x:c>
      <x:c r="B192" s="8" t="str">
        <x:v>helvetia_pdf</x:v>
      </x:c>
      <x:c r="C192" s="8" t="str">
        <x:v>data/raw/pdfs/assistance-brochure.pdf</x:v>
      </x:c>
      <x:c r="D192" s="8" t="str">
        <x:v>assistance-brochure</x:v>
      </x:c>
      <x:c r="E192" s="8" t="n">
        <x:v>2</x:v>
      </x:c>
      <x:c r="F192" s="10" t="str">
        <x:v>According to assistance-brochure.pdf, what provision is stated in the supplied policy context?</x:v>
      </x:c>
      <x:c r="G192" s="10" t="str">
        <x:v>Helvetia Assistance. Entirely according to your needs. Our Assistance insurance consists of four components you can combine individually. Cancellation cost insurance Cancellation cost insurance covers you for unforeseen events occurring before your departure that make it impossible for you to set off on your journey. Assistance for persons Assistance for persons provides insurance to cover you if anything happens while you're travelling. 1 2 2/8 | Helvetia Assistance – product information sheet</x:v>
      </x:c>
      <x:c r="H192" s="10" t="str">
        <x:v>Our Assistance insurance consists of four components you can combine individually.</x:v>
      </x:c>
      <x:c r="I192" s="8" t="str">
        <x:v>travel_assistance</x:v>
      </x:c>
      <x:c r="J192" s="8" t="str">
        <x:v>CALIBRATION</x:v>
      </x:c>
      <x:c r="K192" s="10" t="str"/>
      <x:c r="L192" s="12" t="str"/>
      <x:c r="M192" s="12" t="str"/>
      <x:c r="N192" s="12" t="str"/>
      <x:c r="O192" s="12" t="str"/>
      <x:c r="P192" s="12" t="str"/>
    </x:row>
    <x:row r="193">
      <x:c r="A193" s="8" t="str">
        <x:v>ext-helvetia-pass-002</x:v>
      </x:c>
      <x:c r="B193" s="8" t="str">
        <x:v>helvetia_pdf</x:v>
      </x:c>
      <x:c r="C193" s="8" t="str">
        <x:v>data/raw/pdfs/assistance-sti.pdf</x:v>
      </x:c>
      <x:c r="D193" s="8" t="str">
        <x:v>assistance-sti</x:v>
      </x:c>
      <x:c r="E193" s="8" t="n">
        <x:v>3</x:v>
      </x:c>
      <x:c r="F193" s="10" t="str">
        <x:v>According to assistance-sti.pdf, what provision is stated in the supplied policy context?</x:v>
      </x:c>
      <x:c r="G193" s="10" t="str">
        <x:v>4/18 | Helvetia Swiss Insurance Company Ltd. STI Helvetia private customers insurance, Assistance – September 2025 edition 5/18 | Helvetia Swiss Insurance Company Ltd. STI Helvetia private customers insurance, Assistance – September 2025 edition Cancellation costs Insured events Do you want to know how you are insured? Your insurance coverage is listed in your policy as you requested and applies solely to private individuals. A1 Illness, accidents and death a) suf fered by the insured person b) suf fered by an accompanying traveller booked simultaneously c) suf fered by a person close to the insured person or accom panying traveller d) suf fered by the deputy at the workplace If one of the persons listed here dies, falls ill, suffers from pregnancy related problems or has an accident, and is not able to commence the journey or holiday on doctorʼs orders, or if the attending physician certifies that the person has experienced a deterioration of an existing chronic ailment. A2 Loss of employment If, foll</x:v>
      </x:c>
      <x:c r="H193" s="10" t="str">
        <x:v>STI Helvetia private customers insurance, Assistance – September 2025 edition 5/18 | Helvetia Swiss Insurance Company Ltd.</x:v>
      </x:c>
      <x:c r="I193" s="8" t="str">
        <x:v>travel_assistance</x:v>
      </x:c>
      <x:c r="J193" s="8" t="str">
        <x:v>CALIBRATION</x:v>
      </x:c>
      <x:c r="K193" s="10" t="str"/>
      <x:c r="L193" s="12" t="str"/>
      <x:c r="M193" s="12" t="str"/>
      <x:c r="N193" s="12" t="str"/>
      <x:c r="O193" s="12" t="str"/>
      <x:c r="P193" s="12" t="str"/>
    </x:row>
    <x:row r="194">
      <x:c r="A194" s="8" t="str">
        <x:v>ext-helvetia-pass-003</x:v>
      </x:c>
      <x:c r="B194" s="8" t="str">
        <x:v>helvetia_pdf</x:v>
      </x:c>
      <x:c r="C194" s="8" t="str">
        <x:v>data/raw/pdfs/brochure-household-contents-and-private-liability.pdf</x:v>
      </x:c>
      <x:c r="D194" s="8" t="str">
        <x:v>brochure-household-contents-and-private-liability</x:v>
      </x:c>
      <x:c r="E194" s="8" t="n">
        <x:v>2</x:v>
      </x:c>
      <x:c r="F194" s="10" t="str">
        <x:v>According to brochure-household-contents-and-private-liability.pdf, what provision is stated in the supplied policy context?</x:v>
      </x:c>
      <x:c r="G194" s="10" t="str">
        <x:v>There are dangers lurking in the digital world too. Imagine you order something online and the wrong goods are delivered or your order never even turns up. Protect yourself with cyber insurance. Household contents insurance All-round protection for your personal possessions Household contents and private liability insurance 2/8</x:v>
      </x:c>
      <x:c r="H194" s="10" t="str">
        <x:v>Household contents insurance All-round protection for your personal possessions Household contents and private liability insurance 2/8</x:v>
      </x:c>
      <x:c r="I194" s="8" t="str">
        <x:v>household</x:v>
      </x:c>
      <x:c r="J194" s="8" t="str">
        <x:v>LOCKED_HOLDOUT_CANDIDATE</x:v>
      </x:c>
      <x:c r="K194" s="10" t="str"/>
      <x:c r="L194" s="12" t="str"/>
      <x:c r="M194" s="12" t="str"/>
      <x:c r="N194" s="12" t="str"/>
      <x:c r="O194" s="12" t="str"/>
      <x:c r="P194" s="12" t="str"/>
    </x:row>
    <x:row r="195">
      <x:c r="A195" s="8" t="str">
        <x:v>ext-helvetia-pass-004</x:v>
      </x:c>
      <x:c r="B195" s="8" t="str">
        <x:v>helvetia_pdf</x:v>
      </x:c>
      <x:c r="C195" s="8" t="str">
        <x:v>data/raw/pdfs/brochure-services.pdf</x:v>
      </x:c>
      <x:c r="D195" s="8" t="str">
        <x:v>brochure-services</x:v>
      </x:c>
      <x:c r="E195" s="8" t="n">
        <x:v>2</x:v>
      </x:c>
      <x:c r="F195" s="10" t="str">
        <x:v>According to brochure-services.pdf, what provision is stated in the supplied policy context?</x:v>
      </x:c>
      <x:c r="G195"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195" s="10" t="str">
        <x:v>As a Swiss insurance company we stand for quality, friendliness and service.</x:v>
      </x:c>
      <x:c r="I195" s="8" t="str">
        <x:v>general_insurance</x:v>
      </x:c>
      <x:c r="J195" s="8" t="str">
        <x:v>LOCKED_HOLDOUT_CANDIDATE</x:v>
      </x:c>
      <x:c r="K195" s="10" t="str"/>
      <x:c r="L195" s="12" t="str"/>
      <x:c r="M195" s="12" t="str"/>
      <x:c r="N195" s="12" t="str"/>
      <x:c r="O195" s="12" t="str"/>
      <x:c r="P195" s="12" t="str"/>
    </x:row>
    <x:row r="196">
      <x:c r="A196" s="8" t="str">
        <x:v>ext-helvetia-pass-005</x:v>
      </x:c>
      <x:c r="B196" s="8" t="str">
        <x:v>helvetia_pdf</x:v>
      </x:c>
      <x:c r="C196" s="8" t="str">
        <x:v>data/raw/pdfs/buildings-insurance-sti.pdf</x:v>
      </x:c>
      <x:c r="D196" s="8" t="str">
        <x:v>buildings-insurance-sti</x:v>
      </x:c>
      <x:c r="E196" s="8" t="n">
        <x:v>2</x:v>
      </x:c>
      <x:c r="F196" s="10" t="str">
        <x:v>According to buildings-insurance-sti.pdf, what provision is stated in the supplied policy context?</x:v>
      </x:c>
      <x:c r="G196"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Table of contents</x:v>
      </x:c>
      <x:c r="H196"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x:v>
      </x:c>
      <x:c r="I196" s="8" t="str">
        <x:v>household</x:v>
      </x:c>
      <x:c r="J196" s="8" t="str">
        <x:v>CALIBRATION</x:v>
      </x:c>
      <x:c r="K196" s="10" t="str"/>
      <x:c r="L196" s="12" t="str"/>
      <x:c r="M196" s="12" t="str"/>
      <x:c r="N196" s="12" t="str"/>
      <x:c r="O196" s="12" t="str"/>
      <x:c r="P196" s="12" t="str"/>
    </x:row>
    <x:row r="197">
      <x:c r="A197" s="8" t="str">
        <x:v>ext-helvetia-pass-006</x:v>
      </x:c>
      <x:c r="B197" s="8" t="str">
        <x:v>helvetia_pdf</x:v>
      </x:c>
      <x:c r="C197" s="8" t="str">
        <x:v>data/raw/pdfs/household-contents-private-liability-sti.pdf</x:v>
      </x:c>
      <x:c r="D197" s="8" t="str">
        <x:v>household-contents-private-liability-sti</x:v>
      </x:c>
      <x:c r="E197" s="8" t="n">
        <x:v>1</x:v>
      </x:c>
      <x:c r="F197" s="10" t="str">
        <x:v>According to household-contents-private-liability-sti.pdf, what provision is stated in the supplied policy context?</x:v>
      </x:c>
      <x:c r="G197" s="10" t="str">
        <x:v>Standard Terms of Insurance (STI) Helvetia private customers insurance Household contents and private liability September 2025 edition</x:v>
      </x:c>
      <x:c r="H197" s="10" t="str">
        <x:v>Standard Terms of Insurance (STI) Helvetia private customers insurance Household contents and private liability September 2025 edition</x:v>
      </x:c>
      <x:c r="I197" s="8" t="str">
        <x:v>household</x:v>
      </x:c>
      <x:c r="J197" s="8" t="str">
        <x:v>LOCKED_HOLDOUT_CANDIDATE</x:v>
      </x:c>
      <x:c r="K197" s="10" t="str"/>
      <x:c r="L197" s="12" t="str"/>
      <x:c r="M197" s="12" t="str"/>
      <x:c r="N197" s="12" t="str"/>
      <x:c r="O197" s="12" t="str"/>
      <x:c r="P197" s="12" t="str"/>
    </x:row>
    <x:row r="198">
      <x:c r="A198" s="8" t="str">
        <x:v>ext-helvetia-pass-007</x:v>
      </x:c>
      <x:c r="B198" s="8" t="str">
        <x:v>helvetia_pdf</x:v>
      </x:c>
      <x:c r="C198" s="8" t="str">
        <x:v>data/raw/pdfs/legal-protection-sti.pdf</x:v>
      </x:c>
      <x:c r="D198" s="8" t="str">
        <x:v>legal-protection-sti</x:v>
      </x:c>
      <x:c r="E198" s="8" t="n">
        <x:v>2</x:v>
      </x:c>
      <x:c r="F198" s="10" t="str">
        <x:v>According to legal-protection-sti.pdf, what provision is stated in the supplied policy context?</x:v>
      </x:c>
      <x:c r="G198"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3/16 | Helvetia Swiss Insurance Company Ltd. STI Helvetia private customers insurance, Legal protection – September 2021 edition</x:v>
      </x:c>
      <x:c r="H198"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x:v>
      </x:c>
      <x:c r="I198" s="8" t="str">
        <x:v>household</x:v>
      </x:c>
      <x:c r="J198" s="8" t="str">
        <x:v>CALIBRATION</x:v>
      </x:c>
      <x:c r="K198" s="10" t="str"/>
      <x:c r="L198" s="12" t="str"/>
      <x:c r="M198" s="12" t="str"/>
      <x:c r="N198" s="12" t="str"/>
      <x:c r="O198" s="12" t="str"/>
      <x:c r="P198" s="12" t="str"/>
    </x:row>
    <x:row r="199">
      <x:c r="A199" s="8" t="str">
        <x:v>ext-helvetia-pass-008</x:v>
      </x:c>
      <x:c r="B199" s="8" t="str">
        <x:v>helvetia_pdf</x:v>
      </x:c>
      <x:c r="C199" s="8" t="str">
        <x:v>data/raw/pdfs/motor-vehicle-insurance-product-sheet.pdf</x:v>
      </x:c>
      <x:c r="D199" s="8" t="str">
        <x:v>motor-vehicle-insurance-product-sheet</x:v>
      </x:c>
      <x:c r="E199" s="8" t="n">
        <x:v>2</x:v>
      </x:c>
      <x:c r="F199" s="10" t="str">
        <x:v>According to motor-vehicle-insurance-product-sheet.pdf, what provision is stated in the supplied policy context?</x:v>
      </x:c>
      <x:c r="G199"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199" s="10" t="str">
        <x:v>Helvetia’s liability insurance protects you against unexpected financial burdens arising from an accident you cause.</x:v>
      </x:c>
      <x:c r="I199" s="8" t="str">
        <x:v>motor</x:v>
      </x:c>
      <x:c r="J199" s="8" t="str">
        <x:v>VALIDATION</x:v>
      </x:c>
      <x:c r="K199" s="10" t="str"/>
      <x:c r="L199" s="12" t="str"/>
      <x:c r="M199" s="12" t="str"/>
      <x:c r="N199" s="12" t="str"/>
      <x:c r="O199" s="12" t="str"/>
      <x:c r="P199" s="12" t="str"/>
    </x:row>
    <x:row r="200">
      <x:c r="A200" s="8" t="str">
        <x:v>ext-helvetia-pass-009</x:v>
      </x:c>
      <x:c r="B200" s="8" t="str">
        <x:v>helvetia_pdf</x:v>
      </x:c>
      <x:c r="C200" s="8" t="str">
        <x:v>data/raw/pdfs/motor-vehicle-insurance-sti.pdf</x:v>
      </x:c>
      <x:c r="D200" s="8" t="str">
        <x:v>motor-vehicle-insurance-sti</x:v>
      </x:c>
      <x:c r="E200" s="8" t="n">
        <x:v>2</x:v>
      </x:c>
      <x:c r="F200" s="10" t="str">
        <x:v>According to motor-vehicle-insurance-sti.pdf, what provision is stated in the supplied policy context?</x:v>
      </x:c>
      <x:c r="G200"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The original German wording governs the legal interpretation of your policy.</x:v>
      </x:c>
      <x:c r="H200"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x:v>
      </x:c>
      <x:c r="I200" s="8" t="str">
        <x:v>motor</x:v>
      </x:c>
      <x:c r="J200" s="8" t="str">
        <x:v>LOCKED_HOLDOUT_CANDIDATE</x:v>
      </x:c>
      <x:c r="K200" s="10" t="str"/>
      <x:c r="L200" s="12" t="str"/>
      <x:c r="M200" s="12" t="str"/>
      <x:c r="N200" s="12" t="str"/>
      <x:c r="O200" s="12" t="str"/>
      <x:c r="P200" s="12" t="str"/>
    </x:row>
    <x:row r="201">
      <x:c r="A201" s="8" t="str">
        <x:v>ext-helvetia-pass-010</x:v>
      </x:c>
      <x:c r="B201" s="8" t="str">
        <x:v>helvetia_pdf</x:v>
      </x:c>
      <x:c r="C201" s="8" t="str">
        <x:v>data/raw/pdfs/mutual-provisions-pkv.pdf</x:v>
      </x:c>
      <x:c r="D201" s="8" t="str">
        <x:v>mutual-provisions-pkv</x:v>
      </x:c>
      <x:c r="E201" s="8" t="n">
        <x:v>2</x:v>
      </x:c>
      <x:c r="F201" s="10" t="str">
        <x:v>According to mutual-provisions-pkv.pdf, what provision is stated in the supplied policy context?</x:v>
      </x:c>
      <x:c r="G201"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x:v>
      </x:c>
      <x:c r="H201"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x:v>
      </x:c>
      <x:c r="I201" s="8" t="str">
        <x:v>household</x:v>
      </x:c>
      <x:c r="J201" s="8" t="str">
        <x:v>CALIBRATION</x:v>
      </x:c>
      <x:c r="K201" s="10" t="str"/>
      <x:c r="L201" s="12" t="str"/>
      <x:c r="M201" s="12" t="str"/>
      <x:c r="N201" s="12" t="str"/>
      <x:c r="O201" s="12" t="str"/>
      <x:c r="P201" s="12" t="str"/>
    </x:row>
    <x:row r="202">
      <x:c r="A202" s="8" t="str">
        <x:v>ext-helvetia-pass-011</x:v>
      </x:c>
      <x:c r="B202" s="8" t="str">
        <x:v>helvetia_pdf</x:v>
      </x:c>
      <x:c r="C202" s="8" t="str">
        <x:v>data/raw/pdfs/rental-guarantee-insurance-sti.pdf</x:v>
      </x:c>
      <x:c r="D202" s="8" t="str">
        <x:v>rental-guarantee-insurance-sti</x:v>
      </x:c>
      <x:c r="E202" s="8" t="n">
        <x:v>3</x:v>
      </x:c>
      <x:c r="F202" s="10" t="str">
        <x:v>According to rental-guarantee-insurance-sti.pdf, what provision is stated in the supplied policy context?</x:v>
      </x:c>
      <x:c r="G202"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202" s="10" t="str">
        <x:v>3/7 | Helvetia Swiss Insurance Company Ltd STI Helvetia private rental guarantee insurance – September 2025 edition 1 Contracting party Your contracting party is: Helvetia Swiss Insurance Company Ltd Dufourstrasse 40 9001 St.</x:v>
      </x:c>
      <x:c r="I202" s="8" t="str">
        <x:v>rental_guarantee</x:v>
      </x:c>
      <x:c r="J202" s="8" t="str">
        <x:v>LOCKED_HOLDOUT_CANDIDATE</x:v>
      </x:c>
      <x:c r="K202" s="10" t="str"/>
      <x:c r="L202" s="12" t="str"/>
      <x:c r="M202" s="12" t="str"/>
      <x:c r="N202" s="12" t="str"/>
      <x:c r="O202" s="12" t="str"/>
      <x:c r="P202" s="12" t="str"/>
    </x:row>
    <x:row r="203">
      <x:c r="A203" s="8" t="str">
        <x:v>ext-helvetia-pass-012</x:v>
      </x:c>
      <x:c r="B203" s="8" t="str">
        <x:v>helvetia_pdf</x:v>
      </x:c>
      <x:c r="C203" s="8" t="str">
        <x:v>data/raw/pdfs/assistance-brochure.pdf</x:v>
      </x:c>
      <x:c r="D203" s="8" t="str">
        <x:v>assistance-brochure</x:v>
      </x:c>
      <x:c r="E203" s="8" t="n">
        <x:v>2</x:v>
      </x:c>
      <x:c r="F203" s="10" t="str">
        <x:v>According to assistance-brochure.pdf, what provision is stated in the supplied policy context?</x:v>
      </x:c>
      <x:c r="G203" s="10" t="str">
        <x:v>Helvetia Assistance. Entirely according to your needs. Our Assistance insurance consists of four components you can combine individually. Cancellation cost insurance Cancellation cost insurance covers you for unforeseen events occurring before your departure that make it impossible for you to set off on your journey. Assistance for persons Assistance for persons provides insurance to cover you if anything happens while you're travelling. 1 2 2/8 | Helvetia Assistance – product information sheet</x:v>
      </x:c>
      <x:c r="H203" s="10" t="str">
        <x:v>Cancellation cost insurance Cancellation cost insurance covers you for unforeseen events occurring before your departure that make it impossible for you to set off on your journey.</x:v>
      </x:c>
      <x:c r="I203" s="8" t="str">
        <x:v>travel_assistance</x:v>
      </x:c>
      <x:c r="J203" s="8" t="str">
        <x:v>CALIBRATION</x:v>
      </x:c>
      <x:c r="K203" s="10" t="str"/>
      <x:c r="L203" s="12" t="str"/>
      <x:c r="M203" s="12" t="str"/>
      <x:c r="N203" s="12" t="str"/>
      <x:c r="O203" s="12" t="str"/>
      <x:c r="P203" s="12" t="str"/>
    </x:row>
    <x:row r="204">
      <x:c r="A204" s="8" t="str">
        <x:v>ext-helvetia-pass-013</x:v>
      </x:c>
      <x:c r="B204" s="8" t="str">
        <x:v>helvetia_pdf</x:v>
      </x:c>
      <x:c r="C204" s="8" t="str">
        <x:v>data/raw/pdfs/assistance-sti.pdf</x:v>
      </x:c>
      <x:c r="D204" s="8" t="str">
        <x:v>assistance-sti</x:v>
      </x:c>
      <x:c r="E204" s="8" t="n">
        <x:v>3</x:v>
      </x:c>
      <x:c r="F204" s="10" t="str">
        <x:v>According to assistance-sti.pdf, what provision is stated in the supplied policy context?</x:v>
      </x:c>
      <x:c r="G204" s="10" t="str">
        <x:v>4/18 | Helvetia Swiss Insurance Company Ltd. STI Helvetia private customers insurance, Assistance – September 2025 edition 5/18 | Helvetia Swiss Insurance Company Ltd. STI Helvetia private customers insurance, Assistance – September 2025 edition Cancellation costs Insured events Do you want to know how you are insured? Your insurance coverage is listed in your policy as you requested and applies solely to private individuals. A1 Illness, accidents and death a) suf fered by the insured person b) suf fered by an accompanying traveller booked simultaneously c) suf fered by a person close to the insured person or accom panying traveller d) suf fered by the deputy at the workplace If one of the persons listed here dies, falls ill, suffers from pregnancy related problems or has an accident, and is not able to commence the journey or holiday on doctorʼs orders, or if the attending physician certifies that the person has experienced a deterioration of an existing chronic ailment. A2 Loss of employment If, following the booking of the holiday or travel service, the employ ment contract of the insured person or the simultaneously booked accompanying traveller is</x:v>
      </x:c>
      <x:c r="H204" s="10" t="str">
        <x:v>STI Helvetia private customers insurance, Assistance – September 2025 edition Cancellation costs Insured events Do you want to know how you are insured?</x:v>
      </x:c>
      <x:c r="I204" s="8" t="str">
        <x:v>travel_assistance</x:v>
      </x:c>
      <x:c r="J204" s="8" t="str">
        <x:v>CALIBRATION</x:v>
      </x:c>
      <x:c r="K204" s="10" t="str"/>
      <x:c r="L204" s="12" t="str"/>
      <x:c r="M204" s="12" t="str"/>
      <x:c r="N204" s="12" t="str"/>
      <x:c r="O204" s="12" t="str"/>
      <x:c r="P204" s="12" t="str"/>
    </x:row>
    <x:row r="205">
      <x:c r="A205" s="8" t="str">
        <x:v>ext-helvetia-pass-014</x:v>
      </x:c>
      <x:c r="B205" s="8" t="str">
        <x:v>helvetia_pdf</x:v>
      </x:c>
      <x:c r="C205" s="8" t="str">
        <x:v>data/raw/pdfs/brochure-household-contents-and-private-liability.pdf</x:v>
      </x:c>
      <x:c r="D205" s="8" t="str">
        <x:v>brochure-household-contents-and-private-liability</x:v>
      </x:c>
      <x:c r="E205" s="8" t="n">
        <x:v>3</x:v>
      </x:c>
      <x:c r="F205" s="10" t="str">
        <x:v>According to brochure-household-contents-and-private-liability.pdf, what provision is stated in the supplied policy context?</x:v>
      </x:c>
      <x:c r="G205" s="10" t="str">
        <x:v>Scope of the insurance cover Household contents includes all movables (such as clothes, furniture, consumer electronics, pets, etc.) required for living and recreation. Insured persons All persons permanently residing in the same household as the policyholder. Insured risks • Fire and natural forces • Theft and robbery • Damage and destruction of all kinds due to external causes Insured benefit New for old replacement price for an identical or equivalent household item at the time of the damage. Geographical scope of the policy • At home in Switzerland and the Principality of Liechtenstein • Worldwide for trips and excursions of up to one year’s duration Tailor the policy to your needs • Cover garden areas against fire/ natural forces • Cover for losses resulting from Internet use (cyber risks) • Earthquake insurance • Various all-risks insurances for everyday items (e.g. sports equipment, cameras, mobile phones, etc.) • Theft Plus insurance • Cover for necessary follow-up costs (e.g. clean-up costs) • </x:v>
      </x:c>
      <x:c r="H205" s="10" t="str">
        <x:v>Scope of the insurance cover Household contents includes all movables (such as clothes, furniture, consumer electronics, pets, etc.) required for living and recreation.</x:v>
      </x:c>
      <x:c r="I205" s="8" t="str">
        <x:v>household</x:v>
      </x:c>
      <x:c r="J205" s="8" t="str">
        <x:v>LOCKED_HOLDOUT_CANDIDATE</x:v>
      </x:c>
      <x:c r="K205" s="10" t="str"/>
      <x:c r="L205" s="12" t="str"/>
      <x:c r="M205" s="12" t="str"/>
      <x:c r="N205" s="12" t="str"/>
      <x:c r="O205" s="12" t="str"/>
      <x:c r="P205" s="12" t="str"/>
    </x:row>
    <x:row r="206">
      <x:c r="A206" s="8" t="str">
        <x:v>ext-helvetia-pass-015</x:v>
      </x:c>
      <x:c r="B206" s="8" t="str">
        <x:v>helvetia_pdf</x:v>
      </x:c>
      <x:c r="C206" s="8" t="str">
        <x:v>data/raw/pdfs/brochure-services.pdf</x:v>
      </x:c>
      <x:c r="D206" s="8" t="str">
        <x:v>brochure-services</x:v>
      </x:c>
      <x:c r="E206" s="8" t="n">
        <x:v>2</x:v>
      </x:c>
      <x:c r="F206" s="10" t="str">
        <x:v>According to brochure-services.pdf, what provision is stated in the supplied policy context?</x:v>
      </x:c>
      <x:c r="G206"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206" s="10" t="str">
        <x:v>Scope of insurance cover The service product provides you with the following benefits:</x:v>
      </x:c>
      <x:c r="I206" s="8" t="str">
        <x:v>general_insurance</x:v>
      </x:c>
      <x:c r="J206" s="8" t="str">
        <x:v>LOCKED_HOLDOUT_CANDIDATE</x:v>
      </x:c>
      <x:c r="K206" s="10" t="str"/>
      <x:c r="L206" s="12" t="str"/>
      <x:c r="M206" s="12" t="str"/>
      <x:c r="N206" s="12" t="str"/>
      <x:c r="O206" s="12" t="str"/>
      <x:c r="P206" s="12" t="str"/>
    </x:row>
    <x:row r="207">
      <x:c r="A207" s="8" t="str">
        <x:v>ext-helvetia-pass-016</x:v>
      </x:c>
      <x:c r="B207" s="8" t="str">
        <x:v>helvetia_pdf</x:v>
      </x:c>
      <x:c r="C207" s="8" t="str">
        <x:v>data/raw/pdfs/buildings-insurance-sti.pdf</x:v>
      </x:c>
      <x:c r="D207" s="8" t="str">
        <x:v>buildings-insurance-sti</x:v>
      </x:c>
      <x:c r="E207" s="8" t="n">
        <x:v>3</x:v>
      </x:c>
      <x:c r="F207" s="10" t="str">
        <x:v>According to buildings-insurance-sti.pdf, what provision is stated in the supplied policy context?</x:v>
      </x:c>
      <x:c r="G207" s="10" t="str">
        <x:v>4/28 | Helvetia Swiss Insurance Company Ltd STI Helvetia Buildings Insurance – September 2022 edition 5/28 | Helvetia Swiss Insurance Company Ltd STI Helvetia Buildings Insurance – September 2022 edition Natural forces Theft Liquids and gas Destruction, damage or loss as a result of: C1 Flooding and inundation; C2 Storms (wind of 75 km/h or more that uproots trees or takes the roofs off buildings in the vicinity of the insured property); C3 Hail; C4 Avalanches; C5 Snow pressure; C6 Rockslides and rock impacts; C7 Landslides. Damage conclusively proven by physical traces, witnesses or circumstances to have been caused by: D1 Theft or attempted theft. Destruction, damage or loss as a result of: E1 Leakage of liquids and gas: a) from pipelines or connected instal lations or apparatus; b) from decorative fountains, aquaria waterbeds, pools, liquids from humidifiers; c) and the resultant loss of liquids or gas; E2 Water condensation from cooling equipment and devices; E3 Penetration of rain and melting snow into the building through the roof, from roof gutters or from outdoor drain pipes, through closed windows, doors and skylights; E4 Backpressure from sewage ducts as well as underground slope water, ground water, rock water and seepage water inside the building; E5 Pipelines frozen or damaged by frost, tanks and containers serving the insured company and/or the insured buildings as well as adjacent installations, apparatus and machinery. Costs for the thawing of frozen pipelines are co</x:v>
      </x:c>
      <x:c r="H207" s="10" t="str">
        <x:v>Damage conclusively proven by physical traces, witnesses or circumstances to have been caused by: D1 Theft or attempted theft.</x:v>
      </x:c>
      <x:c r="I207" s="8" t="str">
        <x:v>general_insurance</x:v>
      </x:c>
      <x:c r="J207" s="8" t="str">
        <x:v>CALIBRATION</x:v>
      </x:c>
      <x:c r="K207" s="10" t="str"/>
      <x:c r="L207" s="12" t="str"/>
      <x:c r="M207" s="12" t="str"/>
      <x:c r="N207" s="12" t="str"/>
      <x:c r="O207" s="12" t="str"/>
      <x:c r="P207" s="12" t="str"/>
    </x:row>
    <x:row r="208">
      <x:c r="A208" s="8" t="str">
        <x:v>ext-helvetia-pass-017</x:v>
      </x:c>
      <x:c r="B208" s="8" t="str">
        <x:v>helvetia_pdf</x:v>
      </x:c>
      <x:c r="C208" s="8" t="str">
        <x:v>data/raw/pdfs/household-contents-private-liability-sti.pdf</x:v>
      </x:c>
      <x:c r="D208" s="8" t="str">
        <x:v>household-contents-private-liability-sti</x:v>
      </x:c>
      <x:c r="E208" s="8" t="n">
        <x:v>2</x:v>
      </x:c>
      <x:c r="F208" s="10" t="str">
        <x:v>According to household-contents-private-liability-sti.pdf, what provision is stated in the supplied policy context?</x:v>
      </x:c>
      <x:c r="G208" s="10" t="str">
        <x:v>Household contents insurance 4 Fire 4 Natural forces 5 Theft 5 Liquids and gas 5 Household contents all risks 5 Glass breakage 10 Earthquake and volcanic eruption 11 Particular objects of value 12 Extended warranty 13 Accident treatment costs for dogs, cats and other domestic animals 14 Health insurance for dogs and cats 15 Accident treatment costs and health insurance for horses 15 Cyber: Damage caused by use of Internet technologies 16 Personal liability insurance 18 Basic cover 20 Voluntary liability 28 Supplementary insurance 30 Term of liability cover 34 Explanation of terms 36 Table of contents The original German wording governs the legal interpretation of your policy. 3/40 | Helvetia Swiss Insurance Company Ltd. STI Helvetia private customers insurance, Household contents and private liability – September 2025 edition</x:v>
      </x:c>
      <x:c r="H208" s="10" t="str">
        <x:v>STI Helvetia private customers insurance, Household contents and private liability – September 2025 edition</x:v>
      </x:c>
      <x:c r="I208" s="8" t="str">
        <x:v>household</x:v>
      </x:c>
      <x:c r="J208" s="8" t="str">
        <x:v>LOCKED_HOLDOUT_CANDIDATE</x:v>
      </x:c>
      <x:c r="K208" s="10" t="str"/>
      <x:c r="L208" s="12" t="str"/>
      <x:c r="M208" s="12" t="str"/>
      <x:c r="N208" s="12" t="str"/>
      <x:c r="O208" s="12" t="str"/>
      <x:c r="P208" s="12" t="str"/>
    </x:row>
    <x:row r="209">
      <x:c r="A209" s="8" t="str">
        <x:v>ext-helvetia-pass-018</x:v>
      </x:c>
      <x:c r="B209" s="8" t="str">
        <x:v>helvetia_pdf</x:v>
      </x:c>
      <x:c r="C209" s="8" t="str">
        <x:v>data/raw/pdfs/legal-protection-sti.pdf</x:v>
      </x:c>
      <x:c r="D209" s="8" t="str">
        <x:v>legal-protection-sti</x:v>
      </x:c>
      <x:c r="E209" s="8" t="n">
        <x:v>2</x:v>
      </x:c>
      <x:c r="F209" s="10" t="str">
        <x:v>According to legal-protection-sti.pdf, what provision is stated in the supplied policy context?</x:v>
      </x:c>
      <x:c r="G209"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3/16 | Helvetia Swiss Insurance Company Ltd. STI Helvetia private customers insurance, Legal protection – September 2021 edition</x:v>
      </x:c>
      <x:c r="H209" s="10" t="str">
        <x:v>STI Helvetia private customers insurance, Legal protection – September 2021 edition</x:v>
      </x:c>
      <x:c r="I209" s="8" t="str">
        <x:v>legal_protection</x:v>
      </x:c>
      <x:c r="J209" s="8" t="str">
        <x:v>CALIBRATION</x:v>
      </x:c>
      <x:c r="K209" s="10" t="str"/>
      <x:c r="L209" s="12" t="str"/>
      <x:c r="M209" s="12" t="str"/>
      <x:c r="N209" s="12" t="str"/>
      <x:c r="O209" s="12" t="str"/>
      <x:c r="P209" s="12" t="str"/>
    </x:row>
    <x:row r="210">
      <x:c r="A210" s="8" t="str">
        <x:v>ext-helvetia-pass-019</x:v>
      </x:c>
      <x:c r="B210" s="8" t="str">
        <x:v>helvetia_pdf</x:v>
      </x:c>
      <x:c r="C210" s="8" t="str">
        <x:v>data/raw/pdfs/motor-vehicle-insurance-product-sheet.pdf</x:v>
      </x:c>
      <x:c r="D210" s="8" t="str">
        <x:v>motor-vehicle-insurance-product-sheet</x:v>
      </x:c>
      <x:c r="E210" s="8" t="n">
        <x:v>2</x:v>
      </x:c>
      <x:c r="F210" s="10" t="str">
        <x:v>According to motor-vehicle-insurance-product-sheet.pdf, what provision is stated in the supplied policy context?</x:v>
      </x:c>
      <x:c r="G210"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10" s="10" t="str">
        <x:v>Cover for property damage and personal injury caused by you</x:v>
      </x:c>
      <x:c r="I210" s="8" t="str">
        <x:v>motor</x:v>
      </x:c>
      <x:c r="J210" s="8" t="str">
        <x:v>VALIDATION</x:v>
      </x:c>
      <x:c r="K210" s="10" t="str"/>
      <x:c r="L210" s="12" t="str"/>
      <x:c r="M210" s="12" t="str"/>
      <x:c r="N210" s="12" t="str"/>
      <x:c r="O210" s="12" t="str"/>
      <x:c r="P210" s="12" t="str"/>
    </x:row>
    <x:row r="211">
      <x:c r="A211" s="8" t="str">
        <x:v>ext-helvetia-pass-020</x:v>
      </x:c>
      <x:c r="B211" s="8" t="str">
        <x:v>helvetia_pdf</x:v>
      </x:c>
      <x:c r="C211" s="8" t="str">
        <x:v>data/raw/pdfs/motor-vehicle-insurance-sti.pdf</x:v>
      </x:c>
      <x:c r="D211" s="8" t="str">
        <x:v>motor-vehicle-insurance-sti</x:v>
      </x:c>
      <x:c r="E211" s="8" t="n">
        <x:v>4</x:v>
      </x:c>
      <x:c r="F211" s="10" t="str">
        <x:v>According to motor-vehicle-insurance-sti.pdf, what provision is stated in the supplied policy context?</x:v>
      </x:c>
      <x:c r="G211"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x:v>
      </x:c>
      <x:c r="H211" s="10" t="str">
        <x:v>4/31 | Helvetia Swiss Insurance Company Ltd STI Helvetia Motor Vehicle Insurance – Edition March 2026 Motor Vehicle Customer information 1 Contracting parties The contracting parties are as follows Helvetia Swiss Insurance Company Ltd.</x:v>
      </x:c>
      <x:c r="I211" s="8" t="str">
        <x:v>motor</x:v>
      </x:c>
      <x:c r="J211" s="8" t="str">
        <x:v>LOCKED_HOLDOUT_CANDIDATE</x:v>
      </x:c>
      <x:c r="K211" s="10" t="str"/>
      <x:c r="L211" s="12" t="str"/>
      <x:c r="M211" s="12" t="str"/>
      <x:c r="N211" s="12" t="str"/>
      <x:c r="O211" s="12" t="str"/>
      <x:c r="P211" s="12" t="str"/>
    </x:row>
    <x:row r="212">
      <x:c r="A212" s="8" t="str">
        <x:v>ext-helvetia-pass-021</x:v>
      </x:c>
      <x:c r="B212" s="8" t="str">
        <x:v>helvetia_pdf</x:v>
      </x:c>
      <x:c r="C212" s="8" t="str">
        <x:v>data/raw/pdfs/mutual-provisions-pkv.pdf</x:v>
      </x:c>
      <x:c r="D212" s="8" t="str">
        <x:v>mutual-provisions-pkv</x:v>
      </x:c>
      <x:c r="E212" s="8" t="n">
        <x:v>2</x:v>
      </x:c>
      <x:c r="F212" s="10" t="str">
        <x:v>According to mutual-provisions-pkv.pdf, what provision is stated in the supplied policy context?</x:v>
      </x:c>
      <x:c r="G212"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the Federal Law on Insurance Supervision (ISL) and the Private Insurer Supervision Ordinance. Please send all communicat</x:v>
      </x:c>
      <x:c r="H212" s="10" t="str">
        <x:v>We place great value in ensuring that you can quickly and dependably obtain information about your insurance contract.</x:v>
      </x:c>
      <x:c r="I212" s="8" t="str">
        <x:v>general_insurance</x:v>
      </x:c>
      <x:c r="J212" s="8" t="str">
        <x:v>CALIBRATION</x:v>
      </x:c>
      <x:c r="K212" s="10" t="str"/>
      <x:c r="L212" s="12" t="str"/>
      <x:c r="M212" s="12" t="str"/>
      <x:c r="N212" s="12" t="str"/>
      <x:c r="O212" s="12" t="str"/>
      <x:c r="P212" s="12" t="str"/>
    </x:row>
    <x:row r="213">
      <x:c r="A213" s="8" t="str">
        <x:v>ext-helvetia-pass-022</x:v>
      </x:c>
      <x:c r="B213" s="8" t="str">
        <x:v>helvetia_pdf</x:v>
      </x:c>
      <x:c r="C213" s="8" t="str">
        <x:v>data/raw/pdfs/rental-guarantee-insurance-sti.pdf</x:v>
      </x:c>
      <x:c r="D213" s="8" t="str">
        <x:v>rental-guarantee-insurance-sti</x:v>
      </x:c>
      <x:c r="E213" s="8" t="n">
        <x:v>3</x:v>
      </x:c>
      <x:c r="F213" s="10" t="str">
        <x:v>According to rental-guarantee-insurance-sti.pdf, what provision is stated in the supplied policy context?</x:v>
      </x:c>
      <x:c r="G213"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x:v>
      </x:c>
      <x:c r="H213" s="10" t="str">
        <x:v>Gallen In the course of concluding and executing the contract, Helvetia Swiss Insurance Company Ltd is entitled to act on behalf of the other contracting parties (e.</x:v>
      </x:c>
      <x:c r="I213" s="8" t="str">
        <x:v>rental_guarantee</x:v>
      </x:c>
      <x:c r="J213" s="8" t="str">
        <x:v>LOCKED_HOLDOUT_CANDIDATE</x:v>
      </x:c>
      <x:c r="K213" s="10" t="str"/>
      <x:c r="L213" s="12" t="str"/>
      <x:c r="M213" s="12" t="str"/>
      <x:c r="N213" s="12" t="str"/>
      <x:c r="O213" s="12" t="str"/>
      <x:c r="P213" s="12" t="str"/>
    </x:row>
    <x:row r="214">
      <x:c r="A214" s="8" t="str">
        <x:v>ext-helvetia-pass-023</x:v>
      </x:c>
      <x:c r="B214" s="8" t="str">
        <x:v>helvetia_pdf</x:v>
      </x:c>
      <x:c r="C214" s="8" t="str">
        <x:v>data/raw/pdfs/assistance-brochure.pdf</x:v>
      </x:c>
      <x:c r="D214" s="8" t="str">
        <x:v>assistance-brochure</x:v>
      </x:c>
      <x:c r="E214" s="8" t="n">
        <x:v>2</x:v>
      </x:c>
      <x:c r="F214" s="10" t="str">
        <x:v>According to assistance-brochure.pdf, what provision is stated in the supplied policy context?</x:v>
      </x:c>
      <x:c r="G214" s="10" t="str">
        <x:v>Helvetia Assistance. Entirely according to your needs. Our Assistance insurance consists of four components you can combine individually. Cancellation cost insurance Cancellation cost insurance covers you for unforeseen events occurring before your departure that make it impossible for you to set off on your journey. Assistance for persons Assistance for persons provides insurance to cover you if anything happens while you're travelling. 1 2 2/8 | Helvetia Assistance – product information sheet</x:v>
      </x:c>
      <x:c r="H214" s="10" t="str">
        <x:v>Assistance for persons Assistance for persons provides insurance to cover you if anything happens while you're travelling.</x:v>
      </x:c>
      <x:c r="I214" s="8" t="str">
        <x:v>travel_assistance</x:v>
      </x:c>
      <x:c r="J214" s="8" t="str">
        <x:v>CALIBRATION</x:v>
      </x:c>
      <x:c r="K214" s="10" t="str"/>
      <x:c r="L214" s="12" t="str"/>
      <x:c r="M214" s="12" t="str"/>
      <x:c r="N214" s="12" t="str"/>
      <x:c r="O214" s="12" t="str"/>
      <x:c r="P214" s="12" t="str"/>
    </x:row>
    <x:row r="215">
      <x:c r="A215" s="8" t="str">
        <x:v>ext-helvetia-pass-024</x:v>
      </x:c>
      <x:c r="B215" s="8" t="str">
        <x:v>helvetia_pdf</x:v>
      </x:c>
      <x:c r="C215" s="8" t="str">
        <x:v>data/raw/pdfs/assistance-sti.pdf</x:v>
      </x:c>
      <x:c r="D215" s="8" t="str">
        <x:v>assistance-sti</x:v>
      </x:c>
      <x:c r="E215" s="8" t="n">
        <x:v>3</x:v>
      </x:c>
      <x:c r="F215" s="10" t="str">
        <x:v>According to assistance-sti.pdf, what provision is stated in the supplied policy context?</x:v>
      </x:c>
      <x:c r="G215" s="10" t="str">
        <x:v>4/18 | Helvetia Swiss Insurance Company Ltd. STI Helvetia private customers insurance, Assistance – September 2025 edition 5/18 | Helvetia Swiss Insurance Company Ltd. STI Helvetia private customers insurance, Assistance – September 2025 edition Cancellation costs Insured events Do you want to know how you are insured? Your insurance coverage is listed in your policy as you requested and applies solely to private individuals. A1 Illness, accidents and death a) suf fered by the insured person b) suf fered by an accompanying traveller booked simultaneously c) suf fered by a person close to the insured person or accom panying traveller d) suf fered by the deputy at the workplace If one of the persons listed here dies, falls ill, suffers from pregnancy related problems or has an accident, and is not able to commence the journey or holiday on doctorʼs orders, or if the attending physician certifies that the person has experienced a deterioration of an existing chronic ailment. A2 Loss of employment If, following the booking of the holiday or travel service, the employ ment contract of the insured person or the simultaneously booked accompanying traveller is unexpectedly terminated. A3 Failure and delays If, either before beginning a journey or while en route to th</x:v>
      </x:c>
      <x:c r="H215" s="10" t="str">
        <x:v>Your insurance coverage is listed in your policy as you requested and applies solely to private individuals.</x:v>
      </x:c>
      <x:c r="I215" s="8" t="str">
        <x:v>travel_assistance</x:v>
      </x:c>
      <x:c r="J215" s="8" t="str">
        <x:v>CALIBRATION</x:v>
      </x:c>
      <x:c r="K215" s="10" t="str"/>
      <x:c r="L215" s="12" t="str"/>
      <x:c r="M215" s="12" t="str"/>
      <x:c r="N215" s="12" t="str"/>
      <x:c r="O215" s="12" t="str"/>
      <x:c r="P215" s="12" t="str"/>
    </x:row>
    <x:row r="216">
      <x:c r="A216" s="8" t="str">
        <x:v>ext-helvetia-pass-025</x:v>
      </x:c>
      <x:c r="B216" s="8" t="str">
        <x:v>helvetia_pdf</x:v>
      </x:c>
      <x:c r="C216" s="8" t="str">
        <x:v>data/raw/pdfs/brochure-household-contents-and-private-liability.pdf</x:v>
      </x:c>
      <x:c r="D216" s="8" t="str">
        <x:v>brochure-household-contents-and-private-liability</x:v>
      </x:c>
      <x:c r="E216" s="8" t="n">
        <x:v>3</x:v>
      </x:c>
      <x:c r="F216" s="10" t="str">
        <x:v>According to brochure-household-contents-and-private-liability.pdf, what provision is stated in the supplied policy context?</x:v>
      </x:c>
      <x:c r="G216" s="10" t="str">
        <x:v>Scope of the insurance cover Household contents includes all movables (such as clothes, furniture, consumer electronics, pets, etc.) required for living and recreation. Insured persons All persons permanently residing in the same household as the policyholder. Insured risks • Fire and natural forces • Theft and robbery • Damage and destruction of all kinds due to external causes Insured benefit New for old replacement price for an identical or equivalent household item at the time of the damage. Geographical scope of the policy • At home in Switzerland and the Principality of Liechtenstein • Worldwide for trips and excursions of up to one year’s duration Tailor the policy to your needs • Cover garden areas against fire/ natural forces • Cover for losses resulting from Internet use (cyber risks) • Earthquake insurance • Various all-risks insurances for everyday items (e.g. sports equipment, cameras, mobile phones, etc.) • Theft Plus insurance • Cover for necessary follow-up costs (e.g. clean-up costs) • Cover for damage and destruction of special valuables (e.g. jewellery, antiques, collections</x:v>
      </x:c>
      <x:c r="H216" s="10" t="str">
        <x:v>Insured persons All persons permanently residing in the same household as the policyholder.</x:v>
      </x:c>
      <x:c r="I216" s="8" t="str">
        <x:v>household</x:v>
      </x:c>
      <x:c r="J216" s="8" t="str">
        <x:v>LOCKED_HOLDOUT_CANDIDATE</x:v>
      </x:c>
      <x:c r="K216" s="10" t="str"/>
      <x:c r="L216" s="12" t="str"/>
      <x:c r="M216" s="12" t="str"/>
      <x:c r="N216" s="12" t="str"/>
      <x:c r="O216" s="12" t="str"/>
      <x:c r="P216" s="12" t="str"/>
    </x:row>
    <x:row r="217">
      <x:c r="A217" s="8" t="str">
        <x:v>ext-helvetia-pass-026</x:v>
      </x:c>
      <x:c r="B217" s="8" t="str">
        <x:v>helvetia_pdf</x:v>
      </x:c>
      <x:c r="C217" s="8" t="str">
        <x:v>data/raw/pdfs/brochure-services.pdf</x:v>
      </x:c>
      <x:c r="D217" s="8" t="str">
        <x:v>brochure-services</x:v>
      </x:c>
      <x:c r="E217" s="8" t="n">
        <x:v>2</x:v>
      </x:c>
      <x:c r="F217" s="10" t="str">
        <x:v>According to brochure-services.pdf, what provision is stated in the supplied policy context?</x:v>
      </x:c>
      <x:c r="G217"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217" s="10" t="str">
        <x:v>helvetia.ch/kundenportal “Helvetia guarantees claims payment within 48h following a successful claims review.” 2/4 | Helvetia services – product information sheet</x:v>
      </x:c>
      <x:c r="I217" s="8" t="str">
        <x:v>general_insurance</x:v>
      </x:c>
      <x:c r="J217" s="8" t="str">
        <x:v>LOCKED_HOLDOUT_CANDIDATE</x:v>
      </x:c>
      <x:c r="K217" s="10" t="str"/>
      <x:c r="L217" s="12" t="str"/>
      <x:c r="M217" s="12" t="str"/>
      <x:c r="N217" s="12" t="str"/>
      <x:c r="O217" s="12" t="str"/>
      <x:c r="P217" s="12" t="str"/>
    </x:row>
    <x:row r="218">
      <x:c r="A218" s="8" t="str">
        <x:v>ext-helvetia-pass-027</x:v>
      </x:c>
      <x:c r="B218" s="8" t="str">
        <x:v>helvetia_pdf</x:v>
      </x:c>
      <x:c r="C218" s="8" t="str">
        <x:v>data/raw/pdfs/buildings-insurance-sti.pdf</x:v>
      </x:c>
      <x:c r="D218" s="8" t="str">
        <x:v>buildings-insurance-sti</x:v>
      </x:c>
      <x:c r="E218" s="8" t="n">
        <x:v>3</x:v>
      </x:c>
      <x:c r="F218" s="10" t="str">
        <x:v>According to buildings-insurance-sti.pdf, what provision is stated in the supplied policy context?</x:v>
      </x:c>
      <x:c r="G218" s="10" t="str">
        <x:v>ave been caused by: D1 Theft or attempted theft. Destruction, damage or loss as a result of: E1 Leakage of liquids and gas: a) from pipelines or connected instal lations or apparatus; b) from decorative fountains, aquaria waterbeds, pools, liquids from humidifiers; c) and the resultant loss of liquids or gas; E2 Water condensation from cooling equipment and devices; E3 Penetration of rain and melting snow into the building through the roof, from roof gutters or from outdoor drain pipes, through closed windows, doors and skylights; E4 Backpressure from sewage ducts as well as underground slope water, ground water, rock water and seepage water inside the building; E5 Pipelines frozen or damaged by frost, tanks and containers serving the insured company and/or the insured buildings as well as adjacent installations, apparatus and machinery. Costs for the thawing of frozen pipelines are covered; E6 Fungal or pest infestation of any kind if proven to have been caused by insured water damage, if reported to Helvetia immediately, and provided that the construction has not been modified or extended in any way in the meantime. Sum insured according to policy Sum insured according to policy money assets from coin-operated vending machines CHF 500 Sum insured according to policy Insured if specified in the policy Sum insured according to policy Sum insured according to policy Sum insured according to policy Insured if specified in the policy CHF 2ʼ000 Sum insured according to policy Sum insured according to policy Sum insured according to policy CHF 5ʼ000 CHF 5ʼ000 CHF 5ʼ000 CHF 5ʼ000 CHF 5ʼ000 CHF 5ʼ000 Sum insured according to policy Sum insured according to policy CHF 1ʼ000 for theft without use of force Sum insured according to policy CHF 5ʼ000 CHF 5ʼ000 CHF 5ʼ000 Sum insured according to policy Sum insured according to policy Sum insured according to policy Sum insured according to policy Sum insured according to policy Sum insured according to policy Sum i</x:v>
      </x:c>
      <x:c r="H218" s="10" t="str">
        <x:v>Costs for the thawing of frozen pipelines are covered; E6 Fungal or pest infestation of any kind if proven to have been caused by insured water damage, if reported to Helvetia immediately, and provided that the construction has not been modified or extended in any way in the meantime.</x:v>
      </x:c>
      <x:c r="I218" s="8" t="str">
        <x:v>general_insurance</x:v>
      </x:c>
      <x:c r="J218" s="8" t="str">
        <x:v>CALIBRATION</x:v>
      </x:c>
      <x:c r="K218" s="10" t="str"/>
      <x:c r="L218" s="12" t="str"/>
      <x:c r="M218" s="12" t="str"/>
      <x:c r="N218" s="12" t="str"/>
      <x:c r="O218" s="12" t="str"/>
      <x:c r="P218" s="12" t="str"/>
    </x:row>
    <x:row r="219">
      <x:c r="A219" s="8" t="str">
        <x:v>ext-helvetia-pass-028</x:v>
      </x:c>
      <x:c r="B219" s="8" t="str">
        <x:v>helvetia_pdf</x:v>
      </x:c>
      <x:c r="C219" s="8" t="str">
        <x:v>data/raw/pdfs/household-contents-private-liability-sti.pdf</x:v>
      </x:c>
      <x:c r="D219" s="8" t="str">
        <x:v>household-contents-private-liability-sti</x:v>
      </x:c>
      <x:c r="E219" s="8" t="n">
        <x:v>3</x:v>
      </x:c>
      <x:c r="F219" s="10" t="str">
        <x:v>According to household-contents-private-liability-sti.pdf, what provision is stated in the supplied policy context?</x:v>
      </x:c>
      <x:c r="G219" s="10" t="str">
        <x:v>Natural forces Theft Liquids and gas Household contents all risks Destruction, damage or loss as a result of C1 flooding and inundation; C2 storms (wind of 75 km / h or more that uproots trees or takes the roofs of f buildings in the vicinity of the insured property); C3 hail; C4 avalanches; C5 snow pressure; C6 rockslides and rock impacts; C7 land slides. Damage conclusively proven by physical traces, witnesses or circumstances to have been caused by D1 burglary: theft by criminals who enter a building or a room of a building by force or break into a container in the room. Burglary also includes: ■ Theft by opening the doors with the correct keys or codes is deemed to be burglary , provided that the perpetrator obtained the keys or codes by means of burglary or robbery; ■ Breaking open of garden sheds, allotment sheds and apiaries. In the case of attempted burglary and burglary on the owner-inhabited premises at the insured location, compensation will also be paid for the resultant building damage within the scope of the insured sum for household contents; D2 robbery: theft under threat or use of violence against persons as well as theft from persons unable to resist as a result of death,</x:v>
      </x:c>
      <x:c r="H219" s="10" t="str">
        <x:v>Natural forces Theft Liquids and gas Household contents all risks Destruction, damage or loss as a result of C1 flooding and inundation; C2 storms (wind of 75 km / h or more that uproots trees or takes the roofs of f buildings in the vicinity of the insured property); C3 hail; C4 avalanches; C5 snow pressure; C6 rockslides and rock impacts; C7 land slides.</x:v>
      </x:c>
      <x:c r="I219" s="8" t="str">
        <x:v>household</x:v>
      </x:c>
      <x:c r="J219" s="8" t="str">
        <x:v>LOCKED_HOLDOUT_CANDIDATE</x:v>
      </x:c>
      <x:c r="K219" s="10" t="str"/>
      <x:c r="L219" s="12" t="str"/>
      <x:c r="M219" s="12" t="str"/>
      <x:c r="N219" s="12" t="str"/>
      <x:c r="O219" s="12" t="str"/>
      <x:c r="P219" s="12" t="str"/>
    </x:row>
    <x:row r="220">
      <x:c r="A220" s="8" t="str">
        <x:v>ext-helvetia-pass-029</x:v>
      </x:c>
      <x:c r="B220" s="8" t="str">
        <x:v>helvetia_pdf</x:v>
      </x:c>
      <x:c r="C220" s="8" t="str">
        <x:v>data/raw/pdfs/legal-protection-sti.pdf</x:v>
      </x:c>
      <x:c r="D220" s="8" t="str">
        <x:v>legal-protection-sti</x:v>
      </x:c>
      <x:c r="E220" s="8" t="n">
        <x:v>3</x:v>
      </x:c>
      <x:c r="F220" s="10" t="str">
        <x:v>According to legal-protection-sti.pdf, what provision is stated in the supplied policy context?</x:v>
      </x:c>
      <x:c r="G220" s="10" t="str">
        <x:v>Personal legal protection Traffic legal protection Unless listed separately in the STI, the policy does not cover claims B1 The protection of the legal interests of the insured person by the insurer; B2 Payment of: ■ the cost of lawyers engaged on the insured person’s behalf; ■ the cost of mediators engaged on the insured person’s behalf; ■ the cost of experts; ■ procedural and court costs to be borne by the insured person, incl. clerical and judgement fees; ■ any compensation awarded to the counterparty; ■ any bail paid in order to avoid detention while awaiting trial. This benefit is paid in the form of an advance only and must be repaid to the insurer by the insured person; ■ travel expenses incurred as a result of being required to appear before a foreign court of law; ■ translation costs; B3 The insured person must return any court or prevailingparty costs awarded to him/ her to Coop Rechtsschutz up to the amount of the benefits paid. C1 The protection of the legal interests of the insured person by the insurer; C2 Payment of: ■ the cost of lawyers engaged on the insured person’s behalf; ■ the cost of mediators engaged on the insured person’s behalf; ■ the cost of experts; ■ procedural and court costs to be borne by the insured person, incl. clerical and jud</x:v>
      </x:c>
      <x:c r="H220" s="10" t="str">
        <x:v>Personal legal protection Traffic legal protection Unless listed separately in the STI, the policy does not cover claims B1 The protection of the legal interests of the insured person by the insurer; B2 Payment of: ■ the cost of lawyers engaged on the insured person’s behalf; ■ the cost of mediators engaged on the insured person’s behalf; ■ the cost of experts; ■ procedural and court costs to be borne by the insured person, incl.</x:v>
      </x:c>
      <x:c r="I220" s="8" t="str">
        <x:v>legal_protection</x:v>
      </x:c>
      <x:c r="J220" s="8" t="str">
        <x:v>CALIBRATION</x:v>
      </x:c>
      <x:c r="K220" s="10" t="str"/>
      <x:c r="L220" s="12" t="str"/>
      <x:c r="M220" s="12" t="str"/>
      <x:c r="N220" s="12" t="str"/>
      <x:c r="O220" s="12" t="str"/>
      <x:c r="P220" s="12" t="str"/>
    </x:row>
    <x:row r="221">
      <x:c r="A221" s="8" t="str">
        <x:v>ext-helvetia-pass-030</x:v>
      </x:c>
      <x:c r="B221" s="8" t="str">
        <x:v>helvetia_pdf</x:v>
      </x:c>
      <x:c r="C221" s="8" t="str">
        <x:v>data/raw/pdfs/motor-vehicle-insurance-product-sheet.pdf</x:v>
      </x:c>
      <x:c r="D221" s="8" t="str">
        <x:v>motor-vehicle-insurance-product-sheet</x:v>
      </x:c>
      <x:c r="E221" s="8" t="n">
        <x:v>2</x:v>
      </x:c>
      <x:c r="F221" s="10" t="str">
        <x:v>According to motor-vehicle-insurance-product-sheet.pdf, what provision is stated in the supplied policy context?</x:v>
      </x:c>
      <x:c r="G221"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21" s="10" t="str">
        <x:v>Owner and driver of the insured vehicle Insured benefits</x:v>
      </x:c>
      <x:c r="I221" s="8" t="str">
        <x:v>motor</x:v>
      </x:c>
      <x:c r="J221" s="8" t="str">
        <x:v>VALIDATION</x:v>
      </x:c>
      <x:c r="K221" s="10" t="str"/>
      <x:c r="L221" s="12" t="str"/>
      <x:c r="M221" s="12" t="str"/>
      <x:c r="N221" s="12" t="str"/>
      <x:c r="O221" s="12" t="str"/>
      <x:c r="P221" s="12" t="str"/>
    </x:row>
    <x:row r="222">
      <x:c r="A222" s="8" t="str">
        <x:v>ext-helvetia-pass-031</x:v>
      </x:c>
      <x:c r="B222" s="8" t="str">
        <x:v>helvetia_pdf</x:v>
      </x:c>
      <x:c r="C222" s="8" t="str">
        <x:v>data/raw/pdfs/motor-vehicle-insurance-sti.pdf</x:v>
      </x:c>
      <x:c r="D222" s="8" t="str">
        <x:v>motor-vehicle-insurance-sti</x:v>
      </x:c>
      <x:c r="E222" s="8" t="n">
        <x:v>4</x:v>
      </x:c>
      <x:c r="F222" s="10" t="str">
        <x:v>According to motor-vehicle-insurance-sti.pdf, what provision is stated in the supplied policy context?</x:v>
      </x:c>
      <x:c r="G222"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Liechtenstein, the law of Liechtenstein applies together with the provisions of the Liechtenstein</x:v>
      </x:c>
      <x:c r="H222" s="10" t="str">
        <x:v>Gallen or Helvetia Swiss Life Insurance Company Ltd St.</x:v>
      </x:c>
      <x:c r="I222" s="8" t="str">
        <x:v>motor</x:v>
      </x:c>
      <x:c r="J222" s="8" t="str">
        <x:v>LOCKED_HOLDOUT_CANDIDATE</x:v>
      </x:c>
      <x:c r="K222" s="10" t="str"/>
      <x:c r="L222" s="12" t="str"/>
      <x:c r="M222" s="12" t="str"/>
      <x:c r="N222" s="12" t="str"/>
      <x:c r="O222" s="12" t="str"/>
      <x:c r="P222" s="12" t="str"/>
    </x:row>
    <x:row r="223">
      <x:c r="A223" s="8" t="str">
        <x:v>ext-helvetia-pass-032</x:v>
      </x:c>
      <x:c r="B223" s="8" t="str">
        <x:v>helvetia_pdf</x:v>
      </x:c>
      <x:c r="C223" s="8" t="str">
        <x:v>data/raw/pdfs/mutual-provisions-pkv.pdf</x:v>
      </x:c>
      <x:c r="D223" s="8" t="str">
        <x:v>mutual-provisions-pkv</x:v>
      </x:c>
      <x:c r="E223" s="8" t="n">
        <x:v>2</x:v>
      </x:c>
      <x:c r="F223" s="10" t="str">
        <x:v>According to mutual-provisions-pkv.pdf, what provision is stated in the supplied policy context?</x:v>
      </x:c>
      <x:c r="G223"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the Federal Law on Insurance Supervision (ISL) and the Private Insurer Supervision Ordinance. Please send all communication in writing or any other text form addressed to Helvetia to the General Agency stated in t</x:v>
      </x:c>
      <x:c r="H223" s="10" t="str">
        <x:v>This is why the Standard Terms of Insurance (STIs) are structured like a reference document.</x:v>
      </x:c>
      <x:c r="I223" s="8" t="str">
        <x:v>general_insurance</x:v>
      </x:c>
      <x:c r="J223" s="8" t="str">
        <x:v>CALIBRATION</x:v>
      </x:c>
      <x:c r="K223" s="10" t="str"/>
      <x:c r="L223" s="12" t="str"/>
      <x:c r="M223" s="12" t="str"/>
      <x:c r="N223" s="12" t="str"/>
      <x:c r="O223" s="12" t="str"/>
      <x:c r="P223" s="12" t="str"/>
    </x:row>
    <x:row r="224">
      <x:c r="A224" s="8" t="str">
        <x:v>ext-helvetia-pass-033</x:v>
      </x:c>
      <x:c r="B224" s="8" t="str">
        <x:v>helvetia_pdf</x:v>
      </x:c>
      <x:c r="C224" s="8" t="str">
        <x:v>data/raw/pdfs/rental-guarantee-insurance-sti.pdf</x:v>
      </x:c>
      <x:c r="D224" s="8" t="str">
        <x:v>rental-guarantee-insurance-sti</x:v>
      </x:c>
      <x:c r="E224" s="8" t="n">
        <x:v>3</x:v>
      </x:c>
      <x:c r="F224" s="10" t="str">
        <x:v>According to rental-guarantee-insurance-sti.pdf, what provision is stated in the supplied policy context?</x:v>
      </x:c>
      <x:c r="G224"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x:v>
      </x:c>
      <x:c r="H224" s="10" t="str">
        <x:v>The contractual basis comprises the application, the customer information, the Standard Terms of Insurance and, further special conditions or supplemen - tary provisions, and also the policy.</x:v>
      </x:c>
      <x:c r="I224" s="8" t="str">
        <x:v>rental_guarantee</x:v>
      </x:c>
      <x:c r="J224" s="8" t="str">
        <x:v>LOCKED_HOLDOUT_CANDIDATE</x:v>
      </x:c>
      <x:c r="K224" s="10" t="str"/>
      <x:c r="L224" s="12" t="str"/>
      <x:c r="M224" s="12" t="str"/>
      <x:c r="N224" s="12" t="str"/>
      <x:c r="O224" s="12" t="str"/>
      <x:c r="P224" s="12" t="str"/>
    </x:row>
    <x:row r="225">
      <x:c r="A225" s="8" t="str">
        <x:v>ext-helvetia-pass-034</x:v>
      </x:c>
      <x:c r="B225" s="8" t="str">
        <x:v>helvetia_pdf</x:v>
      </x:c>
      <x:c r="C225" s="8" t="str">
        <x:v>data/raw/pdfs/assistance-brochure.pdf</x:v>
      </x:c>
      <x:c r="D225" s="8" t="str">
        <x:v>assistance-brochure</x:v>
      </x:c>
      <x:c r="E225" s="8" t="n">
        <x:v>3</x:v>
      </x:c>
      <x:c r="F225" s="10" t="str">
        <x:v>According to assistance-brochure.pdf, what provision is stated in the supplied policy context?</x:v>
      </x:c>
      <x:c r="G225" s="10" t="str">
        <x:v>“All-round insurance: in your leisure time, while travelling, worldwide.” Good to know With Assistance for persons insurance, all booked holidays, trips, events and concerts are insured throughout the year. 3/8 | Helvetia Assistance – product information sheet</x:v>
      </x:c>
      <x:c r="H225" s="10" t="str">
        <x:v>“All-round insurance: in your leisure time, while travelling, worldwide.” Good to know With Assistance for persons insurance, all booked holidays, trips, events and concerts are insured throughout the year.</x:v>
      </x:c>
      <x:c r="I225" s="8" t="str">
        <x:v>travel_assistance</x:v>
      </x:c>
      <x:c r="J225" s="8" t="str">
        <x:v>CALIBRATION</x:v>
      </x:c>
      <x:c r="K225" s="10" t="str"/>
      <x:c r="L225" s="12" t="str"/>
      <x:c r="M225" s="12" t="str"/>
      <x:c r="N225" s="12" t="str"/>
      <x:c r="O225" s="12" t="str"/>
      <x:c r="P225" s="12" t="str"/>
    </x:row>
    <x:row r="226">
      <x:c r="A226" s="8" t="str">
        <x:v>ext-helvetia-pass-035</x:v>
      </x:c>
      <x:c r="B226" s="8" t="str">
        <x:v>helvetia_pdf</x:v>
      </x:c>
      <x:c r="C226" s="8" t="str">
        <x:v>data/raw/pdfs/assistance-sti.pdf</x:v>
      </x:c>
      <x:c r="D226" s="8" t="str">
        <x:v>assistance-sti</x:v>
      </x:c>
      <x:c r="E226" s="8" t="n">
        <x:v>3</x:v>
      </x:c>
      <x:c r="F226" s="10" t="str">
        <x:v>According to assistance-sti.pdf, what provision is stated in the supplied policy context?</x:v>
      </x:c>
      <x:c r="G226" s="10" t="str">
        <x:v>a Swiss Insurance Company Ltd. STI Helvetia private customers insurance, Assistance – September 2025 edition Cancellation costs Insured events Do you want to know how you are insured? Your insurance coverage is listed in your policy as you requested and applies solely to private individuals. A1 Illness, accidents and death a) suf fered by the insured person b) suf fered by an accompanying traveller booked simultaneously c) suf fered by a person close to the insured person or accom panying traveller d) suf fered by the deputy at the workplace If one of the persons listed here dies, falls ill, suffers from pregnancy related problems or has an accident, and is not able to commence the journey or holiday on doctorʼs orders, or if the attending physician certifies that the person has experienced a deterioration of an existing chronic ailment. A2 Loss of employment If, following the booking of the holiday or travel service, the employ ment contract of the insured person or the simultaneously booked accompanying traveller is unexpectedly terminated. A3 Failure and delays If, either before beginning a journey or while en route to the point of departure of a booked trip, the insured person experiences one of the following events: a) failure or delay of public transport or means of transportation; b) the vehicle or taxi used for transportation cannot be driven (is unroadworthy) due to breakdown, accident, theft, fire or natural forces. A4 Burglary , events related to fire, water events or natural forces at the place of residence If the property of the insured person at their place of residence or second home is severely damaged as a result of burglary, fire, water or natural forces, thus requiring their presence during the planned trip. A5 Events during a journey or at the final destination If, as confirmed by an official body (primarily the Federal Department of Foreign Affairs and th</x:v>
      </x:c>
      <x:c r="H226" s="10" t="str">
        <x:v>A2 Loss of employment If, following the booking of the holiday or travel service, the employ ment contract of the insured person or the simultaneously booked accompanying traveller is unexpectedly terminated.</x:v>
      </x:c>
      <x:c r="I226" s="8" t="str">
        <x:v>travel_assistance</x:v>
      </x:c>
      <x:c r="J226" s="8" t="str">
        <x:v>CALIBRATION</x:v>
      </x:c>
      <x:c r="K226" s="10" t="str"/>
      <x:c r="L226" s="12" t="str"/>
      <x:c r="M226" s="12" t="str"/>
      <x:c r="N226" s="12" t="str"/>
      <x:c r="O226" s="12" t="str"/>
      <x:c r="P226" s="12" t="str"/>
    </x:row>
    <x:row r="227">
      <x:c r="A227" s="8" t="str">
        <x:v>ext-helvetia-pass-036</x:v>
      </x:c>
      <x:c r="B227" s="8" t="str">
        <x:v>helvetia_pdf</x:v>
      </x:c>
      <x:c r="C227" s="8" t="str">
        <x:v>data/raw/pdfs/brochure-household-contents-and-private-liability.pdf</x:v>
      </x:c>
      <x:c r="D227" s="8" t="str">
        <x:v>brochure-household-contents-and-private-liability</x:v>
      </x:c>
      <x:c r="E227" s="8" t="n">
        <x:v>3</x:v>
      </x:c>
      <x:c r="F227" s="10" t="str">
        <x:v>According to brochure-household-contents-and-private-liability.pdf, what provision is stated in the supplied policy context?</x:v>
      </x:c>
      <x:c r="G227" s="10" t="str">
        <x:v>Scope of the insurance cover Household contents includes all movables (such as clothes, furniture, consumer electronics, pets, etc.) required for living and recreation. Insured persons All persons permanently residing in the same household as the policyholder. Insured risks • Fire and natural forces • Theft and robbery • Damage and destruction of all kinds due to external causes Insured benefit New for old replacement price for an identical or equivalent household item at the time of the damage. Geographical scope of the policy • At home in Switzerland and the Principality of Liechtenstein • Worldwide for trips and excursions of up to one year’s duration Tailor the policy to your needs • Cover garden areas against fire/ natural forces • Cover for losses resulting from Internet use (cyber risks) • Earthquake insurance • Various all-risks insurances for everyday items (e.g. sports equipment, cameras, mobile phones, etc.) • Theft Plus insurance • Cover for necessary follow-up costs (e.g. clean-up costs) • Cover for damage and destruction of special valuables (e.g. jewellery, antiques, collections, etc.) Helvetia household insurance protects everything you love and value. Helvetia customer portal Your insurance at a glance. helvetia.ch/customer-portal Household contents and private liability insurance 3/8</x:v>
      </x:c>
      <x:c r="H227" s="10" t="str">
        <x:v>Damage and destruction of all kinds due to external causes Insured benefit New for old replacement price for an identical or equivalent household item at the time of the damage.</x:v>
      </x:c>
      <x:c r="I227" s="8" t="str">
        <x:v>household</x:v>
      </x:c>
      <x:c r="J227" s="8" t="str">
        <x:v>LOCKED_HOLDOUT_CANDIDATE</x:v>
      </x:c>
      <x:c r="K227" s="10" t="str"/>
      <x:c r="L227" s="12" t="str"/>
      <x:c r="M227" s="12" t="str"/>
      <x:c r="N227" s="12" t="str"/>
      <x:c r="O227" s="12" t="str"/>
      <x:c r="P227" s="12" t="str"/>
    </x:row>
    <x:row r="228">
      <x:c r="A228" s="8" t="str">
        <x:v>ext-helvetia-pass-037</x:v>
      </x:c>
      <x:c r="B228" s="8" t="str">
        <x:v>helvetia_pdf</x:v>
      </x:c>
      <x:c r="C228" s="8" t="str">
        <x:v>data/raw/pdfs/brochure-services.pdf</x:v>
      </x:c>
      <x:c r="D228" s="8" t="str">
        <x:v>brochure-services</x:v>
      </x:c>
      <x:c r="E228" s="8" t="n">
        <x:v>3</x:v>
      </x:c>
      <x:c r="F228" s="10" t="str">
        <x:v>According to brochure-services.pdf, what provision is stated in the supplied policy context?</x:v>
      </x:c>
      <x:c r="G228" s="10" t="str">
        <x:v>Innovative, customer-focused, there for you. Waiver of premiums In the event of earning disability, you will benefit from a waiver of insurance premiums until the agreed end of the contract. However, you will continue to benefit from insurance cover. Locksmith service If access to your owner-occupied residential premises is not possible due to a sudden and unforeseen event and no other proportionate measures can reasonably be expected to be taken, Helvetia will organize a tradesman to provide access. Card blocking service At your request, we can block lost credit and debit cards as well as SIM cards. Home Assistance Home Assistance includes: • Tradesman service • Organization of construction management • Removal of wasps’, hornets’ and bees’ nests • Immediate measures in the event of a technical defect • Organization of a security service Psychological follow-up support We will pay the cost of psychological support provided by a qualified doctor, psychologist or psychiatrist after an insured event. Waiver of gross negligence</x:v>
      </x:c>
      <x:c r="H228" s="10" t="str">
        <x:v>Waiver of premiums In the event of earning disability, you will benefit from a waiver of insurance premiums until the agreed end of the contract.</x:v>
      </x:c>
      <x:c r="I228" s="8" t="str">
        <x:v>health</x:v>
      </x:c>
      <x:c r="J228" s="8" t="str">
        <x:v>LOCKED_HOLDOUT_CANDIDATE</x:v>
      </x:c>
      <x:c r="K228" s="10" t="str"/>
      <x:c r="L228" s="12" t="str"/>
      <x:c r="M228" s="12" t="str"/>
      <x:c r="N228" s="12" t="str"/>
      <x:c r="O228" s="12" t="str"/>
      <x:c r="P228" s="12" t="str"/>
    </x:row>
    <x:row r="229">
      <x:c r="A229" s="8" t="str">
        <x:v>ext-helvetia-pass-038</x:v>
      </x:c>
      <x:c r="B229" s="8" t="str">
        <x:v>helvetia_pdf</x:v>
      </x:c>
      <x:c r="C229" s="8" t="str">
        <x:v>data/raw/pdfs/buildings-insurance-sti.pdf</x:v>
      </x:c>
      <x:c r="D229" s="8" t="str">
        <x:v>buildings-insurance-sti</x:v>
      </x:c>
      <x:c r="E229" s="8" t="n">
        <x:v>3</x:v>
      </x:c>
      <x:c r="F229" s="10" t="str">
        <x:v>According to buildings-insurance-sti.pdf, what provision is stated in the supplied policy context?</x:v>
      </x:c>
      <x:c r="G229" s="10" t="str">
        <x:v>nsured according to policy Insured if specified in the policy Sum insured according to policy Sum insured according to policy Sum insured according to policy Insured if specified in the policy CHF 2ʼ000 Sum insured according to policy Sum insured according to policy Sum insured according to policy CHF 5ʼ000 CHF 5ʼ000 CHF 5ʼ000 CHF 5ʼ000 CHF 5ʼ000 CHF 5ʼ000 Sum insured according to policy Sum insured according to policy CHF 1ʼ000 for theft without use of force Sum insured according to policy CHF 5ʼ000 CHF 5ʼ000 CHF 5ʼ000 Sum insured according to policy Sum insured according to policy Sum insured according to policy Sum insured according to policy Sum insured according to policy Sum insured according to policy Sum insured according to policy Building property insurance The insurance covers Fire Do you want to know what you are covered for? The coverage and sums insured of the insurance you required are listed in your policy. The explanation of terms must be used additionally to determine the insurance coverage. Underinsurance Destruction, damage or loss as a result of: B1 Fire, smoke (sudden and accidental influence) and water used to extinguish fire; B2 Lightning and overvoltage; B3 Explosion, detonation and implosion; B4 Crash-landings or emergency landings of aircraft, spacecraft or parts thereof, meteorites and other celestial bodies; B5 Pressure waves emitted by aircraft flying at supersonic speeds; B6 Scorch and smoulder damage. A1 Building ■ Sum insured according to policy A2 Supplementary insurance coverage for cantonal buildings insurance Insured if specified in the policy A3 Parts of the building not insured by cantonal buildings insurance ■ Sum insured according to policy A4 Costs for locating, exposing and repairing pipes A4.1 Costs for locating,</x:v>
      </x:c>
      <x:c r="H229" s="10" t="str">
        <x:v>The coverage and sums insured of the insurance you required are listed in your policy.</x:v>
      </x:c>
      <x:c r="I229" s="8" t="str">
        <x:v>general_insurance</x:v>
      </x:c>
      <x:c r="J229" s="8" t="str">
        <x:v>CALIBRATION</x:v>
      </x:c>
      <x:c r="K229" s="10" t="str"/>
      <x:c r="L229" s="12" t="str"/>
      <x:c r="M229" s="12" t="str"/>
      <x:c r="N229" s="12" t="str"/>
      <x:c r="O229" s="12" t="str"/>
      <x:c r="P229" s="12" t="str"/>
    </x:row>
    <x:row r="230">
      <x:c r="A230" s="8" t="str">
        <x:v>ext-helvetia-pass-039</x:v>
      </x:c>
      <x:c r="B230" s="8" t="str">
        <x:v>helvetia_pdf</x:v>
      </x:c>
      <x:c r="C230" s="8" t="str">
        <x:v>data/raw/pdfs/household-contents-private-liability-sti.pdf</x:v>
      </x:c>
      <x:c r="D230" s="8" t="str">
        <x:v>household-contents-private-liability-sti</x:v>
      </x:c>
      <x:c r="E230" s="8" t="n">
        <x:v>3</x:v>
      </x:c>
      <x:c r="F230" s="10" t="str">
        <x:v>According to household-contents-private-liability-sti.pdf, what provision is stated in the supplied policy context?</x:v>
      </x:c>
      <x:c r="G230" s="10" t="str">
        <x:v>Natural forces Theft Liquids and gas Household contents all risks Destruction, damage or loss as a result of C1 flooding and inundation; C2 storms (wind of 75 km / h or more that uproots trees or takes the roofs of f buildings in the vicinity of the insured property); C3 hail; C4 avalanches; C5 snow pressure; C6 rockslides and rock impacts; C7 land slides. Damage conclusively proven by physical traces, witnesses or circumstances to have been caused by D1 burglary: theft by criminals who enter a building or a room of a building by force or break into a container in the room. Burglary also includes: ■ Theft by opening the doors with the correct keys or codes is deemed to be burglary , provided that the perpetrator obtained the keys or codes by means of burglary or robbery; ■ Breaking open of garden sheds, allotment sheds and apiaries. In the case of attempted burglary and burglary on the owner-inhabited premises at the insured location, compensation will also be paid for the resultant building damage within the scope of the insured sum for household contents; D2 robbery: theft under threat or use of violence against persons as well as theft from persons unable to resist as a result of death, unconsciousness or accident. The insurance also covers snatch theft. It does not include pickpocketing and confidence tricks; D3 vandalism: damage caused through mali cious intent during a burglary or robbery , even if th</x:v>
      </x:c>
      <x:c r="H230" s="10" t="str">
        <x:v>Damage conclusively proven by physical traces, witnesses or circumstances to have been caused by D1 burglary: theft by criminals who enter a building or a room of a building by force or break into a container in the room.</x:v>
      </x:c>
      <x:c r="I230" s="8" t="str">
        <x:v>household</x:v>
      </x:c>
      <x:c r="J230" s="8" t="str">
        <x:v>LOCKED_HOLDOUT_CANDIDATE</x:v>
      </x:c>
      <x:c r="K230" s="10" t="str"/>
      <x:c r="L230" s="12" t="str"/>
      <x:c r="M230" s="12" t="str"/>
      <x:c r="N230" s="12" t="str"/>
      <x:c r="O230" s="12" t="str"/>
      <x:c r="P230" s="12" t="str"/>
    </x:row>
    <x:row r="231">
      <x:c r="A231" s="8" t="str">
        <x:v>ext-helvetia-pass-040</x:v>
      </x:c>
      <x:c r="B231" s="8" t="str">
        <x:v>helvetia_pdf</x:v>
      </x:c>
      <x:c r="C231" s="8" t="str">
        <x:v>data/raw/pdfs/legal-protection-sti.pdf</x:v>
      </x:c>
      <x:c r="D231" s="8" t="str">
        <x:v>legal-protection-sti</x:v>
      </x:c>
      <x:c r="E231" s="8" t="n">
        <x:v>3</x:v>
      </x:c>
      <x:c r="F231" s="10" t="str">
        <x:v>According to legal-protection-sti.pdf, what provision is stated in the supplied policy context?</x:v>
      </x:c>
      <x:c r="G231" s="10" t="str">
        <x:v>Personal legal protection Traffic legal protection Unless listed separately in the STI, the policy does not cover claims B1 The protection of the legal interests of the insured person by the insurer; B2 Payment of: ■ the cost of lawyers engaged on the insured person’s behalf; ■ the cost of mediators engaged on the insured person’s behalf; ■ the cost of experts; ■ procedural and court costs to be borne by the insured person, incl. clerical and judgement fees; ■ any compensation awarded to the counterparty; ■ any bail paid in order to avoid detention while awaiting trial. This benefit is paid in the form of an advance only and must be repaid to the insurer by the insured person; ■ travel expenses incurred as a result of being required to appear before a foreign court of law; ■ translation costs; B3 The insured person must return any court or prevailingparty costs awarded to him/ her to Coop Rechtsschutz up to the amount of the benefits paid. C1 The protection of the legal interests of the insured person by the insurer; C2 Payment of: ■ the cost of lawyers engaged on the insured person’s behalf; ■ the cost of mediators engaged on the insured person’s behalf; ■ the cost of experts; ■ procedural and court costs to be borne by the insured person, incl. clerical and judgement fees; ■ any compensation awarded to the counterparty; ■ any bail paid in order to avoid detention while awaiting trial. This benefit is </x:v>
      </x:c>
      <x:c r="H231" s="10" t="str">
        <x:v>clerical and judgement fees; ■ any compensation awarded to the counterparty; ■ any bail paid in order to avoid detention while awaiting trial.</x:v>
      </x:c>
      <x:c r="I231" s="8" t="str">
        <x:v>legal_protection</x:v>
      </x:c>
      <x:c r="J231" s="8" t="str">
        <x:v>CALIBRATION</x:v>
      </x:c>
      <x:c r="K231" s="10" t="str"/>
      <x:c r="L231" s="12" t="str"/>
      <x:c r="M231" s="12" t="str"/>
      <x:c r="N231" s="12" t="str"/>
      <x:c r="O231" s="12" t="str"/>
      <x:c r="P231" s="12" t="str"/>
    </x:row>
    <x:row r="232">
      <x:c r="A232" s="8" t="str">
        <x:v>ext-helvetia-pass-041</x:v>
      </x:c>
      <x:c r="B232" s="8" t="str">
        <x:v>helvetia_pdf</x:v>
      </x:c>
      <x:c r="C232" s="8" t="str">
        <x:v>data/raw/pdfs/motor-vehicle-insurance-product-sheet.pdf</x:v>
      </x:c>
      <x:c r="D232" s="8" t="str">
        <x:v>motor-vehicle-insurance-product-sheet</x:v>
      </x:c>
      <x:c r="E232" s="8" t="n">
        <x:v>2</x:v>
      </x:c>
      <x:c r="F232" s="10" t="str">
        <x:v>According to motor-vehicle-insurance-product-sheet.pdf, what provision is stated in the supplied policy context?</x:v>
      </x:c>
      <x:c r="G232"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32" s="10" t="str">
        <x:v>Injury or death of persons and animals Helvetia customer portal Your insurance at a glance. [motor-vehicle-insurance-product-sheet.pdf, page 2]</x:v>
      </x:c>
      <x:c r="I232" s="8" t="str">
        <x:v>motor</x:v>
      </x:c>
      <x:c r="J232" s="8" t="str">
        <x:v>VALIDATION</x:v>
      </x:c>
      <x:c r="K232" s="10" t="str"/>
      <x:c r="L232" s="12" t="str"/>
      <x:c r="M232" s="12" t="str"/>
      <x:c r="N232" s="12" t="str"/>
      <x:c r="O232" s="12" t="str"/>
      <x:c r="P232" s="12" t="str"/>
    </x:row>
    <x:row r="233">
      <x:c r="A233" s="8" t="str">
        <x:v>ext-helvetia-pass-042</x:v>
      </x:c>
      <x:c r="B233" s="8" t="str">
        <x:v>helvetia_pdf</x:v>
      </x:c>
      <x:c r="C233" s="8" t="str">
        <x:v>data/raw/pdfs/motor-vehicle-insurance-sti.pdf</x:v>
      </x:c>
      <x:c r="D233" s="8" t="str">
        <x:v>motor-vehicle-insurance-sti</x:v>
      </x:c>
      <x:c r="E233" s="8" t="n">
        <x:v>4</x:v>
      </x:c>
      <x:c r="F233" s="10" t="str">
        <x:v>According to motor-vehicle-insurance-sti.pdf, what provision is stated in the supplied policy context?</x:v>
      </x:c>
      <x:c r="G233"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x:v>
      </x:c>
      <x:c r="H233" s="10" t="str">
        <x:v>Alban-Anlage 26 CH-4002 Basel or Coop Rechtsschutz AG Entfelderstrasse 2 CH-5000 Aarau In the course of concluding and executing the contract, Helvetia Swiss Insurance Company Ltd is entitled to act on behalf of the other contracting parties (e. [motor-vehicle-insurance-sti.pdf, page 4]</x:v>
      </x:c>
      <x:c r="I233" s="8" t="str">
        <x:v>motor</x:v>
      </x:c>
      <x:c r="J233" s="8" t="str">
        <x:v>LOCKED_HOLDOUT_CANDIDATE</x:v>
      </x:c>
      <x:c r="K233" s="10" t="str"/>
      <x:c r="L233" s="12" t="str"/>
      <x:c r="M233" s="12" t="str"/>
      <x:c r="N233" s="12" t="str"/>
      <x:c r="O233" s="12" t="str"/>
      <x:c r="P233" s="12" t="str"/>
    </x:row>
    <x:row r="234">
      <x:c r="A234" s="8" t="str">
        <x:v>ext-helvetia-pass-043</x:v>
      </x:c>
      <x:c r="B234" s="8" t="str">
        <x:v>helvetia_pdf</x:v>
      </x:c>
      <x:c r="C234" s="8" t="str">
        <x:v>data/raw/pdfs/mutual-provisions-pkv.pdf</x:v>
      </x:c>
      <x:c r="D234" s="8" t="str">
        <x:v>mutual-provisions-pkv</x:v>
      </x:c>
      <x:c r="E234" s="8" t="n">
        <x:v>2</x:v>
      </x:c>
      <x:c r="F234" s="10" t="str">
        <x:v>According to mutual-provisions-pkv.pdf, what provision is stated in the supplied policy context?</x:v>
      </x:c>
      <x:c r="G234" s="10" t="str">
        <x:v>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the Federal Law on Insurance Supervision (ISL) and the Private Insurer Supervision Ordinance. Please send all communication in writing or any other text form addressed to Helvetia to the General Agency stated in the policy or to our head office. We would like to thank you for the trust your have placed in Helvetia Insurance. Sincerely, Helvetia Insurance Foreword The original German wording governs the legal interpretation of your policy. 2/17 | Helvetia Swiss Insurance Company Ltd. STI Helvetia private customers insurance, Mutual provisions – September 2025 edition</x:v>
      </x:c>
      <x:c r="H234" s="10" t="str">
        <x:v>Your insurance contract comprises the text in your policy, the Standard Terms of Insurance and the mutual provisions that apply. [mutual-provisions-pkv.pdf, page 2]</x:v>
      </x:c>
      <x:c r="I234" s="8" t="str">
        <x:v>general_insurance</x:v>
      </x:c>
      <x:c r="J234" s="8" t="str">
        <x:v>CALIBRATION</x:v>
      </x:c>
      <x:c r="K234" s="10" t="str"/>
      <x:c r="L234" s="12" t="str"/>
      <x:c r="M234" s="12" t="str"/>
      <x:c r="N234" s="12" t="str"/>
      <x:c r="O234" s="12" t="str"/>
      <x:c r="P234" s="12" t="str"/>
    </x:row>
    <x:row r="235">
      <x:c r="A235" s="8" t="str">
        <x:v>ext-helvetia-pass-044</x:v>
      </x:c>
      <x:c r="B235" s="8" t="str">
        <x:v>helvetia_pdf</x:v>
      </x:c>
      <x:c r="C235" s="8" t="str">
        <x:v>data/raw/pdfs/rental-guarantee-insurance-sti.pdf</x:v>
      </x:c>
      <x:c r="D235" s="8" t="str">
        <x:v>rental-guarantee-insurance-sti</x:v>
      </x:c>
      <x:c r="E235" s="8" t="n">
        <x:v>3</x:v>
      </x:c>
      <x:c r="F235" s="10" t="str">
        <x:v>According to rental-guarantee-insurance-sti.pdf, what provision is stated in the supplied policy context?</x:v>
      </x:c>
      <x:c r="G235"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x:v>
      </x:c>
      <x:c r="H235" s="10" t="str">
        <x:v>The Swiss Federal Law on Insurance Contracts also applies. [rental-guarantee-insurance-sti.pdf, page 3]</x:v>
      </x:c>
      <x:c r="I235" s="8" t="str">
        <x:v>rental_guarantee</x:v>
      </x:c>
      <x:c r="J235" s="8" t="str">
        <x:v>LOCKED_HOLDOUT_CANDIDATE</x:v>
      </x:c>
      <x:c r="K235" s="10" t="str"/>
      <x:c r="L235" s="12" t="str"/>
      <x:c r="M235" s="12" t="str"/>
      <x:c r="N235" s="12" t="str"/>
      <x:c r="O235" s="12" t="str"/>
      <x:c r="P235" s="12" t="str"/>
    </x:row>
    <x:row r="236">
      <x:c r="A236" s="8" t="str">
        <x:v>ext-helvetia-pass-045</x:v>
      </x:c>
      <x:c r="B236" s="8" t="str">
        <x:v>helvetia_pdf</x:v>
      </x:c>
      <x:c r="C236" s="8" t="str">
        <x:v>data/raw/pdfs/assistance-brochure.pdf</x:v>
      </x:c>
      <x:c r="D236" s="8" t="str">
        <x:v>assistance-brochure</x:v>
      </x:c>
      <x:c r="E236" s="8" t="n">
        <x:v>4</x:v>
      </x:c>
      <x:c r="F236" s="10" t="str">
        <x:v>According to assistance-brochure.pdf, what provision is stated in the supplied policy context?</x:v>
      </x:c>
      <x:c r="G236" s="10" t="str">
        <x:v>Cancellation cost insurance and Assistance for persons. Cancellation cost insurance covers you for unforeseen events occurring before your departure that make it impossible for you to set off on your journey. Assistance for persons provides insurance to cover you if anything happens while you're travelling. Insured events • Illness, accident or death • Loss of employment • Breakdown/delay of public transport • Breakdown of the vehicle or taxi you are travelling in • Damage to your property at home • Incidents occurring en route to or after arrival at your destination (e.g. strikes, terrorism, volcanic eruption or other natural events) • Grounding, strike or bankruptcy of your airline or tour operator Insured benefits We will cover the cost if you have to cancel, abort or extend your trip. Pre-departure benefits • Cancellation costs, incl. administration fees • Additional travel expenses in th</x:v>
      </x:c>
      <x:c r="H236" s="10" t="str">
        <x:v>Cancellation cost insurance and Assistance for persons. [assistance-brochure.pdf, page 4]</x:v>
      </x:c>
      <x:c r="I236" s="8" t="str">
        <x:v>travel_assistance</x:v>
      </x:c>
      <x:c r="J236" s="8" t="str">
        <x:v>CALIBRATION</x:v>
      </x:c>
      <x:c r="K236" s="10" t="str"/>
      <x:c r="L236" s="12" t="str"/>
      <x:c r="M236" s="12" t="str"/>
      <x:c r="N236" s="12" t="str"/>
      <x:c r="O236" s="12" t="str"/>
      <x:c r="P236" s="12" t="str"/>
    </x:row>
    <x:row r="237">
      <x:c r="A237" s="8" t="str">
        <x:v>ext-helvetia-pass-046</x:v>
      </x:c>
      <x:c r="B237" s="8" t="str">
        <x:v>helvetia_pdf</x:v>
      </x:c>
      <x:c r="C237" s="8" t="str">
        <x:v>data/raw/pdfs/assistance-sti.pdf</x:v>
      </x:c>
      <x:c r="D237" s="8" t="str">
        <x:v>assistance-sti</x:v>
      </x:c>
      <x:c r="E237" s="8" t="n">
        <x:v>3</x:v>
      </x:c>
      <x:c r="F237" s="10" t="str">
        <x:v>According to assistance-sti.pdf, what provision is stated in the supplied policy context?</x:v>
      </x:c>
      <x:c r="G237" s="10" t="str">
        <x:v>s listed in your policy as you requested and applies solely to private individuals. A1 Illness, accidents and death a) suf fered by the insured person b) suf fered by an accompanying traveller booked simultaneously c) suf fered by a person close to the insured person or accom panying traveller d) suf fered by the deputy at the workplace If one of the persons listed here dies, falls ill, suffers from pregnancy related problems or has an accident, and is not able to commence the journey or holiday on doctorʼs orders, or if the attending physician certifies that the person has experienced a deterioration of an existing chronic ailment. A2 Loss of employment If, following the booking of the holiday or travel service, the employ ment contract of the insured person or the simultaneously booked accompanying traveller is unexpectedly terminated. A3 Failure and delays If, either before beginning a journey or while en route to the point of departure of a booked trip, the insured person experiences one of the following events: a) failure or delay of public transport or means of transportation; b) the vehicle or taxi used for transportation cannot be driven (is unroadworthy) due to breakdown, accident, theft, fire or natural forces. A4 Burglary , events related to fire, water events or natural forces at the place of residence If the property of the insured person at their place of residence or second home is severely damaged as a result of burglary, fire, water or natural forces, thus requiring their presence during the planned trip. A5 Events during a journey or at the final destination If, as confirmed by an official body (primarily the Federal Department of Foreign Affairs and the Federal Office of Public Health), the insured person cannot begin the journey or holiday due to strike, fire, water, natural forces, snowfall, avalanche, earthquake, volcanic eruption, destruction caused by a tsunami or hurricane, quarantine, epidemic, radioactive radiation, acts of war, terrorism, revolution, rebellion, civil commotion or insurrection. A6 Theft of documents If credit c</x:v>
      </x:c>
      <x:c r="H237" s="10" t="str">
        <x:v>A3 Failure and delays If, either before beginning a journey or while en route to the point of departure of a booked trip, the insured person experiences one of the following events: a) failure or delay of public transport or means of transportation; b) the vehicle or taxi used for transportation cannot be driven (is unroadworthy) due to breakdown, accident, theft, fire or natural forces. [assistance-sti.pdf, page 3]</x:v>
      </x:c>
      <x:c r="I237" s="8" t="str">
        <x:v>motor</x:v>
      </x:c>
      <x:c r="J237" s="8" t="str">
        <x:v>CALIBRATION</x:v>
      </x:c>
      <x:c r="K237" s="10" t="str"/>
      <x:c r="L237" s="12" t="str"/>
      <x:c r="M237" s="12" t="str"/>
      <x:c r="N237" s="12" t="str"/>
      <x:c r="O237" s="12" t="str"/>
      <x:c r="P237" s="12" t="str"/>
    </x:row>
    <x:row r="238">
      <x:c r="A238" s="8" t="str">
        <x:v>ext-helvetia-pass-047</x:v>
      </x:c>
      <x:c r="B238" s="8" t="str">
        <x:v>helvetia_pdf</x:v>
      </x:c>
      <x:c r="C238" s="8" t="str">
        <x:v>data/raw/pdfs/brochure-household-contents-and-private-liability.pdf</x:v>
      </x:c>
      <x:c r="D238" s="8" t="str">
        <x:v>brochure-household-contents-and-private-liability</x:v>
      </x:c>
      <x:c r="E238" s="8" t="n">
        <x:v>3</x:v>
      </x:c>
      <x:c r="F238" s="10" t="str">
        <x:v>According to brochure-household-contents-and-private-liability.pdf, what provision is stated in the supplied policy context?</x:v>
      </x:c>
      <x:c r="G238" s="10" t="str">
        <x:v>Scope of the insurance cover Household contents includes all movables (such as clothes, furniture, consumer electronics, pets, etc.) required for living and recreation. Insured persons All persons permanently residing in the same household as the policyholder. Insured risks • Fire and natural forces • Theft and robbery • Damage and destruction of all kinds due to external causes Insured benefit New for old replacement price for an identical or equivalent household item at the time of the damage. Geographical scope of the policy • At home in Switzerland and the Principality of Liechtenstein • Worldwide for trips and excursions of up to one year’s duration Tailor the policy to your needs • Cover garden areas against fire/ natural forces • Cover for losses resulting from Internet use (cyber risks) • Earthquake insurance • Various all-risks insurances for everyday items (e.g. sports equipment, cameras, mobile phones, etc.) • Theft Plus insurance • Cover for necessary follow-up costs (e.g. clean-up costs) • Cover for damage and destruction of special valuables (e.g. jewellery, antiques, collections, etc.) Helvetia household insurance protects everything you love and value. Helvetia customer portal Your insurance at a glance. helvetia.ch/customer-portal Household contents and private liability insurance 3/8</x:v>
      </x:c>
      <x:c r="H238" s="10" t="str">
        <x:v>Cover for losses resulting from Internet use (cyber risks) [brochure-household-contents-and-private-liability.pdf, page 3]</x:v>
      </x:c>
      <x:c r="I238" s="8" t="str">
        <x:v>household</x:v>
      </x:c>
      <x:c r="J238" s="8" t="str">
        <x:v>LOCKED_HOLDOUT_CANDIDATE</x:v>
      </x:c>
      <x:c r="K238" s="10" t="str"/>
      <x:c r="L238" s="12" t="str"/>
      <x:c r="M238" s="12" t="str"/>
      <x:c r="N238" s="12" t="str"/>
      <x:c r="O238" s="12" t="str"/>
      <x:c r="P238" s="12" t="str"/>
    </x:row>
    <x:row r="239">
      <x:c r="A239" s="8" t="str">
        <x:v>ext-helvetia-pass-048</x:v>
      </x:c>
      <x:c r="B239" s="8" t="str">
        <x:v>helvetia_pdf</x:v>
      </x:c>
      <x:c r="C239" s="8" t="str">
        <x:v>data/raw/pdfs/brochure-services.pdf</x:v>
      </x:c>
      <x:c r="D239" s="8" t="str">
        <x:v>brochure-services</x:v>
      </x:c>
      <x:c r="E239" s="8" t="n">
        <x:v>3</x:v>
      </x:c>
      <x:c r="F239" s="10" t="str">
        <x:v>According to brochure-services.pdf, what provision is stated in the supplied policy context?</x:v>
      </x:c>
      <x:c r="G239" s="10" t="str">
        <x:v>Innovative, customer-focused, there for you. Waiver of premiums In the event of earning disability, you will benefit from a waiver of insurance premiums until the agreed end of the contract. However, you will continue to benefit from insurance cover. Locksmith service If access to your owner-occupied residential premises is not possible due to a sudden and unforeseen event and no other proportionate measures can reasonably be expected to be taken, Helvetia will organize a tradesman to provide access. Card blocking service At your request, we can block lost credit and debit cards as well as SIM cards. Home Assistance Home Assistance includes: • Tradesman service • Organization of construction management • Removal of wasps’, hornets’ and bees’ nests • Immediate measures in the event of a technical defect • Organization of a security service Psychological follow-up support We will pay the cost of psychological support provided by a qualified doctor, psychologist or psychiatrist after an insured event. Waiver of gross negligence Helvetia waives its right to a reduction in benefits in the</x:v>
      </x:c>
      <x:c r="H239" s="10" t="str">
        <x:v>However, you will continue to benefit from insurance cover. [brochure-services.pdf, page 3]</x:v>
      </x:c>
      <x:c r="I239" s="8" t="str">
        <x:v>general_insurance</x:v>
      </x:c>
      <x:c r="J239" s="8" t="str">
        <x:v>LOCKED_HOLDOUT_CANDIDATE</x:v>
      </x:c>
      <x:c r="K239" s="10" t="str"/>
      <x:c r="L239" s="12" t="str"/>
      <x:c r="M239" s="12" t="str"/>
      <x:c r="N239" s="12" t="str"/>
      <x:c r="O239" s="12" t="str"/>
      <x:c r="P239" s="12" t="str"/>
    </x:row>
    <x:row r="240">
      <x:c r="A240" s="8" t="str">
        <x:v>ext-helvetia-pass-049</x:v>
      </x:c>
      <x:c r="B240" s="8" t="str">
        <x:v>helvetia_pdf</x:v>
      </x:c>
      <x:c r="C240" s="8" t="str">
        <x:v>data/raw/pdfs/buildings-insurance-sti.pdf</x:v>
      </x:c>
      <x:c r="D240" s="8" t="str">
        <x:v>buildings-insurance-sti</x:v>
      </x:c>
      <x:c r="E240" s="8" t="n">
        <x:v>3</x:v>
      </x:c>
      <x:c r="F240" s="10" t="str">
        <x:v>According to buildings-insurance-sti.pdf, what provision is stated in the supplied policy context?</x:v>
      </x:c>
      <x:c r="G240" s="10" t="str">
        <x:v>policy Sum insured according to policy Sum insured according to policy Insured if specified in the policy CHF 2ʼ000 Sum insured according to policy Sum insured according to policy Sum insured according to policy CHF 5ʼ000 CHF 5ʼ000 CHF 5ʼ000 CHF 5ʼ000 CHF 5ʼ000 CHF 5ʼ000 Sum insured according to policy Sum insured according to policy CHF 1ʼ000 for theft without use of force Sum insured according to policy CHF 5ʼ000 CHF 5ʼ000 CHF 5ʼ000 Sum insured according to policy Sum insured according to policy Sum insured according to policy Sum insured according to policy Sum insured according to policy Sum insured according to policy Sum insured according to policy Building property insurance The insurance covers Fire Do you want to know what you are covered for? The coverage and sums insured of the insurance you required are listed in your policy. The explanation of terms must be used additionally to determine the insurance coverage. Underinsurance Destruction, damage or loss as a result of: B1 Fire, smoke (sudden and accidental influence) and water used to extinguish fire; B2 Lightning and overvoltage; B3 Explosion, detonation and implosion; B4 Crash-landings or emergency landings of aircraft, spacecraft or parts thereof, meteorites and other celestial bodies; B5 Pressure waves emitted by aircraft flying at supersonic speeds; B6 Scorch and smoulder damage. A1 Building ■ Sum insured according to policy A2 Supplementary insurance coverage for cantonal buildings insurance Insured if specified in the policy A3 Parts of the building not insured by cantonal buildings insurance ■ Sum insured according to policy A4 Costs for locating, exposing and repairing pipes A4.1 Costs for locating, exposing and repairing pipes related to a pipe burst A4.2 Costs for location work not r</x:v>
      </x:c>
      <x:c r="H240" s="10" t="str">
        <x:v>The explanation of terms must be used additionally to determine the insurance coverage. [buildings-insurance-sti.pdf, page 3]</x:v>
      </x:c>
      <x:c r="I240" s="8" t="str">
        <x:v>general_insurance</x:v>
      </x:c>
      <x:c r="J240" s="8" t="str">
        <x:v>CALIBRATION</x:v>
      </x:c>
      <x:c r="K240" s="10" t="str"/>
      <x:c r="L240" s="12" t="str"/>
      <x:c r="M240" s="12" t="str"/>
      <x:c r="N240" s="12" t="str"/>
      <x:c r="O240" s="12" t="str"/>
      <x:c r="P240" s="12" t="str"/>
    </x:row>
    <x:row r="241">
      <x:c r="A241" s="8" t="str">
        <x:v>ext-helvetia-pass-050</x:v>
      </x:c>
      <x:c r="B241" s="8" t="str">
        <x:v>helvetia_pdf</x:v>
      </x:c>
      <x:c r="C241" s="8" t="str">
        <x:v>data/raw/pdfs/household-contents-private-liability-sti.pdf</x:v>
      </x:c>
      <x:c r="D241" s="8" t="str">
        <x:v>household-contents-private-liability-sti</x:v>
      </x:c>
      <x:c r="E241" s="8" t="n">
        <x:v>3</x:v>
      </x:c>
      <x:c r="F241" s="10" t="str">
        <x:v>According to household-contents-private-liability-sti.pdf, what provision is stated in the supplied policy context?</x:v>
      </x:c>
      <x:c r="G241" s="10" t="str">
        <x:v>Natural forces Theft Liquids and gas Household contents all risks Destruction, damage or loss as a result of C1 flooding and inundation; C2 storms (wind of 75 km / h or more that uproots trees or takes the roofs of f buildings in the vicinity of the insured property); C3 hail; C4 avalanches; C5 snow pressure; C6 rockslides and rock impacts; C7 land slides. Damage conclusively proven by physical traces, witnesses or circumstances to have been caused by D1 burglary: theft by criminals who enter a building or a room of a building by force or break into a container in the room. Burglary also includes: ■ Theft by opening the doors with the correct keys or codes is deemed to be burglary , provided that the perpetrator obtained the keys or codes by means of burglary or robbery; ■ Breaking open of garden sheds, allotment sheds and apiaries. In the case of attempted burglary and burglary on the owner-inhabited premises at the insured location, compensation will also be paid for the resultant building damage within the scope of the insured sum for household contents; D2 robbery: theft under threat or use of violence against persons as well as theft from persons unable to resist as a result of death, unconsciousness or accident. The insurance also covers snatch theft. It does not include pickpocketing and confidence tricks; D3 vandalism: damage caused through mali cious intent during a burglary or robbery , even if there was no theft, or in an attempt thereto; D4 simple theft, i.e. theft that is not deemed to be burglary or robbery , including pickpocketing and confidence tricks. Destruction, damage or loss as a result of E1 leakage of liq uids and gas: a) from pipelines or connected installations or apparatus; b) from decorative fountains, aquaria waterbeds, pools, liquids from humidifiers; c) and resulting od our absorption as well as loss of liquids or gases; E2 water conden sation which has escaped from refrigeration systems or appliances; E3 penetration of rain and melting snow into the building through the roof, from roof gutters or from outdoor drain pipe</x:v>
      </x:c>
      <x:c r="H241" s="10" t="str">
        <x:v>In the case of attempted burglary and burglary on the owner-inhabited premises at the insured location, compensation will also be paid for the resultant building damage within the scope of the insured sum for household contents; D2 robbery: theft under threat or use of violence against persons as well as theft from persons unable to resist as a result of death, unconsciousness or accident. [household-contents-private-liability-sti.pdf, page 3]</x:v>
      </x:c>
      <x:c r="I241" s="8" t="str">
        <x:v>household</x:v>
      </x:c>
      <x:c r="J241" s="8" t="str">
        <x:v>LOCKED_HOLDOUT_CANDIDATE</x:v>
      </x:c>
      <x:c r="K241" s="10" t="str"/>
      <x:c r="L241" s="12" t="str"/>
      <x:c r="M241" s="12" t="str"/>
      <x:c r="N241" s="12" t="str"/>
      <x:c r="O241" s="12" t="str"/>
      <x:c r="P241" s="12" t="str"/>
    </x:row>
    <x:row r="242">
      <x:c r="A242" s="8" t="str">
        <x:v>ext-helvetia-pass-051</x:v>
      </x:c>
      <x:c r="B242" s="8" t="str">
        <x:v>helvetia_pdf</x:v>
      </x:c>
      <x:c r="C242" s="8" t="str">
        <x:v>data/raw/pdfs/legal-protection-sti.pdf</x:v>
      </x:c>
      <x:c r="D242" s="8" t="str">
        <x:v>legal-protection-sti</x:v>
      </x:c>
      <x:c r="E242" s="8" t="n">
        <x:v>3</x:v>
      </x:c>
      <x:c r="F242" s="10" t="str">
        <x:v>According to legal-protection-sti.pdf, what provision is stated in the supplied policy context?</x:v>
      </x:c>
      <x:c r="G242" s="10" t="str">
        <x:v>Personal legal protection Traffic legal protection Unless listed separately in the STI, the policy does not cover claims B1 The protection of the legal interests of the insured person by the insurer; B2 Payment of: ■ the cost of lawyers engaged on the insured person’s behalf; ■ the cost of mediators engaged on the insured person’s behalf; ■ the cost of experts; ■ procedural and court costs to be borne by the insured person, incl. clerical and judgement fees; ■ any compensation awarded to the counterparty; ■ any bail paid in order to avoid detention while awaiting trial. This benefit is paid in the form of an advance only and must be repaid to the insurer by the insured person; ■ travel expenses incurred as a result of being required to appear before a foreign court of law; ■ translation costs; B3 The insured person must return any court or prevailingparty costs awarded to him/ her to Coop Rechtsschutz up to the amount of the benefits paid. C1 The protection of the legal interests of the insured person by the insurer; C2 Payment of: ■ the cost of lawyers engaged on the insured person’s behalf; ■ the cost of mediators engaged on the insured person’s behalf; ■ the cost of experts; ■ procedural and court costs to be borne by the insured person, incl. clerical and judgement fees; ■ any compensation awarded to the counterparty; ■ any bail paid in order to avoid detention while awaiting trial. This benefit is paid in the form of an advance only and must be repaid to the insurer by the insured person; ■ travel expenses incurred as a result of being required to appear before a foreign court of law; ■ translation costs; C3 The insured person must return any court or prevailing-party costs awarded to him/her to Coop Rechtsschutz up to the amount of the benefits paid. A8 relating to a</x:v>
      </x:c>
      <x:c r="H242" s="10" t="str">
        <x:v>This benefit is paid in the form of an advance only and must be repaid to the insurer by the insured person; ■ travel expenses incurred as a result of being required to appear before a foreign court of law; ■ translation costs; B3 The insured person must return any court or prevailingparty costs awarded to him/ her to Coop Rechtsschutz up to the amount of the benefits paid. [legal-protection-sti.pdf, page 3]</x:v>
      </x:c>
      <x:c r="I242" s="8" t="str">
        <x:v>travel_assistance</x:v>
      </x:c>
      <x:c r="J242" s="8" t="str">
        <x:v>CALIBRATION</x:v>
      </x:c>
      <x:c r="K242" s="10" t="str"/>
      <x:c r="L242" s="12" t="str"/>
      <x:c r="M242" s="12" t="str"/>
      <x:c r="N242" s="12" t="str"/>
      <x:c r="O242" s="12" t="str"/>
      <x:c r="P242" s="12" t="str"/>
    </x:row>
    <x:row r="243">
      <x:c r="A243" s="8" t="str">
        <x:v>ext-helvetia-pass-052</x:v>
      </x:c>
      <x:c r="B243" s="8" t="str">
        <x:v>helvetia_pdf</x:v>
      </x:c>
      <x:c r="C243" s="8" t="str">
        <x:v>data/raw/pdfs/motor-vehicle-insurance-product-sheet.pdf</x:v>
      </x:c>
      <x:c r="D243" s="8" t="str">
        <x:v>motor-vehicle-insurance-product-sheet</x:v>
      </x:c>
      <x:c r="E243" s="8" t="n">
        <x:v>2</x:v>
      </x:c>
      <x:c r="F243" s="10" t="str">
        <x:v>According to motor-vehicle-insurance-product-sheet.pdf, what provision is stated in the supplied policy context?</x:v>
      </x:c>
      <x:c r="G243"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43" s="10" t="str">
        <x:v>helvetia.ch/customer-portal 2/8 | Helvetia car insurance [motor-vehicle-insurance-product-sheet.pdf, page 2]</x:v>
      </x:c>
      <x:c r="I243" s="8" t="str">
        <x:v>motor</x:v>
      </x:c>
      <x:c r="J243" s="8" t="str">
        <x:v>VALIDATION</x:v>
      </x:c>
      <x:c r="K243" s="10" t="str"/>
      <x:c r="L243" s="12" t="str"/>
      <x:c r="M243" s="12" t="str"/>
      <x:c r="N243" s="12" t="str"/>
      <x:c r="O243" s="12" t="str"/>
      <x:c r="P243" s="12" t="str"/>
    </x:row>
    <x:row r="244">
      <x:c r="A244" s="8" t="str">
        <x:v>ext-helvetia-pass-053</x:v>
      </x:c>
      <x:c r="B244" s="8" t="str">
        <x:v>helvetia_pdf</x:v>
      </x:c>
      <x:c r="C244" s="8" t="str">
        <x:v>data/raw/pdfs/motor-vehicle-insurance-sti.pdf</x:v>
      </x:c>
      <x:c r="D244" s="8" t="str">
        <x:v>motor-vehicle-insurance-sti</x:v>
      </x:c>
      <x:c r="E244" s="8" t="n">
        <x:v>4</x:v>
      </x:c>
      <x:c r="F244" s="10" t="str">
        <x:v>According to motor-vehicle-insurance-sti.pdf, what provision is stated in the supplied policy context?</x:v>
      </x:c>
      <x:c r="G244"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the applicant, the policyholder is obliged under Article 6 of the Insurance Policies Act to provide complete and correct answers to all the questions in the application (e. g. date of birth, previous damages / losses). If the policyholder or insured person provides an incomp</x:v>
      </x:c>
      <x:c r="H244" s="10" t="str">
        <x:v>The contractual basis comprises the application, the customer information, the Standard Terms of Insurance and, if applicable, further special conditions or supplementary provisions, and also the policy. [motor-vehicle-insurance-sti.pdf, page 4]</x:v>
      </x:c>
      <x:c r="I244" s="8" t="str">
        <x:v>motor</x:v>
      </x:c>
      <x:c r="J244" s="8" t="str">
        <x:v>LOCKED_HOLDOUT_CANDIDATE</x:v>
      </x:c>
      <x:c r="K244" s="10" t="str"/>
      <x:c r="L244" s="12" t="str"/>
      <x:c r="M244" s="12" t="str"/>
      <x:c r="N244" s="12" t="str"/>
      <x:c r="O244" s="12" t="str"/>
      <x:c r="P244" s="12" t="str"/>
    </x:row>
    <x:row r="245">
      <x:c r="A245" s="8" t="str">
        <x:v>ext-helvetia-pass-054</x:v>
      </x:c>
      <x:c r="B245" s="8" t="str">
        <x:v>helvetia_pdf</x:v>
      </x:c>
      <x:c r="C245" s="8" t="str">
        <x:v>data/raw/pdfs/mutual-provisions-pkv.pdf</x:v>
      </x:c>
      <x:c r="D245" s="8" t="str">
        <x:v>mutual-provisions-pkv</x:v>
      </x:c>
      <x:c r="E245" s="8" t="n">
        <x:v>2</x:v>
      </x:c>
      <x:c r="F245" s="10" t="str">
        <x:v>According to mutual-provisions-pkv.pdf, what provision is stated in the supplied policy context?</x:v>
      </x:c>
      <x:c r="G245" s="10" t="str">
        <x:v>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the Federal Law on Insurance Supervision (ISL) and the Private Insurer Supervision Ordinance. Please send all communication in writing or any other text form addressed to Helvetia to the General Agency stated in the policy or to our head office. We would like to thank you for the trust your have placed in Helvetia Insurance. Sincerely, Helvetia Insurance Foreword The original German wording governs the legal interpretation of your policy. 2/17 | Helvetia Swiss Insurance Company Ltd. STI Helvetia private customers insurance, Mutual provisions – September 2025 edition</x:v>
      </x:c>
      <x:c r="H245" s="10" t="str">
        <x:v>The main relevant laws are the provisions of the Swiss Civil Code (CC), the Code of Obligations (CO), the Federal Law on Insurance Contracts (LIC), the Federal Law on Insurance Supervision (ISL) and the Private Insurer Supervision Ordinance. [mutual-provisions-pkv.pdf, page 2]</x:v>
      </x:c>
      <x:c r="I245" s="8" t="str">
        <x:v>general_insurance</x:v>
      </x:c>
      <x:c r="J245" s="8" t="str">
        <x:v>CALIBRATION</x:v>
      </x:c>
      <x:c r="K245" s="10" t="str"/>
      <x:c r="L245" s="12" t="str"/>
      <x:c r="M245" s="12" t="str"/>
      <x:c r="N245" s="12" t="str"/>
      <x:c r="O245" s="12" t="str"/>
      <x:c r="P245" s="12" t="str"/>
    </x:row>
    <x:row r="246">
      <x:c r="A246" s="8" t="str">
        <x:v>ext-helvetia-pass-055</x:v>
      </x:c>
      <x:c r="B246" s="8" t="str">
        <x:v>helvetia_pdf</x:v>
      </x:c>
      <x:c r="C246" s="8" t="str">
        <x:v>data/raw/pdfs/rental-guarantee-insurance-sti.pdf</x:v>
      </x:c>
      <x:c r="D246" s="8" t="str">
        <x:v>rental-guarantee-insurance-sti</x:v>
      </x:c>
      <x:c r="E246" s="8" t="n">
        <x:v>3</x:v>
      </x:c>
      <x:c r="F246" s="10" t="str">
        <x:v>According to rental-guarantee-insurance-sti.pdf, what provision is stated in the supplied policy context?</x:v>
      </x:c>
      <x:c r="G246"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other text form on conclusion of the contract, Helvetia is entitled to terminate the contract within four weeks of becoming aware of the breach of the duty to notify. If the contract is termi nated in this manner, the obligation to pay benefi</x:v>
      </x:c>
      <x:c r="H246" s="10" t="str">
        <x:v>If the policyholder’s place of residence/registered office is the Principality of Liechtenstein, the law of Liechtenstein applies together with the provisions of the Liechtenstein Insurance Policies Act (Versicherungsvertragsgesetz, VersVG). [rental-guarantee-insurance-sti.pdf, page 3]</x:v>
      </x:c>
      <x:c r="I246" s="8" t="str">
        <x:v>rental_guarantee</x:v>
      </x:c>
      <x:c r="J246" s="8" t="str">
        <x:v>LOCKED_HOLDOUT_CANDIDATE</x:v>
      </x:c>
      <x:c r="K246" s="10" t="str"/>
      <x:c r="L246" s="12" t="str"/>
      <x:c r="M246" s="12" t="str"/>
      <x:c r="N246" s="12" t="str"/>
      <x:c r="O246" s="12" t="str"/>
      <x:c r="P246" s="12" t="str"/>
    </x:row>
    <x:row r="247">
      <x:c r="A247" s="8" t="str">
        <x:v>ext-helvetia-pass-056</x:v>
      </x:c>
      <x:c r="B247" s="8" t="str">
        <x:v>helvetia_pdf</x:v>
      </x:c>
      <x:c r="C247" s="8" t="str">
        <x:v>data/raw/pdfs/assistance-brochure.pdf</x:v>
      </x:c>
      <x:c r="D247" s="8" t="str">
        <x:v>assistance-brochure</x:v>
      </x:c>
      <x:c r="E247" s="8" t="n">
        <x:v>4</x:v>
      </x:c>
      <x:c r="F247" s="10" t="str">
        <x:v>According to assistance-brochure.pdf, what provision is stated in the supplied policy context?</x:v>
      </x:c>
      <x:c r="G247" s="10" t="str">
        <x:v>Cancellation cost insurance and Assistance for persons. Cancellation cost insurance covers you for unforeseen events occurring before your departure that make it impossible for you to set off on your journey. Assistance for persons provides insurance to cover you if anything happens while you're travelling. Insured events • Illness, accident or death • Loss of employment • Breakdown/delay of public transport • Breakdown of the vehicle or taxi you are travelling in • Damage to your property at home • Incidents occurring en route to or after arrival at your destination (e.g. strikes, terrorism, volcanic eruption or other natural events) • Grounding, strike or bankruptcy of your airline or tour operator Insured benefits We will cover the cost if you have to cancel, abort or extend your trip. Pre-departure benefits • Cancellation costs, incl. administration fees • Additional travel expenses in the event of delayed departure • Additional expenses Benefits while travelling • Call-back and transport costs • Refundable cost advance while abroad • Add</x:v>
      </x:c>
      <x:c r="H247" s="10" t="str">
        <x:v>Cancellation cost insurance covers you for unforeseen events occurring before your departure that make it impossible for you to set off on your journey. [assistance-brochure.pdf, page 4]</x:v>
      </x:c>
      <x:c r="I247" s="8" t="str">
        <x:v>travel_assistance</x:v>
      </x:c>
      <x:c r="J247" s="8" t="str">
        <x:v>CALIBRATION</x:v>
      </x:c>
      <x:c r="K247" s="10" t="str"/>
      <x:c r="L247" s="12" t="str"/>
      <x:c r="M247" s="12" t="str"/>
      <x:c r="N247" s="12" t="str"/>
      <x:c r="O247" s="12" t="str"/>
      <x:c r="P247" s="12" t="str"/>
    </x:row>
    <x:row r="248">
      <x:c r="A248" s="8" t="str">
        <x:v>ext-helvetia-pass-057</x:v>
      </x:c>
      <x:c r="B248" s="8" t="str">
        <x:v>helvetia_pdf</x:v>
      </x:c>
      <x:c r="C248" s="8" t="str">
        <x:v>data/raw/pdfs/assistance-sti.pdf</x:v>
      </x:c>
      <x:c r="D248" s="8" t="str">
        <x:v>assistance-sti</x:v>
      </x:c>
      <x:c r="E248" s="8" t="n">
        <x:v>3</x:v>
      </x:c>
      <x:c r="F248" s="10" t="str">
        <x:v>According to assistance-sti.pdf, what provision is stated in the supplied policy context?</x:v>
      </x:c>
      <x:c r="G248" s="10" t="str">
        <x:v>uffers from pregnancy related problems or has an accident, and is not able to commence the journey or holiday on doctorʼs orders, or if the attending physician certifies that the person has experienced a deterioration of an existing chronic ailment. A2 Loss of employment If, following the booking of the holiday or travel service, the employ ment contract of the insured person or the simultaneously booked accompanying traveller is unexpectedly terminated. A3 Failure and delays If, either before beginning a journey or while en route to the point of departure of a booked trip, the insured person experiences one of the following events: a) failure or delay of public transport or means of transportation; b) the vehicle or taxi used for transportation cannot be driven (is unroadworthy) due to breakdown, accident, theft, fire or natural forces. A4 Burglary , events related to fire, water events or natural forces at the place of residence If the property of the insured person at their place of residence or second home is severely damaged as a result of burglary, fire, water or natural forces, thus requiring their presence during the planned trip. A5 Events during a journey or at the final destination If, as confirmed by an official body (primarily the Federal Department of Foreign Affairs and the Federal Office of Public Health), the insured person cannot begin the journey or holiday due to strike, fire, water, natural forces, snowfall, avalanche, earthquake, volcanic eruption, destruction caused by a tsunami or hurricane, quarantine, epidemic, radioactive radiation, acts of war, terrorism, revolution, rebellion, civil commotion or insurrection. A6 Theft of documents If credit cards, cheques, identity documents or the insured personʼs personal ticket are stolen on the day before, or the day of, departure and the insured person is unable to begin the journey or holiday on time or is prevented from doing so altogether. The incident must be reported. A7 Grounding of aircraft, strike</x:v>
      </x:c>
      <x:c r="H248" s="10" t="str">
        <x:v>A4 Burglary , events related to fire, water events or natural forces at the place of residence If the property of the insured person at their place of residence or second home is severely damaged as a result of burglary, fire, water or natural forces, thus requiring their presence during the planned trip. [assistance-sti.pdf, page 3]</x:v>
      </x:c>
      <x:c r="I248" s="8" t="str">
        <x:v>household</x:v>
      </x:c>
      <x:c r="J248" s="8" t="str">
        <x:v>CALIBRATION</x:v>
      </x:c>
      <x:c r="K248" s="10" t="str"/>
      <x:c r="L248" s="12" t="str"/>
      <x:c r="M248" s="12" t="str"/>
      <x:c r="N248" s="12" t="str"/>
      <x:c r="O248" s="12" t="str"/>
      <x:c r="P248" s="12" t="str"/>
    </x:row>
    <x:row r="249">
      <x:c r="A249" s="8" t="str">
        <x:v>ext-helvetia-pass-058</x:v>
      </x:c>
      <x:c r="B249" s="8" t="str">
        <x:v>helvetia_pdf</x:v>
      </x:c>
      <x:c r="C249" s="8" t="str">
        <x:v>data/raw/pdfs/brochure-household-contents-and-private-liability.pdf</x:v>
      </x:c>
      <x:c r="D249" s="8" t="str">
        <x:v>brochure-household-contents-and-private-liability</x:v>
      </x:c>
      <x:c r="E249" s="8" t="n">
        <x:v>3</x:v>
      </x:c>
      <x:c r="F249" s="10" t="str">
        <x:v>According to brochure-household-contents-and-private-liability.pdf, what provision is stated in the supplied policy context?</x:v>
      </x:c>
      <x:c r="G249" s="10" t="str">
        <x:v> Insured persons All persons permanently residing in the same household as the policyholder. Insured risks • Fire and natural forces • Theft and robbery • Damage and destruction of all kinds due to external causes Insured benefit New for old replacement price for an identical or equivalent household item at the time of the damage. Geographical scope of the policy • At home in Switzerland and the Principality of Liechtenstein • Worldwide for trips and excursions of up to one year’s duration Tailor the policy to your needs • Cover garden areas against fire/ natural forces • Cover for losses resulting from Internet use (cyber risks) • Earthquake insurance • Various all-risks insurances for everyday items (e.g. sports equipment, cameras, mobile phones, etc.) • Theft Plus insurance • Cover for necessary follow-up costs (e.g. clean-up costs) • Cover for damage and destruction of special valuables (e.g. jewellery, antiques, collections, etc.) Helvetia household insurance protects everything you love and value. Helvetia customer portal Your insurance at a glance. helvetia.ch/customer-portal Household contents and private liability insurance 3/8</x:v>
      </x:c>
      <x:c r="H249" s="10" t="str">
        <x:v>Cover for damage and destruction of special valuables (e.g. [brochure-household-contents-and-private-liability.pdf, page 3]</x:v>
      </x:c>
      <x:c r="I249" s="8" t="str">
        <x:v>household</x:v>
      </x:c>
      <x:c r="J249" s="8" t="str">
        <x:v>LOCKED_HOLDOUT_CANDIDATE</x:v>
      </x:c>
      <x:c r="K249" s="10" t="str"/>
      <x:c r="L249" s="12" t="str"/>
      <x:c r="M249" s="12" t="str"/>
      <x:c r="N249" s="12" t="str"/>
      <x:c r="O249" s="12" t="str"/>
      <x:c r="P249" s="12" t="str"/>
    </x:row>
    <x:row r="250">
      <x:c r="A250" s="8" t="str">
        <x:v>ext-helvetia-pass-059</x:v>
      </x:c>
      <x:c r="B250" s="8" t="str">
        <x:v>helvetia_pdf</x:v>
      </x:c>
      <x:c r="C250" s="8" t="str">
        <x:v>data/raw/pdfs/brochure-services.pdf</x:v>
      </x:c>
      <x:c r="D250" s="8" t="str">
        <x:v>brochure-services</x:v>
      </x:c>
      <x:c r="E250" s="8" t="n">
        <x:v>3</x:v>
      </x:c>
      <x:c r="F250" s="10" t="str">
        <x:v>According to brochure-services.pdf, what provision is stated in the supplied policy context?</x:v>
      </x:c>
      <x:c r="G250" s="10" t="str">
        <x:v>Innovative, customer-focused, there for you. Waiver of premiums In the event of earning disability, you will benefit from a waiver of insurance premiums until the agreed end of the contract. However, you will continue to benefit from insurance cover. Locksmith service If access to your owner-occupied residential premises is not possible due to a sudden and unforeseen event and no other proportionate measures can reasonably be expected to be taken, Helvetia will organize a tradesman to provide access. Card blocking service At your request, we can block lost credit and debit cards as well as SIM cards. Home Assistance Home Assistance includes: • Tradesman service • Organization of construction management • Removal of wasps’, hornets’ and bees’ nests • Immediate measures in the event of a technical defect • Organization of a security service Psychological follow-up support We will pay the cost of psychological support provided by a qualified doctor, psychologist or psychiatrist after an insured event. Waiver of gross negligence Helvetia waives its right to a reduction in benefits in the event of grossly negligent conduct. Legal advice Legal advice for all legal disputes is provided by the independent legal service of Coop Rechtsschutz. You can easily arrange the comprehensive Helvetia Service Package in addition to your policy. 3/4 | Helvetia services – product information sheet</x:v>
      </x:c>
      <x:c r="H250" s="10" t="str">
        <x:v>Organization of a security service Psychological follow-up support We will pay the cost of psychological support provided by a qualified doctor, psychologist or psychiatrist after an insured event. [brochure-services.pdf, page 3]</x:v>
      </x:c>
      <x:c r="I250" s="8" t="str">
        <x:v>general_insurance</x:v>
      </x:c>
      <x:c r="J250" s="8" t="str">
        <x:v>LOCKED_HOLDOUT_CANDIDATE</x:v>
      </x:c>
      <x:c r="K250" s="10" t="str"/>
      <x:c r="L250" s="12" t="str"/>
      <x:c r="M250" s="12" t="str"/>
      <x:c r="N250" s="12" t="str"/>
      <x:c r="O250" s="12" t="str"/>
      <x:c r="P250" s="12" t="str"/>
    </x:row>
    <x:row r="251">
      <x:c r="A251" s="8" t="str">
        <x:v>ext-helvetia-pass-060</x:v>
      </x:c>
      <x:c r="B251" s="8" t="str">
        <x:v>helvetia_pdf</x:v>
      </x:c>
      <x:c r="C251" s="8" t="str">
        <x:v>data/raw/pdfs/buildings-insurance-sti.pdf</x:v>
      </x:c>
      <x:c r="D251" s="8" t="str">
        <x:v>buildings-insurance-sti</x:v>
      </x:c>
      <x:c r="E251" s="8" t="n">
        <x:v>3</x:v>
      </x:c>
      <x:c r="F251" s="10" t="str">
        <x:v>According to buildings-insurance-sti.pdf, what provision is stated in the supplied policy context?</x:v>
      </x:c>
      <x:c r="G251" s="10" t="str">
        <x:v>ied in the policy CHF 2ʼ000 Sum insured according to policy Sum insured according to policy Sum insured according to policy CHF 5ʼ000 CHF 5ʼ000 CHF 5ʼ000 CHF 5ʼ000 CHF 5ʼ000 CHF 5ʼ000 Sum insured according to policy Sum insured according to policy CHF 1ʼ000 for theft without use of force Sum insured according to policy CHF 5ʼ000 CHF 5ʼ000 CHF 5ʼ000 Sum insured according to policy Sum insured according to policy Sum insured according to policy Sum insured according to policy Sum insured according to policy Sum insured according to policy Sum insured according to policy Building property insurance The insurance covers Fire Do you want to know what you are covered for? The coverage and sums insured of the insurance you required are listed in your policy. The explanation of terms must be used additionally to determine the insurance coverage. Underinsurance Destruction, damage or loss as a result of: B1 Fire, smoke (sudden and accidental influence) and water used to extinguish fire; B2 Lightning and overvoltage; B3 Explosion, detonation and implosion; B4 Crash-landings or emergency landings of aircraft, spacecraft or parts thereof, meteorites and other celestial bodies; B5 Pressure waves emitted by aircraft flying at supersonic speeds; B6 Scorch and smoulder damage. A1 Building ■ Sum insured according to policy A2 Supplementary insurance coverage for cantonal buildings insurance Insured if specified in the policy A3 Parts of the building not insured by cantonal buildings insurance ■ Sum insured according to policy A4 Costs for locating, exposing and repairing pipes A4.1 Costs for locating, exposing and repairing pipes related to a pipe burst A4.2 Costs for location work not related to a pipe burst A5 Follow-up costs and loss prevention costs A5.1 a) Necessary follow-up costs b) Standing costs c) Artistic or historic values d) Subsequent increase Sum insured according to policy A5.2 Costs for risk-reducing measures CHF 5ʼ000 A5.3 Costs due to regulatory reconstruction restrictions CHF 5ʼ000 A5.4 Costs for replacing locks Sum insured according to policy A5.5 Loss / damage prevention costs CHF 5ʼ000 A6</x:v>
      </x:c>
      <x:c r="H251" s="10" t="str">
        <x:v>Underinsurance Destruction, damage or loss as a result of: B1 Fire, smoke (sudden and accidental influence) and water used to extinguish fire; B2 Lightning and overvoltage; B3 Explosion, detonation and implosion; B4 Crash-landings or emergency landings of aircraft, spacecraft or parts thereof, meteorites and other celestial bodies; B5 Pressure waves emitted by aircraft flying at supersonic speeds; B6 Scorch and smoulder damage. [buildings-insurance-sti.pdf, page 3]</x:v>
      </x:c>
      <x:c r="I251" s="8" t="str">
        <x:v>general_insurance</x:v>
      </x:c>
      <x:c r="J251" s="8" t="str">
        <x:v>CALIBRATION</x:v>
      </x:c>
      <x:c r="K251" s="10" t="str"/>
      <x:c r="L251" s="12" t="str"/>
      <x:c r="M251" s="12" t="str"/>
      <x:c r="N251" s="12" t="str"/>
      <x:c r="O251" s="12" t="str"/>
      <x:c r="P251" s="12" t="str"/>
    </x:row>
    <x:row r="252">
      <x:c r="A252" s="8" t="str">
        <x:v>ext-helvetia-fail-001</x:v>
      </x:c>
      <x:c r="B252" s="8" t="str">
        <x:v>helvetia_pdf</x:v>
      </x:c>
      <x:c r="C252" s="8" t="str">
        <x:v>data/raw/pdfs/assistance-sti.pdf</x:v>
      </x:c>
      <x:c r="D252" s="8" t="str">
        <x:v>assistance-sti</x:v>
      </x:c>
      <x:c r="E252" s="8" t="n">
        <x:v>3</x:v>
      </x:c>
      <x:c r="F252" s="10" t="str">
        <x:v>According to assistance-sti.pdf, what provision is stated in the supplied policy context?</x:v>
      </x:c>
      <x:c r="G252" s="10" t="str">
        <x:v> transport company, the hotel, the landlord, or the organiser of courses, language course holidays or seminars, Helvetia will cover the costs owed for cancelling the enforceable contract, including processing charges and airport fees, up to a maximum of the agreed sum insured. B2 Delayed commencement of travel If, as a result of an insured event, the insured person cannot take a trip or enter a rented property or event until after the originally agreed date, then instead of covering the cancellation costs, Helvetia will cover the additional costs incurred in relation to the delayed departure and the costs for the unused part of the stay in proportion to the arrangement price (not including transport costs). The benefits are limited to the amount of the agreed arrangement price. The day of arrival is deemed to be the used arrangement day. B3 Pets If the pet of the insured person cannot be housed with the planned care person prior to the commencement of the trip due to the care person suffering an accident, illness or death, and if the pet needs to be housed in an animal shelter as a result, Helvetia will pay up to CHF 1ʼ000 per event. B4 Entry tickets, unlimited tickets, season tickets If the insured person is unable to use a previously bought entry ticket for an event due to an insured event and if cancellation is not possible free of charge, Helvetia will cover the costs of the ticket up to CHF 1’000. If the insured person is unable to use previously bought and unused unlimited tickets or season tickets due to an insured event and a refund or later usage is not possible, Helvetia will cover the resulting costs of up to CHF 1ʼ000. Territorial validity The insurance is valid throughout the world. The insurance does not cover C1 Failure and delays If the specified check-in times at the airport are not observed and the journey cannot be commenced as a result. Delays for which the insured person is responsible (e.g. mishaps with petrol, misplacing keys). C2 Poor recovery</x:v>
      </x:c>
      <x:c r="H252" s="10" t="str">
        <x:v>B3 Pets If the pet of the insured person cannot be housed with the planned care person prior to the commencement of the trip due to the care person suffering an accident, illness or death, and if the pet needs to be housed in an animal shelter as a result, Helvetia will pay up to CHF 2ʼ000 per event.</x:v>
      </x:c>
      <x:c r="I252" s="8" t="str">
        <x:v>travel_assistance</x:v>
      </x:c>
      <x:c r="J252" s="8" t="str">
        <x:v>CALIBRATION</x:v>
      </x:c>
      <x:c r="K252" s="10" t="str"/>
      <x:c r="L252" s="12" t="str"/>
      <x:c r="M252" s="12" t="str"/>
      <x:c r="N252" s="12" t="str"/>
      <x:c r="O252" s="12" t="str"/>
      <x:c r="P252" s="12" t="str"/>
    </x:row>
    <x:row r="253">
      <x:c r="A253" s="8" t="str">
        <x:v>ext-helvetia-fail-002</x:v>
      </x:c>
      <x:c r="B253" s="8" t="str">
        <x:v>helvetia_pdf</x:v>
      </x:c>
      <x:c r="C253" s="8" t="str">
        <x:v>data/raw/pdfs/brochure-household-contents-and-private-liability.pdf</x:v>
      </x:c>
      <x:c r="D253" s="8" t="str">
        <x:v>brochure-household-contents-and-private-liability</x:v>
      </x:c>
      <x:c r="E253" s="8" t="n">
        <x:v>6</x:v>
      </x:c>
      <x:c r="F253" s="10" t="str">
        <x:v>According to brochure-household-contents-and-private-liability.pdf, what provision is stated in the supplied policy context?</x:v>
      </x:c>
      <x:c r="G253" s="10" t="str">
        <x:v>Scope of the insurance cover • Settlement of well-founded thirdparty claims • Defence against unfounded thirdparty claims Insured persons The policyholder. If there are other people living in the same household, cover can be extended to encompass a multi-person household. This includes all persons of all ages. Insured capacities • Tenant, leaseholder • Owner, co-owner, condominium owner • Head of family, carer responsible for day-care children, foster children and children on holiday • Animal owner • Person responsible for property taken over, entrusted in safekeeping or rented • Athlete, marksman • Users of third-party vehicles • Users of bicycles and e-bikes with a pedal assistance up to 25 km/h • Person responsible for holding the keys to a business Geographical scope of the policy • Worldwide insurance cover Extend your cover • Extended cover for the use of thirdparty vehicles (worldwide 365-day cover, including rental vehicles, etc.). • Cover for losses resulting from Internet use (cyber risks) • Teachers at private and public schools • Skiing and sports instructors, mountain guides • Hunters • Tenants and borrowers of third-party horses • Owners and users of model aircraft and drones up to 25 kg which are not subject to authorization Private liability insurance covers claims for damages in the event of damage to third-party property or personal injury. Household contents and private liability insurance 6/8</x:v>
      </x:c>
      <x:c r="H253" s="10" t="str">
        <x:v>Extended cover for the use of thirdparty vehicles (worldwide 366-day cover, including rental vehicles, etc.).</x:v>
      </x:c>
      <x:c r="I253" s="8" t="str">
        <x:v>household</x:v>
      </x:c>
      <x:c r="J253" s="8" t="str">
        <x:v>LOCKED_HOLDOUT_CANDIDATE</x:v>
      </x:c>
      <x:c r="K253" s="10" t="str"/>
      <x:c r="L253" s="12" t="str"/>
      <x:c r="M253" s="12" t="str"/>
      <x:c r="N253" s="12" t="str"/>
      <x:c r="O253" s="12" t="str"/>
      <x:c r="P253" s="12" t="str"/>
    </x:row>
    <x:row r="254">
      <x:c r="A254" s="8" t="str">
        <x:v>ext-helvetia-fail-003</x:v>
      </x:c>
      <x:c r="B254" s="8" t="str">
        <x:v>helvetia_pdf</x:v>
      </x:c>
      <x:c r="C254" s="8" t="str">
        <x:v>data/raw/pdfs/buildings-insurance-sti.pdf</x:v>
      </x:c>
      <x:c r="D254" s="8" t="str">
        <x:v>buildings-insurance-sti</x:v>
      </x:c>
      <x:c r="E254" s="8" t="n">
        <x:v>4</x:v>
      </x:c>
      <x:c r="F254" s="10" t="str">
        <x:v>According to buildings-insurance-sti.pdf, what provision is stated in the supplied policy context?</x:v>
      </x:c>
      <x:c r="G254" s="10" t="str">
        <x:v>defective joints, missing or inadequate checking and maintenance of water pipes) or failure to implement preventive measures; A15 Damage caused by deficient construction techniques, execution and planning errors, and defective materials; A16 Damage caused by atomic structure changes irrespective of the cause; A17 Damage caused by water from reservoirs or other man-made water installations irrespective of the cause; A18 Damage from tremors caused by the collapse of man-made cavities; A19 Damage caused by war events or warlike events, neutrality violations, revolution, rebellion or riots, unless the policyholder can provide evidence that the damage is not related to these events; A20 Damage caused by terrorist activities and counterterrorism measures, unless the policyholder provides evidence that the damage is not related to these events. This exclusion does not apply if the sum insured for the building does not exceed CHF 10 million per building; A21 Costs for replacing locks, for locks which cannot be opened with the keys in question; A22 Damage to land, air and water. B7 Damage caused by the purpose-related or gradual effects of heat or smoke; B8 Damage caused to electrical safety mechanisms such as fuses in the performance of their normal function; B9 Overvoltage damage caused by a defect inside a device, a machine or an installation (so-called operating damage); B10 Damage caused by water hammer, centrifugal and other mechanical forces; B11 Damage caused by earthquake or volcanic eruption, and by civil unrest. Period of validity (duration of liability) F1 The obligation to pay benefits for loss of rental income, loss of earnings and/or additional costs commences upon the occurrence of the insured event and lasts for a maximum period of 24 months. F2 The obligation to pay benefits for standing costs and and/or subsequent increase commences upon the occurrence of the insured event and lasts for a maxi</x:v>
      </x:c>
      <x:c r="H254" s="10" t="str">
        <x:v>This exclusion does not apply if the sum insured for the building does not exceed CHF 24 million per building; A21 Costs for replacing locks, for locks which cannot be opened with the keys in question; A22 Damage to land, air and water.</x:v>
      </x:c>
      <x:c r="I254" s="8" t="str">
        <x:v>household</x:v>
      </x:c>
      <x:c r="J254" s="8" t="str">
        <x:v>CALIBRATION</x:v>
      </x:c>
      <x:c r="K254" s="10" t="str"/>
      <x:c r="L254" s="12" t="str"/>
      <x:c r="M254" s="12" t="str"/>
      <x:c r="N254" s="12" t="str"/>
      <x:c r="O254" s="12" t="str"/>
      <x:c r="P254" s="12" t="str"/>
    </x:row>
    <x:row r="255">
      <x:c r="A255" s="8" t="str">
        <x:v>ext-helvetia-fail-004</x:v>
      </x:c>
      <x:c r="B255" s="8" t="str">
        <x:v>helvetia_pdf</x:v>
      </x:c>
      <x:c r="C255" s="8" t="str">
        <x:v>data/raw/pdfs/household-contents-private-liability-sti.pdf</x:v>
      </x:c>
      <x:c r="D255" s="8" t="str">
        <x:v>household-contents-private-liability-sti</x:v>
      </x:c>
      <x:c r="E255" s="8" t="n">
        <x:v>3</x:v>
      </x:c>
      <x:c r="F255" s="10" t="str">
        <x:v>According to household-contents-private-liability-sti.pdf, what provision is stated in the supplied policy context?</x:v>
      </x:c>
      <x:c r="G255" s="10" t="str">
        <x:v>elayed delivery of luggage by a transport company , up to 20 % of the insured sum, not including deduction of an excess; I4 unin tended failure of the cooling mechanism of chest freezers or upright freezers. The insurance covers foodstuffs for private use that are rendered unfit for consumption as a result, not including deduction of an excess. Insured objects I5 Household co ntents, within the scope of the agreed additional insurance, that are located in the insured locations listed in the policy (to the extent covered in the relevant insured locations) and temporarily, for no more than one year, located anywhere in the world outside the residential premises specified in the policy. Sum insured according to policy Sum insured according to policy Sum insured according to policy 20 % of the insured sum as per A1 (household contents), min. CHF 10ʼ000 20 % of the insured sum as per A1 (household contents), min. CHF 10ʼ000 for burglary and robbery. . 20 % of the insured sum as per A1 (household contents), min. CHF 10ʼ000 In case of simple theft out-and-about, the compensation is limited to the amount specified in the policy under “simple theft out-and-about”. Simple theft out-and-about PLUS: If included in your policy , the agreed sum insured is doubled in the case of trips. The sum insured is specified in the policy . Sum insured according to policy Sum insured according to policy Sum insured according to policy CHF 5ʼ000 CHF 5ʼ000 CHF 5ʼ000 Sum insured according to policy Sum insured according to policy, in case of theft without violence CHF 1ʼ000 Sum insured according to policy CHF 2ʼ000 CHF 2ʼ000 CHF 2ʼ000 Household contents insurance The insurance covers Fire Do you want to know how you are insured? The coverage and insured sums of your ins</x:v>
      </x:c>
      <x:c r="H255" s="10" t="str">
        <x:v>CHF 11ʼ000 20 % of the insured sum as per A1 (household contents), min.</x:v>
      </x:c>
      <x:c r="I255" s="8" t="str">
        <x:v>household</x:v>
      </x:c>
      <x:c r="J255" s="8" t="str">
        <x:v>LOCKED_HOLDOUT_CANDIDATE</x:v>
      </x:c>
      <x:c r="K255" s="10" t="str"/>
      <x:c r="L255" s="12" t="str"/>
      <x:c r="M255" s="12" t="str"/>
      <x:c r="N255" s="12" t="str"/>
      <x:c r="O255" s="12" t="str"/>
      <x:c r="P255" s="12" t="str"/>
    </x:row>
    <x:row r="256">
      <x:c r="A256" s="8" t="str">
        <x:v>ext-helvetia-fail-005</x:v>
      </x:c>
      <x:c r="B256" s="8" t="str">
        <x:v>helvetia_pdf</x:v>
      </x:c>
      <x:c r="C256" s="8" t="str">
        <x:v>data/raw/pdfs/legal-protection-sti.pdf</x:v>
      </x:c>
      <x:c r="D256" s="8" t="str">
        <x:v>legal-protection-sti</x:v>
      </x:c>
      <x:c r="E256" s="8" t="n">
        <x:v>4</x:v>
      </x:c>
      <x:c r="F256" s="10" t="str">
        <x:v>According to legal-protection-sti.pdf, what provision is stated in the supplied policy context?</x:v>
      </x:c>
      <x:c r="G256" s="10" t="str">
        <x:v>Personal legal protection Traffic legal protection Unless listed separately in the STI, the policy does not cover claims CHF 1’000 B4 The insured person can immediately consult a lawyer for initial advice. If convicted, the insured person must refund these costs. In accordance with the policy In accordance with the policy In accordance with the policy 10% the sum insured specified in the policy B5 In addition, the cost of hiring a specialized service provider to delete Internet content which breaches privacy is paid up to CHF 1,000. 10% the sum insured specified in the policy B6 If legal assistance fails to remedy the matter within 180 days of the claim being reported, the cost of the financial loss incurred as a result of the unauthorized purchase/sale by third parties will be paid up to CHF 1,000. 10% the sum insured specified in the policy; CHF 1,000 if the breach is committed by the insured person No legal protection is granted if the insured person has engaged in domain name grabbing The insurance covers Where Waiting period Base even</x:v>
      </x:c>
      <x:c r="H256" s="10" t="str">
        <x:v>Personal legal protection Traffic legal protection Unless listed separately in the STI, the policy does not cover claims CHF 10’000 B4 The insured person can immediately consult a lawyer for initial advice.</x:v>
      </x:c>
      <x:c r="I256" s="8" t="str">
        <x:v>legal_protection</x:v>
      </x:c>
      <x:c r="J256" s="8" t="str">
        <x:v>CALIBRATION</x:v>
      </x:c>
      <x:c r="K256" s="10" t="str"/>
      <x:c r="L256" s="12" t="str"/>
      <x:c r="M256" s="12" t="str"/>
      <x:c r="N256" s="12" t="str"/>
      <x:c r="O256" s="12" t="str"/>
      <x:c r="P256" s="12" t="str"/>
    </x:row>
    <x:row r="257">
      <x:c r="A257" s="8" t="str">
        <x:v>ext-helvetia-fail-006</x:v>
      </x:c>
      <x:c r="B257" s="8" t="str">
        <x:v>helvetia_pdf</x:v>
      </x:c>
      <x:c r="C257" s="8" t="str">
        <x:v>data/raw/pdfs/motor-vehicle-insurance-sti.pdf</x:v>
      </x:c>
      <x:c r="D257" s="8" t="str">
        <x:v>motor-vehicle-insurance-sti</x:v>
      </x:c>
      <x:c r="E257" s="8" t="n">
        <x:v>2</x:v>
      </x:c>
      <x:c r="F257" s="10" t="str">
        <x:v>According to motor-vehicle-insurance-sti.pdf, what provision is stated in the supplied policy context?</x:v>
      </x:c>
      <x:c r="G257"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The original German wording governs the legal interpretation of your policy.</x:v>
      </x:c>
      <x:c r="H257" s="10" t="str">
        <x:v>14/31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x:v>
      </x:c>
      <x:c r="I257" s="8" t="str">
        <x:v>motor</x:v>
      </x:c>
      <x:c r="J257" s="8" t="str">
        <x:v>LOCKED_HOLDOUT_CANDIDATE</x:v>
      </x:c>
      <x:c r="K257" s="10" t="str"/>
      <x:c r="L257" s="12" t="str"/>
      <x:c r="M257" s="12" t="str"/>
      <x:c r="N257" s="12" t="str"/>
      <x:c r="O257" s="12" t="str"/>
      <x:c r="P257" s="12" t="str"/>
    </x:row>
    <x:row r="258">
      <x:c r="A258" s="8" t="str">
        <x:v>ext-helvetia-fail-007</x:v>
      </x:c>
      <x:c r="B258" s="8" t="str">
        <x:v>helvetia_pdf</x:v>
      </x:c>
      <x:c r="C258" s="8" t="str">
        <x:v>data/raw/pdfs/mutual-provisions-pkv.pdf</x:v>
      </x:c>
      <x:c r="D258" s="8" t="str">
        <x:v>mutual-provisions-pkv</x:v>
      </x:c>
      <x:c r="E258" s="8" t="n">
        <x:v>3</x:v>
      </x:c>
      <x:c r="F258" s="10" t="str">
        <x:v>According to mutual-provisions-pkv.pdf, what provision is stated in the supplied policy context?</x:v>
      </x:c>
      <x:c r="G258" s="10" t="str">
        <x:v>ation. The right of revocation is excluded in the case of group personal insurance, provisional confirmation of cover, agreements with a term of less than one month. 6 Increase and decrease in risk If any circumstance that is material to the assessment of the risk should change during the term of the contract, and if its extent was determined by the parties on concluding the contract, the policyholder is required to give Helvetia immediate notice of such change in writing or any other text form. All risk factors about which Helvetia requests the policyholder to provide information on the application form or otherwise inquires about (e. g. risk questionnaire, risk and operational characteristics, etc.) are deemed material. If the policyholder fails to give such notice, Helvetia shall not be bound by the contract for the period thereafter. If such notice has been given, Helvetia may increase the premium retroactively as of the time the risks increased or terminate the part of the contract affected by the change within 14 days of receiving such notice. The contract expires four weeks after receipt of the notice of termination. The policyholder has the same right of termination if no agreement can be reached regarding the increased premium. In the event of a significant decrease in risk, the policyholder is entitled to terminate the contract or to request a premium reduction subject to four weeks’ notice in writing or any other text form. If Helvetia rejects a premium reduction or if the policyholder is not in agreement with the reduction offered, the latter is entitled, within four weeks of receiving the response, to terminate the contract subject to four weeks’ notice in writing or any other text form. The premium reduction takes effect when Helvetia receives the relevant notice. 7 Conclusion of the contract/ start of insurance cover After the insurance application has been received a</x:v>
      </x:c>
      <x:c r="H258" s="10" t="str">
        <x:v>If such notice has been given, Helvetia may increase the premium retroactively as of the time the risks increased or terminate the part of the contract affected by the change within 15 days of receiving such notice.</x:v>
      </x:c>
      <x:c r="I258" s="8" t="str">
        <x:v>general_insurance</x:v>
      </x:c>
      <x:c r="J258" s="8" t="str">
        <x:v>CALIBRATION</x:v>
      </x:c>
      <x:c r="K258" s="10" t="str"/>
      <x:c r="L258" s="12" t="str"/>
      <x:c r="M258" s="12" t="str"/>
      <x:c r="N258" s="12" t="str"/>
      <x:c r="O258" s="12" t="str"/>
      <x:c r="P258" s="12" t="str"/>
    </x:row>
    <x:row r="259">
      <x:c r="A259" s="8" t="str">
        <x:v>ext-helvetia-fail-008</x:v>
      </x:c>
      <x:c r="B259" s="8" t="str">
        <x:v>helvetia_pdf</x:v>
      </x:c>
      <x:c r="C259" s="8" t="str">
        <x:v>data/raw/pdfs/rental-guarantee-insurance-sti.pdf</x:v>
      </x:c>
      <x:c r="D259" s="8" t="str">
        <x:v>rental-guarantee-insurance-sti</x:v>
      </x:c>
      <x:c r="E259" s="8" t="n">
        <x:v>5</x:v>
      </x:c>
      <x:c r="F259" s="10" t="str">
        <x:v>According to rental-guarantee-insurance-sti.pdf, what provision is stated in the supplied policy context?</x:v>
      </x:c>
      <x:c r="G259" s="10" t="str">
        <x:v> which it (Helvetia) incurs under its surety obligation. Helvetia is immediately and fully subrogated to the rights of the surety recipient and can, by means of a payment order, demand reimbursement by the tenant resp. policyholder of all amounts paid by it (Helvetia) to the surety recipient in performance of the contract. 2. Where Helvetia has rendered services the tenant resp. policyholder expressly waives the right to file pleas and objections against claims asserted by Helvetia. 7 Bankruptcy of policyholder If bankruptcy proceedings are instituted against the policyholder, the contract remains in force, and the receivers are required to fulfil the contractual obligations. 8 Premiums 1. Helvetia charges 4 % (excl. stamp duty) of the surety sum as premium. Premiums are payable annually in advance on the date specified in the policy. 2. If the policyholders do not comply with their payment obligation, the policyholders will be requested in writing policyholders expense to make payment within 14 days. 3. Contrary to Art. 20 of the Federal Law on Insurance Contracts, if it subsequently becomes necessary to take legal action to collect the outstanding premiums, this does not result in a suspension of the obligation to compensate the surety recipient. If legal action is taken by Helvetia, administrative costs of CHF 100 will be added to the premium owed. 4. Upon premature cancellation or termination of the contract, the premium will be owed only for the time up to the cancellation of the contract, unless cancellation is in the first insurance year. In this instance, the entire premium for the first insurance year is owed. 5. However, the entire premium for the current insurance period is owed if Helvetia makes the surety payment in full. 6. The tenant resp. policyholder is required to pay the premium for as long as the Helvetia private r</x:v>
      </x:c>
      <x:c r="H259" s="10" t="str">
        <x:v>If the policyholders do not comply with their payment obligation, the policyholders will be requested in writing policyholders expense to make payment within 100 days.</x:v>
      </x:c>
      <x:c r="I259" s="8" t="str">
        <x:v>rental_guarantee</x:v>
      </x:c>
      <x:c r="J259" s="8" t="str">
        <x:v>LOCKED_HOLDOUT_CANDIDATE</x:v>
      </x:c>
      <x:c r="K259" s="10" t="str"/>
      <x:c r="L259" s="12" t="str"/>
      <x:c r="M259" s="12" t="str"/>
      <x:c r="N259" s="12" t="str"/>
      <x:c r="O259" s="12" t="str"/>
      <x:c r="P259" s="12" t="str"/>
    </x:row>
    <x:row r="260">
      <x:c r="A260" s="8" t="str">
        <x:v>ext-helvetia-fail-009</x:v>
      </x:c>
      <x:c r="B260" s="8" t="str">
        <x:v>helvetia_pdf</x:v>
      </x:c>
      <x:c r="C260" s="8" t="str">
        <x:v>data/raw/pdfs/assistance-sti.pdf</x:v>
      </x:c>
      <x:c r="D260" s="8" t="str">
        <x:v>assistance-sti</x:v>
      </x:c>
      <x:c r="E260" s="8" t="n">
        <x:v>3</x:v>
      </x:c>
      <x:c r="F260" s="10" t="str">
        <x:v>According to assistance-sti.pdf, what provision is stated in the supplied policy context?</x:v>
      </x:c>
      <x:c r="G260" s="10" t="str">
        <x:v>of travel If, as a result of an insured event, the insured person cannot take a trip or enter a rented property or event until after the originally agreed date, then instead of covering the cancellation costs, Helvetia will cover the additional costs incurred in relation to the delayed departure and the costs for the unused part of the stay in proportion to the arrangement price (not including transport costs). The benefits are limited to the amount of the agreed arrangement price. The day of arrival is deemed to be the used arrangement day. B3 Pets If the pet of the insured person cannot be housed with the planned care person prior to the commencement of the trip due to the care person suffering an accident, illness or death, and if the pet needs to be housed in an animal shelter as a result, Helvetia will pay up to CHF 1ʼ000 per event. B4 Entry tickets, unlimited tickets, season tickets If the insured person is unable to use a previously bought entry ticket for an event due to an insured event and if cancellation is not possible free of charge, Helvetia will cover the costs of the ticket up to CHF 1’000. If the insured person is unable to use previously bought and unused unlimited tickets or season tickets due to an insured event and a refund or later usage is not possible, Helvetia will cover the resulting costs of up to CHF 1ʼ000. Territorial validity The insurance is valid throughout the world. The insurance does not cover C1 Failure and delays If the specified check-in times at the airport are not observed and the journey cannot be commenced as a result. Delays for which the insured person is responsible (e.g. mishaps with petrol, misplacing keys). C2 Poor recovery If an illness or the consequences of an accident or operation existed when the journey was booked and the insured person has not yet re covered by the departure date. This does not include chronic ailments, provided the attending physician confirms that the insured person </x:v>
      </x:c>
      <x:c r="H260" s="10" t="str">
        <x:v>B4 Entry tickets, unlimited tickets, season tickets If the insured person is unable to use a previously bought entry ticket for an event due to an insured event and if cancellation is not possible free of charge, Helvetia will cover the costs of the ticket up to CHF 2’000.</x:v>
      </x:c>
      <x:c r="I260" s="8" t="str">
        <x:v>travel_assistance</x:v>
      </x:c>
      <x:c r="J260" s="8" t="str">
        <x:v>CALIBRATION</x:v>
      </x:c>
      <x:c r="K260" s="10" t="str"/>
      <x:c r="L260" s="12" t="str"/>
      <x:c r="M260" s="12" t="str"/>
      <x:c r="N260" s="12" t="str"/>
      <x:c r="O260" s="12" t="str"/>
      <x:c r="P260" s="12" t="str"/>
    </x:row>
    <x:row r="261">
      <x:c r="A261" s="8" t="str">
        <x:v>ext-helvetia-fail-010</x:v>
      </x:c>
      <x:c r="B261" s="8" t="str">
        <x:v>helvetia_pdf</x:v>
      </x:c>
      <x:c r="C261" s="8" t="str">
        <x:v>data/raw/pdfs/brochure-household-contents-and-private-liability.pdf</x:v>
      </x:c>
      <x:c r="D261" s="8" t="str">
        <x:v>brochure-household-contents-and-private-liability</x:v>
      </x:c>
      <x:c r="E261" s="8" t="n">
        <x:v>7</x:v>
      </x:c>
      <x:c r="F261" s="10" t="str">
        <x:v>According to brochure-household-contents-and-private-liability.pdf, what provision is stated in the supplied policy context?</x:v>
      </x:c>
      <x:c r="G261" s="10" t="str">
        <x:v>Good to know • Policies can also be taken out without any excess. • Under supplementary policies for teachers, skiing and sports instructors and mountain guides: cover is provided for search, rescue and recovery costs for participants and students. Extended cover for the use of third-party vehicles: worldwide 365-day cover, incl. rental vehicles, car sharing, etc. Household contents and private liability insurance 7/8</x:v>
      </x:c>
      <x:c r="H261" s="10" t="str">
        <x:v>Extended cover for the use of third-party vehicles: worldwide 24-day cover, incl.</x:v>
      </x:c>
      <x:c r="I261" s="8" t="str">
        <x:v>household</x:v>
      </x:c>
      <x:c r="J261" s="8" t="str">
        <x:v>LOCKED_HOLDOUT_CANDIDATE</x:v>
      </x:c>
      <x:c r="K261" s="10" t="str"/>
      <x:c r="L261" s="12" t="str"/>
      <x:c r="M261" s="12" t="str"/>
      <x:c r="N261" s="12" t="str"/>
      <x:c r="O261" s="12" t="str"/>
      <x:c r="P261" s="12" t="str"/>
    </x:row>
    <x:row r="262">
      <x:c r="A262" s="8" t="str">
        <x:v>ext-helvetia-fail-011</x:v>
      </x:c>
      <x:c r="B262" s="8" t="str">
        <x:v>helvetia_pdf</x:v>
      </x:c>
      <x:c r="C262" s="8" t="str">
        <x:v>data/raw/pdfs/assistance-brochure.pdf</x:v>
      </x:c>
      <x:c r="D262" s="8" t="str">
        <x:v>assistance-brochure</x:v>
      </x:c>
      <x:c r="E262" s="8" t="n">
        <x:v>2</x:v>
      </x:c>
      <x:c r="F262" s="10" t="str">
        <x:v>According to assistance-brochure.pdf, what provision is stated in the supplied policy context?</x:v>
      </x:c>
      <x:c r="G262" s="10" t="str">
        <x:v>Helvetia Assistance. Entirely according to your needs. Our Assistance insurance consists of four components you can combine individually. Cancellation cost insurance Cancellation cost insurance covers you for unforeseen events occurring before your departure that make it impossible for you to set off on your journey. Assistance for persons Assistance for persons provides insurance to cover you if anything happens while you're travelling. 1 2 2/8 | Helvetia Assistance – product information sheet</x:v>
      </x:c>
      <x:c r="H262" s="10" t="str">
        <x:v>Cancellation cost insurance Cancellation cost insurance does not cover you for unforeseen events occurring before your departure that make it impossible for you to set off on your journey.</x:v>
      </x:c>
      <x:c r="I262" s="8" t="str">
        <x:v>travel_assistance</x:v>
      </x:c>
      <x:c r="J262" s="8" t="str">
        <x:v>CALIBRATION</x:v>
      </x:c>
      <x:c r="K262" s="10" t="str"/>
      <x:c r="L262" s="12" t="str"/>
      <x:c r="M262" s="12" t="str"/>
      <x:c r="N262" s="12" t="str"/>
      <x:c r="O262" s="12" t="str"/>
      <x:c r="P262" s="12" t="str"/>
    </x:row>
    <x:row r="263">
      <x:c r="A263" s="8" t="str">
        <x:v>ext-helvetia-fail-012</x:v>
      </x:c>
      <x:c r="B263" s="8" t="str">
        <x:v>helvetia_pdf</x:v>
      </x:c>
      <x:c r="C263" s="8" t="str">
        <x:v>data/raw/pdfs/assistance-sti.pdf</x:v>
      </x:c>
      <x:c r="D263" s="8" t="str">
        <x:v>assistance-sti</x:v>
      </x:c>
      <x:c r="E263" s="8" t="n">
        <x:v>4</x:v>
      </x:c>
      <x:c r="F263" s="10" t="str">
        <x:v>According to assistance-sti.pdf, what provision is stated in the supplied policy context?</x:v>
      </x:c>
      <x:c r="G263" s="10" t="str">
        <x:v> deemed to be the used arran gement day. Max. CHF 500 for interpreting and telephone costs. Max. CHF 2ʼ000 per insured person for an unforeseen stay abroad. For the costs of the unused part of the stay in proportion to the arrangement price (not including transport costs). The return day is deemed to be the used arrangement day. For the costs for the unused part of the stay in proporti on to the arran gement price (not including transport costs). The return day is deemed to be the used arran gement day. Max. CHF 500 for interpreting and telephone costs. Max. CHF 2ʼ000 per insured person for an unforeseen stay abroad. For the costs of the unused part of the stay in proportion to the arrangement price (not including transport costs). The return day is deemed to be the used arrangement day. Max. CHF 500 for interpreting and telephone costs. The insurance covers Do you want to know how you are insured? Your insurance coverage is listed in your policy as you requested and applies solely to private individuals. E1 Call-back and transport costs D1 Illness, accident or death of an insured person If, after the trip commences, an insured person becomes ill, suffers from pregnancy related problems, is injured, dies, or suffers a medically certified deterioration of a chronic disorder The costs required for transport to the nearest suitable physi cian or hospital. If the trip or holiday cannot be continued after wards, we will cover the additional transport costs required for direct return to the permanent residence. If continuation is possible, additional transport costs up to a maximum of CHF 2ʼ000 will be paid per insured person; Return transport to a hospital at the place of residence or to the permanent residence will be paid by Helvetia </x:v>
      </x:c>
      <x:c r="H263" s="10" t="str">
        <x:v>The insurance does not cover Do you want to know how you are insured?</x:v>
      </x:c>
      <x:c r="I263" s="8" t="str">
        <x:v>travel_assistance</x:v>
      </x:c>
      <x:c r="J263" s="8" t="str">
        <x:v>CALIBRATION</x:v>
      </x:c>
      <x:c r="K263" s="10" t="str"/>
      <x:c r="L263" s="12" t="str"/>
      <x:c r="M263" s="12" t="str"/>
      <x:c r="N263" s="12" t="str"/>
      <x:c r="O263" s="12" t="str"/>
      <x:c r="P263" s="12" t="str"/>
    </x:row>
    <x:row r="264">
      <x:c r="A264" s="8" t="str">
        <x:v>ext-helvetia-fail-013</x:v>
      </x:c>
      <x:c r="B264" s="8" t="str">
        <x:v>helvetia_pdf</x:v>
      </x:c>
      <x:c r="C264" s="8" t="str">
        <x:v>data/raw/pdfs/brochure-household-contents-and-private-liability.pdf</x:v>
      </x:c>
      <x:c r="D264" s="8" t="str">
        <x:v>brochure-household-contents-and-private-liability</x:v>
      </x:c>
      <x:c r="E264" s="8" t="n">
        <x:v>6</x:v>
      </x:c>
      <x:c r="F264" s="10" t="str">
        <x:v>According to brochure-household-contents-and-private-liability.pdf, what provision is stated in the supplied policy context?</x:v>
      </x:c>
      <x:c r="G264" s="10" t="str">
        <x:v>nsured capacities • Tenant, leaseholder • Owner, co-owner, condominium owner • Head of family, carer responsible for day-care children, foster children and children on holiday • Animal owner • Person responsible for property taken over, entrusted in safekeeping or rented • Athlete, marksman • Users of third-party vehicles • Users of bicycles and e-bikes with a pedal assistance up to 25 km/h • Person responsible for holding the keys to a business Geographical scope of the policy • Worldwide insurance cover Extend your cover • Extended cover for the use of thirdparty vehicles (worldwide 365-day cover, including rental vehicles, etc.). • Cover for losses resulting from Internet use (cyber risks) • Teachers at private and public schools • Skiing and sports instructors, mountain guides • Hunters • Tenants and borrowers of third-party horses • Owners and users of model aircraft and drones up to 25 kg which are not subject to authorization Private liability insurance covers claims for damages in the event of damage to third-party property or personal injury. Household contents and private liability insurance 6/8</x:v>
      </x:c>
      <x:c r="H264" s="10" t="str">
        <x:v>Owners and users of model aircraft and drones up to 25 kg which are not subject to authorization Private liability insurance does not cover claims for damages in the event of damage to third-party property or personal injury.</x:v>
      </x:c>
      <x:c r="I264" s="8" t="str">
        <x:v>household</x:v>
      </x:c>
      <x:c r="J264" s="8" t="str">
        <x:v>LOCKED_HOLDOUT_CANDIDATE</x:v>
      </x:c>
      <x:c r="K264" s="10" t="str"/>
      <x:c r="L264" s="12" t="str"/>
      <x:c r="M264" s="12" t="str"/>
      <x:c r="N264" s="12" t="str"/>
      <x:c r="O264" s="12" t="str"/>
      <x:c r="P264" s="12" t="str"/>
    </x:row>
    <x:row r="265">
      <x:c r="A265" s="8" t="str">
        <x:v>ext-helvetia-fail-014</x:v>
      </x:c>
      <x:c r="B265" s="8" t="str">
        <x:v>helvetia_pdf</x:v>
      </x:c>
      <x:c r="C265" s="8" t="str">
        <x:v>data/raw/pdfs/buildings-insurance-sti.pdf</x:v>
      </x:c>
      <x:c r="D265" s="8" t="str">
        <x:v>buildings-insurance-sti</x:v>
      </x:c>
      <x:c r="E265" s="8" t="n">
        <x:v>3</x:v>
      </x:c>
      <x:c r="F265" s="10" t="str">
        <x:v>According to buildings-insurance-sti.pdf, what provision is stated in the supplied policy context?</x:v>
      </x:c>
      <x:c r="G265" s="10" t="str">
        <x:v>ave been caused by: D1 Theft or attempted theft. Destruction, damage or loss as a result of: E1 Leakage of liquids and gas: a) from pipelines or connected instal lations or apparatus; b) from decorative fountains, aquaria waterbeds, pools, liquids from humidifiers; c) and the resultant loss of liquids or gas; E2 Water condensation from cooling equipment and devices; E3 Penetration of rain and melting snow into the building through the roof, from roof gutters or from outdoor drain pipes, through closed windows, doors and skylights; E4 Backpressure from sewage ducts as well as underground slope water, ground water, rock water and seepage water inside the building; E5 Pipelines frozen or damaged by frost, tanks and containers serving the insured company and/or the insured buildings as well as adjacent installations, apparatus and machinery. Costs for the thawing of frozen pipelines are covered; E6 Fungal or pest infestation of any kind if proven to have been caused by insured water damage, if reported to Helvetia immediately, and provided that the construction has not been modified or extended in any way in the meantime. Sum insured according to policy Sum insured according to policy money assets from coin-operated vending machines CHF 500 Sum insured according to policy Insured if specified in the policy Sum insured according to policy Sum insured according to policy Sum insured according to policy Insured if specified in the policy CHF 2ʼ000 Sum insured according to policy Sum insured according to policy Sum insured according to policy CHF 5ʼ000 CHF 5ʼ000 CHF 5ʼ000 CHF 5ʼ000 CHF 5ʼ000 CHF 5ʼ000 Sum insured according to policy Sum insured according to policy CHF 1ʼ000 for theft without use of force Sum insured according to policy CHF 5ʼ000 CHF 5ʼ000 CHF 5ʼ000 Sum insured according to policy Sum insured according to policy Sum insured according to policy Sum insured according to policy Sum insured according to policy Sum insured according to policy Sum i</x:v>
      </x:c>
      <x:c r="H265" s="10" t="str">
        <x:v>Costs for the thawing of frozen pipelines are not covered; E6 Fungal or pest infestation of any kind if proven to have been caused by insured water damage, if reported to Helvetia immediately, and provided that the construction has not been modified or extended in any way in the meantime.</x:v>
      </x:c>
      <x:c r="I265" s="8" t="str">
        <x:v>general_insurance</x:v>
      </x:c>
      <x:c r="J265" s="8" t="str">
        <x:v>CALIBRATION</x:v>
      </x:c>
      <x:c r="K265" s="10" t="str"/>
      <x:c r="L265" s="12" t="str"/>
      <x:c r="M265" s="12" t="str"/>
      <x:c r="N265" s="12" t="str"/>
      <x:c r="O265" s="12" t="str"/>
      <x:c r="P265" s="12" t="str"/>
    </x:row>
    <x:row r="266">
      <x:c r="A266" s="8" t="str">
        <x:v>ext-helvetia-fail-015</x:v>
      </x:c>
      <x:c r="B266" s="8" t="str">
        <x:v>helvetia_pdf</x:v>
      </x:c>
      <x:c r="C266" s="8" t="str">
        <x:v>data/raw/pdfs/household-contents-private-liability-sti.pdf</x:v>
      </x:c>
      <x:c r="D266" s="8" t="str">
        <x:v>household-contents-private-liability-sti</x:v>
      </x:c>
      <x:c r="E266" s="8" t="n">
        <x:v>3</x:v>
      </x:c>
      <x:c r="F266" s="10" t="str">
        <x:v>According to household-contents-private-liability-sti.pdf, what provision is stated in the supplied policy context?</x:v>
      </x:c>
      <x:c r="G266" s="10" t="str">
        <x:v> a result of E1 leakage of liq uids and gas: a) from pipelines or connected installations or apparatus; b) from decorative fountains, aquaria waterbeds, pools, liquids from humidifiers; c) and resulting od our absorption as well as loss of liquids or gases; E2 water conden sation which has escaped from refrigeration systems or appliances; E3 penetration of rain and melting snow into the building through the roof, from roof gutters or from outdoor drain pipes, through closed windows, doors and skylights; E4 backpressure from sewage ducts as well as underground slope water, ground water, rock water and seepage water inside the building; E5 frozen or frost-damaged pipelines, tanks, containers and equipment, instruments and systems connected to them and located in the building interior which have been installed by the policyholder as tenant. Costs for thawing frozen pipes are covered; E6 fungal or pest infestation of any kind if proven to have been caused by insured water damage, if reported to Helvetia immediately , and provided that the construction has not been modified or extended in any way in the meantime. Insured risks I1 unforeseen an d sudden damages by external factors or loss; I2 sudden and unforeseen losses during transport by a transport company or loss as a result of an accident to the transportation; I3 necessary procurements as a result of delayed delivery of luggage by a transport company , up to 20 % of the insured sum, not including deduction of an excess; I4 unin tended failure of the cooling mechanism of chest freezers or upright freezers. The insurance covers foodstuffs for private use that are rendered unfit for consumption as a result, not including deduction of an excess. Insured objects I5 Household co ntents, within the scope of the agreed additional insurance, that are located in the insured locations listed in the policy (to the extent covered in the relevant insured locations) and temporarily, for no more than one y</x:v>
      </x:c>
      <x:c r="H266" s="10" t="str">
        <x:v>Costs for thawing frozen pipes are not covered; E6 fungal or pest infestation of any kind if proven to have been caused by insured water damage, if reported to Helvetia immediately , and provided that the construction has not been modified or extended in any way in the meantime.</x:v>
      </x:c>
      <x:c r="I266" s="8" t="str">
        <x:v>household</x:v>
      </x:c>
      <x:c r="J266" s="8" t="str">
        <x:v>LOCKED_HOLDOUT_CANDIDATE</x:v>
      </x:c>
      <x:c r="K266" s="10" t="str"/>
      <x:c r="L266" s="12" t="str"/>
      <x:c r="M266" s="12" t="str"/>
      <x:c r="N266" s="12" t="str"/>
      <x:c r="O266" s="12" t="str"/>
      <x:c r="P266" s="12" t="str"/>
    </x:row>
    <x:row r="267">
      <x:c r="A267" s="8" t="str">
        <x:v>ext-helvetia-fail-016</x:v>
      </x:c>
      <x:c r="B267" s="8" t="str">
        <x:v>helvetia_pdf</x:v>
      </x:c>
      <x:c r="C267" s="8" t="str">
        <x:v>data/raw/pdfs/legal-protection-sti.pdf</x:v>
      </x:c>
      <x:c r="D267" s="8" t="str">
        <x:v>legal-protection-sti</x:v>
      </x:c>
      <x:c r="E267" s="8" t="n">
        <x:v>3</x:v>
      </x:c>
      <x:c r="F267" s="10" t="str">
        <x:v>According to legal-protection-sti.pdf, what provision is stated in the supplied policy context?</x:v>
      </x:c>
      <x:c r="G267" s="10" t="str">
        <x:v>g and betting; g) aircraft, to the extent that official qualifications are required to pilot them; h) motor vehicles and watercraft; i) administrative procedures (e.g. education authorities, social services); j) breaches of the insured person’s privacy which are recognizable to third parties; k) family law, cohabitation, inheritance law. However, in the above cases the legal consulting in the services product pursuant to Art. A7 applies. In accordance with the policy The insurance does not cover the defence of the insured person against claims for damages or the enforcement of pure financial losses (in the absence of associated bodily injury or property damage). In accordance with the policy If the insured person is investigated for a premeditated offence, costs will only be covered in the event of an acquittal or if the case is dropped. Legal protection insurance The insurance covers Where Waiting period Base event Do you want to know how you are insured? The scope of benefits and sums insured are listed in your policy in accordance with your wishes. Where a single incident gives rise to multiple legal disputes, those disputes will be treated as a single legal protection claim or a single case. The explanation of terms must be used additionally to determine the insurance coverage. Switzerland and the Principality of Liechtenstein Countries of the European Union and the EFTA All other countries A1 Basic insurance A1.1 The policy covers any legal disputes in which the insured persons may be involved as private individuals in their everyday private lives. Benefits for legal disputes as a pedestrian, cyclist or scooter rider, inline skater and similar, or a passenger of any kind of transport, contractual party, consumer of goods and services, patient, Internet user A1.1.1 Assertion of non-con</x:v>
      </x:c>
      <x:c r="H267" s="10" t="str">
        <x:v>Legal protection insurance The insurance does not cover Where Waiting period Base event Do you want to know how you are insured?</x:v>
      </x:c>
      <x:c r="I267" s="8" t="str">
        <x:v>legal_protection</x:v>
      </x:c>
      <x:c r="J267" s="8" t="str">
        <x:v>CALIBRATION</x:v>
      </x:c>
      <x:c r="K267" s="10" t="str"/>
      <x:c r="L267" s="12" t="str"/>
      <x:c r="M267" s="12" t="str"/>
      <x:c r="N267" s="12" t="str"/>
      <x:c r="O267" s="12" t="str"/>
      <x:c r="P267" s="12" t="str"/>
    </x:row>
    <x:row r="268">
      <x:c r="A268" s="8" t="str">
        <x:v>ext-helvetia-fail-017</x:v>
      </x:c>
      <x:c r="B268" s="8" t="str">
        <x:v>helvetia_pdf</x:v>
      </x:c>
      <x:c r="C268" s="8" t="str">
        <x:v>data/raw/pdfs/motor-vehicle-insurance-sti.pdf</x:v>
      </x:c>
      <x:c r="D268" s="8" t="str">
        <x:v>motor-vehicle-insurance-sti</x:v>
      </x:c>
      <x:c r="E268" s="8" t="n">
        <x:v>4</x:v>
      </x:c>
      <x:c r="F268" s="10" t="str">
        <x:v>According to motor-vehicle-insurance-sti.pdf, what provision is stated in the supplied policy context?</x:v>
      </x:c>
      <x:c r="G268" s="10" t="str">
        <x:v>ch of the duty to notify. If the contract is terminated in this manner, the obligation to pay benefits also ceases for any loss already suffered if the occurrence or scope of such loss was influenced by the incorrectly or incompletely disclosed risk. If benefits have already been paid for such losses, repayment may be demanded. 5 Right of revocation The policyholder may revoke, in writing or any other text form, their application to conclude the contract or their declaration of acceptance of such contract. The period of cancellation is 14 days and commences as soon as the policyholder has applied for or accepted the contract. This period is considered to have been met if the policyholder has notified Helvetia of the revocation or submitted their notice of revocation to the postal service on or by the last day of the period of revocation. The right of revocation is excluded in the case of group personal insurance, provisional confirmation of cover, agreements with a term of less than one month. An annual premium / single premium will remain due if an injured third party can credibly make claims against Helvetia. 6 Increase and decrease in risk If any circumstance that is material to the assessment of the risk should change during the term of the contract, and if its extent was determined by the parties on concluding the contract, the policy - holder is required to give Helvetia immediate notice of such change in writing or any other text form. All risk factors about which Helvetia requests the policyholder to provide information on the application form or otherwise inquires about (e. g. risk questionnaire, risk and operational characteristics, etc.) are deemed material. If the policyholder fails to give such notice, Helvetia shall not be bound by the contract for the period thereafter. If such notice has been given, Helvetia ma</x:v>
      </x:c>
      <x:c r="H268" s="10" t="str">
        <x:v>The right of revocation is included in the case of group personal insurance, provisional confirmation of cover, agreements with a term of less than one month.</x:v>
      </x:c>
      <x:c r="I268" s="8" t="str">
        <x:v>motor</x:v>
      </x:c>
      <x:c r="J268" s="8" t="str">
        <x:v>LOCKED_HOLDOUT_CANDIDATE</x:v>
      </x:c>
      <x:c r="K268" s="10" t="str"/>
      <x:c r="L268" s="12" t="str"/>
      <x:c r="M268" s="12" t="str"/>
      <x:c r="N268" s="12" t="str"/>
      <x:c r="O268" s="12" t="str"/>
      <x:c r="P268" s="12" t="str"/>
    </x:row>
    <x:row r="269">
      <x:c r="A269" s="8" t="str">
        <x:v>ext-helvetia-fail-018</x:v>
      </x:c>
      <x:c r="B269" s="8" t="str">
        <x:v>helvetia_pdf</x:v>
      </x:c>
      <x:c r="C269" s="8" t="str">
        <x:v>data/raw/pdfs/mutual-provisions-pkv.pdf</x:v>
      </x:c>
      <x:c r="D269" s="8" t="str">
        <x:v>mutual-provisions-pkv</x:v>
      </x:c>
      <x:c r="E269" s="8" t="n">
        <x:v>3</x:v>
      </x:c>
      <x:c r="F269" s="10" t="str">
        <x:v>According to mutual-provisions-pkv.pdf, what provision is stated in the supplied policy context?</x:v>
      </x:c>
      <x:c r="G269" s="10" t="str">
        <x:v>he duty to notify. If the contract is cancelled by such a termination, Helvetiaʼs obligation to pay benefits for any damage already suffered, as far as the occurrence or extent of which was affected by the incomplete or wrong answer, will also lapse. If benefits have already been paid for such losses, repayment may be demanded. 5 Right of revocation The policyholder may revoke, in writing or any other text form, their application to conclude the contract or their declaration of acceptance of such contract. The period of cancellation is 14 days and commences as soon as the policyholder has applied for or accepted the contract. This period is considered to have been met if the policyholder has notified Helvetia of the revocation or submitted their notice of revocation to the postal service on or by the last day of the period of revocation. The right of revocation is excluded in the case of group personal insurance, provisional confirmation of cover, agreements with a term of less than one month. 6 Increase and decrease in risk If any circumstance that is material to the assessment of the risk should change during the term of the contract, and if its extent was determined by the parties on concluding the contract, the policyholder is required to give Helvetia immediate notice of such change in writing or any other text form. All risk factors about which Helvetia requests the policyholder to provide information on the application form or otherwise inquires about (e. g. risk questionnaire, risk and operational characteristics, etc.) are deemed material. If the policyholder fails to give such notice, Helvetia shall not be bound by the contract for the period thereafter. If such notice has been given, Helvetia may increase the premium retroactively as of the time the risks increased or terminate the part of the contract affected by t</x:v>
      </x:c>
      <x:c r="H269" s="10" t="str">
        <x:v>The right of revocation is included in the case of group personal insurance, provisional confirmation of cover, agreements with a term of less than one month.</x:v>
      </x:c>
      <x:c r="I269" s="8" t="str">
        <x:v>general_insurance</x:v>
      </x:c>
      <x:c r="J269" s="8" t="str">
        <x:v>CALIBRATION</x:v>
      </x:c>
      <x:c r="K269" s="10" t="str"/>
      <x:c r="L269" s="12" t="str"/>
      <x:c r="M269" s="12" t="str"/>
      <x:c r="N269" s="12" t="str"/>
      <x:c r="O269" s="12" t="str"/>
      <x:c r="P269" s="12" t="str"/>
    </x:row>
    <x:row r="270">
      <x:c r="A270" s="8" t="str">
        <x:v>ext-helvetia-fail-019</x:v>
      </x:c>
      <x:c r="B270" s="8" t="str">
        <x:v>helvetia_pdf</x:v>
      </x:c>
      <x:c r="C270" s="8" t="str">
        <x:v>data/raw/pdfs/rental-guarantee-insurance-sti.pdf</x:v>
      </x:c>
      <x:c r="D270" s="8" t="str">
        <x:v>rental-guarantee-insurance-sti</x:v>
      </x:c>
      <x:c r="E270" s="8" t="n">
        <x:v>3</x:v>
      </x:c>
      <x:c r="F270" s="10" t="str">
        <x:v>According to rental-guarantee-insurance-sti.pdf, what provision is stated in the supplied policy context?</x:v>
      </x:c>
      <x:c r="G270" s="10" t="str">
        <x:v>h of the duty to notify. If the contract is termi nated in this manner, the obligation to pay benefits also ceases for any loss already suffered if the occurrence or scope of such loss was influenced by the incorrectly or incompletely disclosed risk. If benefits have already been paid for such losses, repayment may be demanded. 5 Right of revocation The policyholder may revoke, in writing or any other text form, their application to conclude the contract or their declaration of acceptance of such contract. The period of cancellation is 14 days and commences as soon as the policyholder has applied for or accepted the contract. This period is considered to have been met if the policyholder has notified Helvetia of the revocation or submitted their notice of revocation to the postal service on or by the last day of the period of revocation. The right of revocation is excluded in the case of group personal insurance, provisional confirmation of cover, agreements with a term of less than one month. 6 Conclusion of the contract / start of insurance coverage After the insurance application has been received by the Helvetia head office in St. Gallen, Helvetia will notify the policyholder as soon as possible whether it accepts the application. As soon as the policyholder has received notice of acceptance, the insurance is deemed concluded. The policyholder shall be provided with his policy as proof of the conclusion of the insurance. Insurance cover starts on the commencement date given in the policy, unless a confirmation of cover in text form was issued for an earlier date. 7 Term of insurance and termination of insurance contract The first insurance year begins at the start of the contract and lasts until the due date of the next annual premium specified in the policy. The contract is extended by one year at a time. The contract can</x:v>
      </x:c>
      <x:c r="H270" s="10" t="str">
        <x:v>The right of revocation is included in the case of group personal insurance, provisional confirmation of cover, agreements with a term of less than one month.</x:v>
      </x:c>
      <x:c r="I270" s="8" t="str">
        <x:v>rental_guarantee</x:v>
      </x:c>
      <x:c r="J270" s="8" t="str">
        <x:v>LOCKED_HOLDOUT_CANDIDATE</x:v>
      </x:c>
      <x:c r="K270" s="10" t="str"/>
      <x:c r="L270" s="12" t="str"/>
      <x:c r="M270" s="12" t="str"/>
      <x:c r="N270" s="12" t="str"/>
      <x:c r="O270" s="12" t="str"/>
      <x:c r="P270" s="12" t="str"/>
    </x:row>
    <x:row r="271">
      <x:c r="A271" s="8" t="str">
        <x:v>ext-helvetia-fail-020</x:v>
      </x:c>
      <x:c r="B271" s="8" t="str">
        <x:v>helvetia_pdf</x:v>
      </x:c>
      <x:c r="C271" s="8" t="str">
        <x:v>data/raw/pdfs/assistance-brochure.pdf</x:v>
      </x:c>
      <x:c r="D271" s="8" t="str">
        <x:v>assistance-brochure</x:v>
      </x:c>
      <x:c r="E271" s="8" t="n">
        <x:v>4</x:v>
      </x:c>
      <x:c r="F271" s="10" t="str">
        <x:v>According to assistance-brochure.pdf, what provision is stated in the supplied policy context?</x:v>
      </x:c>
      <x:c r="G271" s="10" t="str">
        <x:v>Cancellation cost insurance and Assistance for persons. Cancellation cost insurance covers you for unforeseen events occurring before your departure that make it impossible for you to set off on your journey. Assistance for persons provides insurance to cover you if anything happens while you're travelling. Insured events • Illness, accident or death • Loss of employment • Breakdown/delay of public transport • Breakdown of the vehicle or taxi you are travelling in • Damage to your property at home • Incidents occurring en route to or after arrival at your destination (e.g. strikes, terrorism, volcanic eruption or other natural events) • Grounding, strike or bankruptcy of your airline or tour operator Insured benefits We will cover the cost if you have to cancel, abort or extend your trip. Pre-departure benefits • Cancellation costs, incl. administration fees • Additional travel expenses in the event of delayed departure • Additional expenses Benefits while travelling • Call-back and transport costs • Refundable cost advance while abroad • Add</x:v>
      </x:c>
      <x:c r="H271" s="10" t="str">
        <x:v>Cancellation cost insurance does not cover you for unforeseen events occurring before your departure that make it impossible for you to set off on your journey.</x:v>
      </x:c>
      <x:c r="I271" s="8" t="str">
        <x:v>travel_assistance</x:v>
      </x:c>
      <x:c r="J271" s="8" t="str">
        <x:v>CALIBRATION</x:v>
      </x:c>
      <x:c r="K271" s="10" t="str"/>
      <x:c r="L271" s="12" t="str"/>
      <x:c r="M271" s="12" t="str"/>
      <x:c r="N271" s="12" t="str"/>
      <x:c r="O271" s="12" t="str"/>
      <x:c r="P271" s="12" t="str"/>
    </x:row>
    <x:row r="272">
      <x:c r="A272" s="8" t="str">
        <x:v>ext-helvetia-fail-021</x:v>
      </x:c>
      <x:c r="B272" s="8" t="str">
        <x:v>helvetia_pdf</x:v>
      </x:c>
      <x:c r="C272" s="8" t="str">
        <x:v>data/raw/pdfs/assistance-sti.pdf</x:v>
      </x:c>
      <x:c r="D272" s="8" t="str">
        <x:v>assistance-sti</x:v>
      </x:c>
      <x:c r="E272" s="8" t="n">
        <x:v>4</x:v>
      </x:c>
      <x:c r="F272" s="10" t="str">
        <x:v>According to assistance-sti.pdf, what provision is stated in the supplied policy context?</x:v>
      </x:c>
      <x:c r="G272" s="10" t="str">
        <x:v> is injured or dies after the trip commences and the presence of the accompanying person is required at home. The costs required to accompany the accompanying person to the nearest suitable hospital; Additional costs incurred for the direct return trip if the insured person wishes to return to their place of residence; If continuation of the previously commenced trip or holiday is possible afterwards, additional transport costs up to a maxi mum of CHF 1ʼ000 will be paid per insured person; D4 Failure or delay If continuation of the journey in line with the original itinerary cannot be guaranteed due to one of the following events: a) failure or delay of public transport o r means of transportation; b) the vehicle or taxi used for transportation cannot be driven (is unroadwort hy) due to breakdown, accident, theft, fire or natural forces. The benefits will only be provided if the scheduled delay exceeds one hour as a result of an insured event. Benefits will only be provided for missed connections if there are more than three hours between the scheduled arrival and departure times. Additional transport costs up to a maximum of CHF 2ʼ000 per insured person. Personal assistance</x:v>
      </x:c>
      <x:c r="H272" s="10" t="str">
        <x:v>The benefits will only be provided if the scheduled delay exceeds one hour as a result of an insured event. [assistance-sti.pdf, page 5]</x:v>
      </x:c>
      <x:c r="I272" s="8" t="str">
        <x:v>travel_assistance</x:v>
      </x:c>
      <x:c r="J272" s="8" t="str">
        <x:v>CALIBRATION</x:v>
      </x:c>
      <x:c r="K272" s="10" t="str"/>
      <x:c r="L272" s="12" t="str"/>
      <x:c r="M272" s="12" t="str"/>
      <x:c r="N272" s="12" t="str"/>
      <x:c r="O272" s="12" t="str"/>
      <x:c r="P272" s="12" t="str"/>
    </x:row>
    <x:row r="273">
      <x:c r="A273" s="8" t="str">
        <x:v>ext-helvetia-fail-022</x:v>
      </x:c>
      <x:c r="B273" s="8" t="str">
        <x:v>helvetia_pdf</x:v>
      </x:c>
      <x:c r="C273" s="8" t="str">
        <x:v>data/raw/pdfs/brochure-household-contents-and-private-liability.pdf</x:v>
      </x:c>
      <x:c r="D273" s="8" t="str">
        <x:v>brochure-household-contents-and-private-liability</x:v>
      </x:c>
      <x:c r="E273" s="8" t="n">
        <x:v>2</x:v>
      </x:c>
      <x:c r="F273" s="10" t="str">
        <x:v>According to brochure-household-contents-and-private-liability.pdf, what provision is stated in the supplied policy context?</x:v>
      </x:c>
      <x:c r="G273" s="10" t="str">
        <x:v>There are dangers lurking in the digital world too. Imagine you order something online and the wrong goods are delivered or your order never even turns up. Protect yourself with cyber insurance. Household contents insurance All-round protection for your personal possessions Household contents and private liability insurance 2/8</x:v>
      </x:c>
      <x:c r="H273" s="10" t="str">
        <x:v>Household contents insurance All-round protection for your personal possessions Household contents and private liability insurance 2/8 [brochure-household-contents-and-private-liability.pdf, page 3]</x:v>
      </x:c>
      <x:c r="I273" s="8" t="str">
        <x:v>household</x:v>
      </x:c>
      <x:c r="J273" s="8" t="str">
        <x:v>LOCKED_HOLDOUT_CANDIDATE</x:v>
      </x:c>
      <x:c r="K273" s="10" t="str"/>
      <x:c r="L273" s="12" t="str"/>
      <x:c r="M273" s="12" t="str"/>
      <x:c r="N273" s="12" t="str"/>
      <x:c r="O273" s="12" t="str"/>
      <x:c r="P273" s="12" t="str"/>
    </x:row>
    <x:row r="274">
      <x:c r="A274" s="8" t="str">
        <x:v>ext-helvetia-fail-023</x:v>
      </x:c>
      <x:c r="B274" s="8" t="str">
        <x:v>helvetia_pdf</x:v>
      </x:c>
      <x:c r="C274" s="8" t="str">
        <x:v>data/raw/pdfs/brochure-services.pdf</x:v>
      </x:c>
      <x:c r="D274" s="8" t="str">
        <x:v>brochure-services</x:v>
      </x:c>
      <x:c r="E274" s="8" t="n">
        <x:v>2</x:v>
      </x:c>
      <x:c r="F274" s="10" t="str">
        <x:v>According to brochure-services.pdf, what provision is stated in the supplied policy context?</x:v>
      </x:c>
      <x:c r="G274"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274" s="10" t="str">
        <x:v>As a Swiss insurance company we stand for quality, friendliness and service. [brochure-services.pdf, page 3]</x:v>
      </x:c>
      <x:c r="I274" s="8" t="str">
        <x:v>general_insurance</x:v>
      </x:c>
      <x:c r="J274" s="8" t="str">
        <x:v>LOCKED_HOLDOUT_CANDIDATE</x:v>
      </x:c>
      <x:c r="K274" s="10" t="str"/>
      <x:c r="L274" s="12" t="str"/>
      <x:c r="M274" s="12" t="str"/>
      <x:c r="N274" s="12" t="str"/>
      <x:c r="O274" s="12" t="str"/>
      <x:c r="P274" s="12" t="str"/>
    </x:row>
    <x:row r="275">
      <x:c r="A275" s="8" t="str">
        <x:v>ext-helvetia-fail-024</x:v>
      </x:c>
      <x:c r="B275" s="8" t="str">
        <x:v>helvetia_pdf</x:v>
      </x:c>
      <x:c r="C275" s="8" t="str">
        <x:v>data/raw/pdfs/buildings-insurance-sti.pdf</x:v>
      </x:c>
      <x:c r="D275" s="8" t="str">
        <x:v>buildings-insurance-sti</x:v>
      </x:c>
      <x:c r="E275" s="8" t="n">
        <x:v>2</x:v>
      </x:c>
      <x:c r="F275" s="10" t="str">
        <x:v>According to buildings-insurance-sti.pdf, what provision is stated in the supplied policy context?</x:v>
      </x:c>
      <x:c r="G275"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Table of contents</x:v>
      </x:c>
      <x:c r="H275"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[buildings-insurance-sti.pdf, page 3]</x:v>
      </x:c>
      <x:c r="I275" s="8" t="str">
        <x:v>household</x:v>
      </x:c>
      <x:c r="J275" s="8" t="str">
        <x:v>CALIBRATION</x:v>
      </x:c>
      <x:c r="K275" s="10" t="str"/>
      <x:c r="L275" s="12" t="str"/>
      <x:c r="M275" s="12" t="str"/>
      <x:c r="N275" s="12" t="str"/>
      <x:c r="O275" s="12" t="str"/>
      <x:c r="P275" s="12" t="str"/>
    </x:row>
    <x:row r="276">
      <x:c r="A276" s="8" t="str">
        <x:v>ext-helvetia-fail-025</x:v>
      </x:c>
      <x:c r="B276" s="8" t="str">
        <x:v>helvetia_pdf</x:v>
      </x:c>
      <x:c r="C276" s="8" t="str">
        <x:v>data/raw/pdfs/household-contents-private-liability-sti.pdf</x:v>
      </x:c>
      <x:c r="D276" s="8" t="str">
        <x:v>household-contents-private-liability-sti</x:v>
      </x:c>
      <x:c r="E276" s="8" t="n">
        <x:v>1</x:v>
      </x:c>
      <x:c r="F276" s="10" t="str">
        <x:v>According to household-contents-private-liability-sti.pdf, what provision is stated in the supplied policy context?</x:v>
      </x:c>
      <x:c r="G276" s="10" t="str">
        <x:v>Standard Terms of Insurance (STI) Helvetia private customers insurance Household contents and private liability September 2025 edition</x:v>
      </x:c>
      <x:c r="H276" s="10" t="str">
        <x:v>Standard Terms of Insurance (STI) Helvetia private customers insurance Household contents and private liability September 2025 edition [household-contents-private-liability-sti.pdf, page 2]</x:v>
      </x:c>
      <x:c r="I276" s="8" t="str">
        <x:v>household</x:v>
      </x:c>
      <x:c r="J276" s="8" t="str">
        <x:v>LOCKED_HOLDOUT_CANDIDATE</x:v>
      </x:c>
      <x:c r="K276" s="10" t="str"/>
      <x:c r="L276" s="12" t="str"/>
      <x:c r="M276" s="12" t="str"/>
      <x:c r="N276" s="12" t="str"/>
      <x:c r="O276" s="12" t="str"/>
      <x:c r="P276" s="12" t="str"/>
    </x:row>
    <x:row r="277">
      <x:c r="A277" s="8" t="str">
        <x:v>ext-helvetia-fail-026</x:v>
      </x:c>
      <x:c r="B277" s="8" t="str">
        <x:v>helvetia_pdf</x:v>
      </x:c>
      <x:c r="C277" s="8" t="str">
        <x:v>data/raw/pdfs/legal-protection-sti.pdf</x:v>
      </x:c>
      <x:c r="D277" s="8" t="str">
        <x:v>legal-protection-sti</x:v>
      </x:c>
      <x:c r="E277" s="8" t="n">
        <x:v>2</x:v>
      </x:c>
      <x:c r="F277" s="10" t="str">
        <x:v>According to legal-protection-sti.pdf, what provision is stated in the supplied policy context?</x:v>
      </x:c>
      <x:c r="G277"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3/16 | Helvetia Swiss Insurance Company Ltd. STI Helvetia private customers insurance, Legal protection – September 2021 edition</x:v>
      </x:c>
      <x:c r="H277"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[legal-protection-sti.pdf, page 3]</x:v>
      </x:c>
      <x:c r="I277" s="8" t="str">
        <x:v>household</x:v>
      </x:c>
      <x:c r="J277" s="8" t="str">
        <x:v>CALIBRATION</x:v>
      </x:c>
      <x:c r="K277" s="10" t="str"/>
      <x:c r="L277" s="12" t="str"/>
      <x:c r="M277" s="12" t="str"/>
      <x:c r="N277" s="12" t="str"/>
      <x:c r="O277" s="12" t="str"/>
      <x:c r="P277" s="12" t="str"/>
    </x:row>
    <x:row r="278">
      <x:c r="A278" s="8" t="str">
        <x:v>ext-helvetia-fail-027</x:v>
      </x:c>
      <x:c r="B278" s="8" t="str">
        <x:v>helvetia_pdf</x:v>
      </x:c>
      <x:c r="C278" s="8" t="str">
        <x:v>data/raw/pdfs/motor-vehicle-insurance-product-sheet.pdf</x:v>
      </x:c>
      <x:c r="D278" s="8" t="str">
        <x:v>motor-vehicle-insurance-product-sheet</x:v>
      </x:c>
      <x:c r="E278" s="8" t="n">
        <x:v>2</x:v>
      </x:c>
      <x:c r="F278" s="10" t="str">
        <x:v>According to motor-vehicle-insurance-product-sheet.pdf, what provision is stated in the supplied policy context?</x:v>
      </x:c>
      <x:c r="G278"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78" s="10" t="str">
        <x:v>Helvetia’s liability insurance protects you against unexpected financial burdens arising from an accident you cause. [motor-vehicle-insurance-product-sheet.pdf, page 3]</x:v>
      </x:c>
      <x:c r="I278" s="8" t="str">
        <x:v>motor</x:v>
      </x:c>
      <x:c r="J278" s="8" t="str">
        <x:v>VALIDATION</x:v>
      </x:c>
      <x:c r="K278" s="10" t="str"/>
      <x:c r="L278" s="12" t="str"/>
      <x:c r="M278" s="12" t="str"/>
      <x:c r="N278" s="12" t="str"/>
      <x:c r="O278" s="12" t="str"/>
      <x:c r="P278" s="12" t="str"/>
    </x:row>
    <x:row r="279">
      <x:c r="A279" s="8" t="str">
        <x:v>ext-helvetia-fail-028</x:v>
      </x:c>
      <x:c r="B279" s="8" t="str">
        <x:v>helvetia_pdf</x:v>
      </x:c>
      <x:c r="C279" s="8" t="str">
        <x:v>data/raw/pdfs/motor-vehicle-insurance-sti.pdf</x:v>
      </x:c>
      <x:c r="D279" s="8" t="str">
        <x:v>motor-vehicle-insurance-sti</x:v>
      </x:c>
      <x:c r="E279" s="8" t="n">
        <x:v>2</x:v>
      </x:c>
      <x:c r="F279" s="10" t="str">
        <x:v>According to motor-vehicle-insurance-sti.pdf, what provision is stated in the supplied policy context?</x:v>
      </x:c>
      <x:c r="G279"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The original German wording governs the legal interpretation of your policy.</x:v>
      </x:c>
      <x:c r="H279"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[motor-vehicle-insurance-sti.pdf, page 3]</x:v>
      </x:c>
      <x:c r="I279" s="8" t="str">
        <x:v>motor</x:v>
      </x:c>
      <x:c r="J279" s="8" t="str">
        <x:v>LOCKED_HOLDOUT_CANDIDATE</x:v>
      </x:c>
      <x:c r="K279" s="10" t="str"/>
      <x:c r="L279" s="12" t="str"/>
      <x:c r="M279" s="12" t="str"/>
      <x:c r="N279" s="12" t="str"/>
      <x:c r="O279" s="12" t="str"/>
      <x:c r="P279" s="12" t="str"/>
    </x:row>
    <x:row r="280">
      <x:c r="A280" s="8" t="str">
        <x:v>ext-helvetia-fail-029</x:v>
      </x:c>
      <x:c r="B280" s="8" t="str">
        <x:v>helvetia_pdf</x:v>
      </x:c>
      <x:c r="C280" s="8" t="str">
        <x:v>data/raw/pdfs/mutual-provisions-pkv.pdf</x:v>
      </x:c>
      <x:c r="D280" s="8" t="str">
        <x:v>mutual-provisions-pkv</x:v>
      </x:c>
      <x:c r="E280" s="8" t="n">
        <x:v>2</x:v>
      </x:c>
      <x:c r="F280" s="10" t="str">
        <x:v>According to mutual-provisions-pkv.pdf, what provision is stated in the supplied policy context?</x:v>
      </x:c>
      <x:c r="G280"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x:v>
      </x:c>
      <x:c r="H280"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[mutual-provisions-pkv.pdf, page 3]</x:v>
      </x:c>
      <x:c r="I280" s="8" t="str">
        <x:v>household</x:v>
      </x:c>
      <x:c r="J280" s="8" t="str">
        <x:v>CALIBRATION</x:v>
      </x:c>
      <x:c r="K280" s="10" t="str"/>
      <x:c r="L280" s="12" t="str"/>
      <x:c r="M280" s="12" t="str"/>
      <x:c r="N280" s="12" t="str"/>
      <x:c r="O280" s="12" t="str"/>
      <x:c r="P280" s="12" t="str"/>
    </x:row>
    <x:row r="281">
      <x:c r="A281" s="8" t="str">
        <x:v>ext-helvetia-fail-030</x:v>
      </x:c>
      <x:c r="B281" s="8" t="str">
        <x:v>helvetia_pdf</x:v>
      </x:c>
      <x:c r="C281" s="8" t="str">
        <x:v>data/raw/pdfs/rental-guarantee-insurance-sti.pdf</x:v>
      </x:c>
      <x:c r="D281" s="8" t="str">
        <x:v>rental-guarantee-insurance-sti</x:v>
      </x:c>
      <x:c r="E281" s="8" t="n">
        <x:v>3</x:v>
      </x:c>
      <x:c r="F281" s="10" t="str">
        <x:v>According to rental-guarantee-insurance-sti.pdf, what provision is stated in the supplied policy context?</x:v>
      </x:c>
      <x:c r="G281"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281" s="10" t="str">
        <x:v>3/7 | Helvetia Swiss Insurance Company Ltd STI Helvetia private rental guarantee insurance – September 2025 edition 1 Contracting party Your contracting party is: Helvetia Swiss Insurance Company Ltd Dufourstrasse 40 9001 St. [rental-guarantee-insurance-sti.pdf, page 4]</x:v>
      </x:c>
      <x:c r="I281" s="8" t="str">
        <x:v>rental_guarantee</x:v>
      </x:c>
      <x:c r="J281" s="8" t="str">
        <x:v>LOCKED_HOLDOUT_CANDIDATE</x:v>
      </x:c>
      <x:c r="K281" s="10" t="str"/>
      <x:c r="L281" s="12" t="str"/>
      <x:c r="M281" s="12" t="str"/>
      <x:c r="N281" s="12" t="str"/>
      <x:c r="O281" s="12" t="str"/>
      <x:c r="P281" s="12" t="str"/>
    </x:row>
    <x:row r="282">
      <x:c r="A282" s="8" t="str">
        <x:v>ext-helvetia-fail-031</x:v>
      </x:c>
      <x:c r="B282" s="8" t="str">
        <x:v>helvetia_pdf</x:v>
      </x:c>
      <x:c r="C282" s="8" t="str">
        <x:v>data/raw/pdfs/assistance-sti.pdf</x:v>
      </x:c>
      <x:c r="D282" s="8" t="str">
        <x:v>assistance-sti</x:v>
      </x:c>
      <x:c r="E282" s="8" t="n">
        <x:v>7</x:v>
      </x:c>
      <x:c r="F282" s="10" t="str">
        <x:v>According to assistance-sti.pdf, what provision is stated in the supplied policy context?</x:v>
      </x:c>
      <x:c r="G282" s="10" t="str">
        <x:v>s G2 Loss of vehicle use as a result of collisi on, unroadworthiness, snow accident, glass breakage, collision with animals, deliberate damage, theft or damage to the vehicle caused by fire or natural forces. In the case of rental cars, the insured events listed under H15 apply. Insured benefits The insurance covers the following benefits. For each event, the combined benefits are limited to the insured sum agreed in the policy and are payable only once. These benefits cannot be combined with the benefits from personal assistance or cancellation costs. H1 Breakdown assistance Costs for breakdown assistance, including spare parts for restoring the vehicleʼs function at the break down location. Spare parts are deemed to be only those parts ordinarily transported by breakdown assistance vehicles (fuel and vehicle batteries are not insured). H2 Towing services If the vehicleʼs function cannot be restored at the breakdown location, the costs for towing and trans porting the vehicle to the nearest suitable vehicle repair shop for the work in question or to a location suitable for storage are covered. H3 Vehicle recovery If the vehicle is unroadworthy, the costs for recovering the vehicle are insured. H4 Search, rescue and recovery costs Search, rescue and recovery costs are paid for the insured person. H5 Return costs For the return of the unfit-for-driving vehicle to the original garage of the vehicle owner, if the vehicle cannot be repaired within 24 hours (Switzerland and the Principality of Liechtenstein) or, on the basis of an experts’ opinion or professional assessment, within five days (abroad), and if the repair and repatria tion costs are below the current value of the vehicle. If the costs of returning the insured vehicle from abroad exceed the present value of the insured vehicle,the costs will be covered for up to the maximum of the present market value after the insured event ifthe return service has been commissioned by</x:v>
      </x:c>
      <x:c r="H282" s="10" t="str">
        <x:v>H2 Towing services If the vehicleʼs function cannot be restored at the breakdown location, the costs for towing and trans porting the vehicle to the nearest suitable vehicle repair shop for the work in question or to a location suitable for storage are covered. Scope of the insurance cover Household contents includes all movables (such as clothes, furniture, consumer electronics, pets, etc.) required for living and recreation.</x:v>
      </x:c>
      <x:c r="I282" s="8" t="str">
        <x:v>motor</x:v>
      </x:c>
      <x:c r="J282" s="8" t="str">
        <x:v>CALIBRATION</x:v>
      </x:c>
      <x:c r="K282" s="10" t="str"/>
      <x:c r="L282" s="12" t="str"/>
      <x:c r="M282" s="12" t="str"/>
      <x:c r="N282" s="12" t="str"/>
      <x:c r="O282" s="12" t="str"/>
      <x:c r="P282" s="12" t="str"/>
    </x:row>
    <x:row r="283">
      <x:c r="A283" s="8" t="str">
        <x:v>ext-helvetia-fail-032</x:v>
      </x:c>
      <x:c r="B283" s="8" t="str">
        <x:v>helvetia_pdf</x:v>
      </x:c>
      <x:c r="C283" s="8" t="str">
        <x:v>data/raw/pdfs/brochure-household-contents-and-private-liability.pdf</x:v>
      </x:c>
      <x:c r="D283" s="8" t="str">
        <x:v>brochure-household-contents-and-private-liability</x:v>
      </x:c>
      <x:c r="E283" s="8" t="n">
        <x:v>2</x:v>
      </x:c>
      <x:c r="F283" s="10" t="str">
        <x:v>According to brochure-household-contents-and-private-liability.pdf, what provision is stated in the supplied policy context?</x:v>
      </x:c>
      <x:c r="G283" s="10" t="str">
        <x:v>There are dangers lurking in the digital world too. Imagine you order something online and the wrong goods are delivered or your order never even turns up. Protect yourself with cyber insurance. Household contents insurance All-round protection for your personal possessions Household contents and private liability insurance 2/8</x:v>
      </x:c>
      <x:c r="H283" s="10" t="str">
        <x:v>Household contents insurance All-round protection for your personal possessions Household contents and private liability insurance 2/8 H3 Vehicle recovery If the vehicle is unroadworthy, the costs for recovering the vehicle are insured.</x:v>
      </x:c>
      <x:c r="I283" s="8" t="str">
        <x:v>household</x:v>
      </x:c>
      <x:c r="J283" s="8" t="str">
        <x:v>LOCKED_HOLDOUT_CANDIDATE</x:v>
      </x:c>
      <x:c r="K283" s="10" t="str"/>
      <x:c r="L283" s="12" t="str"/>
      <x:c r="M283" s="12" t="str"/>
      <x:c r="N283" s="12" t="str"/>
      <x:c r="O283" s="12" t="str"/>
      <x:c r="P283" s="12" t="str"/>
    </x:row>
    <x:row r="284">
      <x:c r="A284" s="8" t="str">
        <x:v>ext-helvetia-fail-033</x:v>
      </x:c>
      <x:c r="B284" s="8" t="str">
        <x:v>helvetia_pdf</x:v>
      </x:c>
      <x:c r="C284" s="8" t="str">
        <x:v>data/raw/pdfs/brochure-services.pdf</x:v>
      </x:c>
      <x:c r="D284" s="8" t="str">
        <x:v>brochure-services</x:v>
      </x:c>
      <x:c r="E284" s="8" t="n">
        <x:v>2</x:v>
      </x:c>
      <x:c r="F284" s="10" t="str">
        <x:v>According to brochure-services.pdf, what provision is stated in the supplied policy context?</x:v>
      </x:c>
      <x:c r="G284"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284" s="10" t="str">
        <x:v>As a Swiss insurance company we stand for quality, friendliness and service. H3 Vehicle recovery If the vehicle is unroadworthy, the costs for recovering the vehicle are insured.</x:v>
      </x:c>
      <x:c r="I284" s="8" t="str">
        <x:v>general_insurance</x:v>
      </x:c>
      <x:c r="J284" s="8" t="str">
        <x:v>LOCKED_HOLDOUT_CANDIDATE</x:v>
      </x:c>
      <x:c r="K284" s="10" t="str"/>
      <x:c r="L284" s="12" t="str"/>
      <x:c r="M284" s="12" t="str"/>
      <x:c r="N284" s="12" t="str"/>
      <x:c r="O284" s="12" t="str"/>
      <x:c r="P284" s="12" t="str"/>
    </x:row>
    <x:row r="285">
      <x:c r="A285" s="8" t="str">
        <x:v>ext-helvetia-fail-034</x:v>
      </x:c>
      <x:c r="B285" s="8" t="str">
        <x:v>helvetia_pdf</x:v>
      </x:c>
      <x:c r="C285" s="8" t="str">
        <x:v>data/raw/pdfs/buildings-insurance-sti.pdf</x:v>
      </x:c>
      <x:c r="D285" s="8" t="str">
        <x:v>buildings-insurance-sti</x:v>
      </x:c>
      <x:c r="E285" s="8" t="n">
        <x:v>2</x:v>
      </x:c>
      <x:c r="F285" s="10" t="str">
        <x:v>According to buildings-insurance-sti.pdf, what provision is stated in the supplied policy context?</x:v>
      </x:c>
      <x:c r="G285"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Table of contents</x:v>
      </x:c>
      <x:c r="H285"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H3 Vehicle recovery If the vehicle is unroadworthy, the costs for recovering the vehicle are insured.</x:v>
      </x:c>
      <x:c r="I285" s="8" t="str">
        <x:v>household</x:v>
      </x:c>
      <x:c r="J285" s="8" t="str">
        <x:v>CALIBRATION</x:v>
      </x:c>
      <x:c r="K285" s="10" t="str"/>
      <x:c r="L285" s="12" t="str"/>
      <x:c r="M285" s="12" t="str"/>
      <x:c r="N285" s="12" t="str"/>
      <x:c r="O285" s="12" t="str"/>
      <x:c r="P285" s="12" t="str"/>
    </x:row>
    <x:row r="286">
      <x:c r="A286" s="8" t="str">
        <x:v>ext-helvetia-fail-035</x:v>
      </x:c>
      <x:c r="B286" s="8" t="str">
        <x:v>helvetia_pdf</x:v>
      </x:c>
      <x:c r="C286" s="8" t="str">
        <x:v>data/raw/pdfs/household-contents-private-liability-sti.pdf</x:v>
      </x:c>
      <x:c r="D286" s="8" t="str">
        <x:v>household-contents-private-liability-sti</x:v>
      </x:c>
      <x:c r="E286" s="8" t="n">
        <x:v>1</x:v>
      </x:c>
      <x:c r="F286" s="10" t="str">
        <x:v>According to household-contents-private-liability-sti.pdf, what provision is stated in the supplied policy context?</x:v>
      </x:c>
      <x:c r="G286" s="10" t="str">
        <x:v>Standard Terms of Insurance (STI) Helvetia private customers insurance Household contents and private liability September 2025 edition</x:v>
      </x:c>
      <x:c r="H286" s="10" t="str">
        <x:v>Standard Terms of Insurance (STI) Helvetia private customers insurance Household contents and private liability September 2025 edition H3 Vehicle recovery If the vehicle is unroadworthy, the costs for recovering the vehicle are insured.</x:v>
      </x:c>
      <x:c r="I286" s="8" t="str">
        <x:v>household</x:v>
      </x:c>
      <x:c r="J286" s="8" t="str">
        <x:v>LOCKED_HOLDOUT_CANDIDATE</x:v>
      </x:c>
      <x:c r="K286" s="10" t="str"/>
      <x:c r="L286" s="12" t="str"/>
      <x:c r="M286" s="12" t="str"/>
      <x:c r="N286" s="12" t="str"/>
      <x:c r="O286" s="12" t="str"/>
      <x:c r="P286" s="12" t="str"/>
    </x:row>
    <x:row r="287">
      <x:c r="A287" s="8" t="str">
        <x:v>ext-helvetia-fail-036</x:v>
      </x:c>
      <x:c r="B287" s="8" t="str">
        <x:v>helvetia_pdf</x:v>
      </x:c>
      <x:c r="C287" s="8" t="str">
        <x:v>data/raw/pdfs/legal-protection-sti.pdf</x:v>
      </x:c>
      <x:c r="D287" s="8" t="str">
        <x:v>legal-protection-sti</x:v>
      </x:c>
      <x:c r="E287" s="8" t="n">
        <x:v>2</x:v>
      </x:c>
      <x:c r="F287" s="10" t="str">
        <x:v>According to legal-protection-sti.pdf, what provision is stated in the supplied policy context?</x:v>
      </x:c>
      <x:c r="G287"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3/16 | Helvetia Swiss Insurance Company Ltd. STI Helvetia private customers insurance, Legal protection – September 2021 edition</x:v>
      </x:c>
      <x:c r="H287"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H3 Vehicle recovery If the vehicle is unroadworthy, the costs for recovering the vehicle are insured.</x:v>
      </x:c>
      <x:c r="I287" s="8" t="str">
        <x:v>household</x:v>
      </x:c>
      <x:c r="J287" s="8" t="str">
        <x:v>CALIBRATION</x:v>
      </x:c>
      <x:c r="K287" s="10" t="str"/>
      <x:c r="L287" s="12" t="str"/>
      <x:c r="M287" s="12" t="str"/>
      <x:c r="N287" s="12" t="str"/>
      <x:c r="O287" s="12" t="str"/>
      <x:c r="P287" s="12" t="str"/>
    </x:row>
    <x:row r="288">
      <x:c r="A288" s="8" t="str">
        <x:v>ext-helvetia-fail-037</x:v>
      </x:c>
      <x:c r="B288" s="8" t="str">
        <x:v>helvetia_pdf</x:v>
      </x:c>
      <x:c r="C288" s="8" t="str">
        <x:v>data/raw/pdfs/motor-vehicle-insurance-product-sheet.pdf</x:v>
      </x:c>
      <x:c r="D288" s="8" t="str">
        <x:v>motor-vehicle-insurance-product-sheet</x:v>
      </x:c>
      <x:c r="E288" s="8" t="n">
        <x:v>2</x:v>
      </x:c>
      <x:c r="F288" s="10" t="str">
        <x:v>According to motor-vehicle-insurance-product-sheet.pdf, what provision is stated in the supplied policy context?</x:v>
      </x:c>
      <x:c r="G288"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88" s="10" t="str">
        <x:v>Helvetia’s liability insurance protects you against unexpected financial burdens arising from an accident you cause. H3 Vehicle recovery If the vehicle is unroadworthy, the costs for recovering the vehicle are insured.</x:v>
      </x:c>
      <x:c r="I288" s="8" t="str">
        <x:v>motor</x:v>
      </x:c>
      <x:c r="J288" s="8" t="str">
        <x:v>VALIDATION</x:v>
      </x:c>
      <x:c r="K288" s="10" t="str"/>
      <x:c r="L288" s="12" t="str"/>
      <x:c r="M288" s="12" t="str"/>
      <x:c r="N288" s="12" t="str"/>
      <x:c r="O288" s="12" t="str"/>
      <x:c r="P288" s="12" t="str"/>
    </x:row>
    <x:row r="289">
      <x:c r="A289" s="8" t="str">
        <x:v>ext-helvetia-fail-038</x:v>
      </x:c>
      <x:c r="B289" s="8" t="str">
        <x:v>helvetia_pdf</x:v>
      </x:c>
      <x:c r="C289" s="8" t="str">
        <x:v>data/raw/pdfs/motor-vehicle-insurance-sti.pdf</x:v>
      </x:c>
      <x:c r="D289" s="8" t="str">
        <x:v>motor-vehicle-insurance-sti</x:v>
      </x:c>
      <x:c r="E289" s="8" t="n">
        <x:v>2</x:v>
      </x:c>
      <x:c r="F289" s="10" t="str">
        <x:v>According to motor-vehicle-insurance-sti.pdf, what provision is stated in the supplied policy context?</x:v>
      </x:c>
      <x:c r="G289"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The original German wording governs the legal interpretation of your policy.</x:v>
      </x:c>
      <x:c r="H289"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H3 Vehicle recovery If the vehicle is unroadworthy, the costs for recovering the vehicle are insured.</x:v>
      </x:c>
      <x:c r="I289" s="8" t="str">
        <x:v>motor</x:v>
      </x:c>
      <x:c r="J289" s="8" t="str">
        <x:v>LOCKED_HOLDOUT_CANDIDATE</x:v>
      </x:c>
      <x:c r="K289" s="10" t="str"/>
      <x:c r="L289" s="12" t="str"/>
      <x:c r="M289" s="12" t="str"/>
      <x:c r="N289" s="12" t="str"/>
      <x:c r="O289" s="12" t="str"/>
      <x:c r="P289" s="12" t="str"/>
    </x:row>
    <x:row r="290">
      <x:c r="A290" s="8" t="str">
        <x:v>ext-helvetia-fail-039</x:v>
      </x:c>
      <x:c r="B290" s="8" t="str">
        <x:v>helvetia_pdf</x:v>
      </x:c>
      <x:c r="C290" s="8" t="str">
        <x:v>data/raw/pdfs/mutual-provisions-pkv.pdf</x:v>
      </x:c>
      <x:c r="D290" s="8" t="str">
        <x:v>mutual-provisions-pkv</x:v>
      </x:c>
      <x:c r="E290" s="8" t="n">
        <x:v>2</x:v>
      </x:c>
      <x:c r="F290" s="10" t="str">
        <x:v>According to mutual-provisions-pkv.pdf, what provision is stated in the supplied policy context?</x:v>
      </x:c>
      <x:c r="G290"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x:v>
      </x:c>
      <x:c r="H290"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H3 Vehicle recovery If the vehicle is unroadworthy, the costs for recovering the vehicle are insured.</x:v>
      </x:c>
      <x:c r="I290" s="8" t="str">
        <x:v>household</x:v>
      </x:c>
      <x:c r="J290" s="8" t="str">
        <x:v>CALIBRATION</x:v>
      </x:c>
      <x:c r="K290" s="10" t="str"/>
      <x:c r="L290" s="12" t="str"/>
      <x:c r="M290" s="12" t="str"/>
      <x:c r="N290" s="12" t="str"/>
      <x:c r="O290" s="12" t="str"/>
      <x:c r="P290" s="12" t="str"/>
    </x:row>
    <x:row r="291">
      <x:c r="A291" s="8" t="str">
        <x:v>ext-helvetia-fail-040</x:v>
      </x:c>
      <x:c r="B291" s="8" t="str">
        <x:v>helvetia_pdf</x:v>
      </x:c>
      <x:c r="C291" s="8" t="str">
        <x:v>data/raw/pdfs/rental-guarantee-insurance-sti.pdf</x:v>
      </x:c>
      <x:c r="D291" s="8" t="str">
        <x:v>rental-guarantee-insurance-sti</x:v>
      </x:c>
      <x:c r="E291" s="8" t="n">
        <x:v>3</x:v>
      </x:c>
      <x:c r="F291" s="10" t="str">
        <x:v>According to rental-guarantee-insurance-sti.pdf, what provision is stated in the supplied policy context?</x:v>
      </x:c>
      <x:c r="G291"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291" s="10" t="str">
        <x:v>3/7 | Helvetia Swiss Insurance Company Ltd STI Helvetia private rental guarantee insurance – September 2025 edition 1 Contracting party Your contracting party is: Helvetia Swiss Insurance Company Ltd Dufourstrasse 40 9001 St. H3 Vehicle recovery If the vehicle is unroadworthy, the costs for recovering the vehicle are insured.</x:v>
      </x:c>
      <x:c r="I291" s="8" t="str">
        <x:v>rental_guarantee</x:v>
      </x:c>
      <x:c r="J291" s="8" t="str">
        <x:v>LOCKED_HOLDOUT_CANDIDATE</x:v>
      </x:c>
      <x:c r="K291" s="10" t="str"/>
      <x:c r="L291" s="12" t="str"/>
      <x:c r="M291" s="12" t="str"/>
      <x:c r="N291" s="12" t="str"/>
      <x:c r="O291" s="12" t="str"/>
      <x:c r="P291" s="12" t="str"/>
    </x:row>
    <x:row r="292">
      <x:c r="A292" s="8" t="str">
        <x:v>ext-baloise-fail-001</x:v>
      </x:c>
      <x:c r="B292" s="8" t="str">
        <x:v>baloise_excluded_pdf</x:v>
      </x:c>
      <x:c r="C292" s="8" t="str">
        <x:v>data/raw/pdfs/household-contents-private-liability-sti.pdf</x:v>
      </x:c>
      <x:c r="D292" s="8" t="str">
        <x:v>household-contents-private-liability-sti</x:v>
      </x:c>
      <x:c r="E292" s="8" t="n">
        <x:v>1</x:v>
      </x:c>
      <x:c r="F292" s="10" t="str">
        <x:v>According to household-contents-private-liability-sti.pdf, what provision is stated in the supplied policy context?</x:v>
      </x:c>
      <x:c r="G292" s="10" t="str">
        <x:v>Standard Terms of Insurance (STI) Helvetia private customers insurance Household contents and private liability September 2025 edition</x:v>
      </x:c>
      <x:c r="H292" s="10" t="str">
        <x:v>BaloiseCombi Household Product Information and Terms and Conditions 2025 Edition Translation: In case of dispute, the original German, French or Italian text is decisive.</x:v>
      </x:c>
      <x:c r="I292" s="8" t="str">
        <x:v>household</x:v>
      </x:c>
      <x:c r="J292" s="8" t="str">
        <x:v>LOCKED_HOLDOUT_CANDIDATE</x:v>
      </x:c>
      <x:c r="K292" s="10" t="str"/>
      <x:c r="L292" s="12" t="str"/>
      <x:c r="M292" s="12" t="str"/>
      <x:c r="N292" s="12" t="str"/>
      <x:c r="O292" s="12" t="str"/>
      <x:c r="P292" s="12" t="str"/>
    </x:row>
    <x:row r="293">
      <x:c r="A293" s="8" t="str">
        <x:v>ext-baloise-fail-002</x:v>
      </x:c>
      <x:c r="B293" s="8" t="str">
        <x:v>baloise_excluded_pdf</x:v>
      </x:c>
      <x:c r="C293" s="8" t="str">
        <x:v>data/raw/pdfs/motor-vehicle-insurance-sti.pdf</x:v>
      </x:c>
      <x:c r="D293" s="8" t="str">
        <x:v>motor-vehicle-insurance-sti</x:v>
      </x:c>
      <x:c r="E293" s="8" t="n">
        <x:v>4</x:v>
      </x:c>
      <x:c r="F293" s="10" t="str">
        <x:v>According to motor-vehicle-insurance-sti.pdf, what provision is stated in the supplied policy context?</x:v>
      </x:c>
      <x:c r="G293"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x:v>
      </x:c>
      <x:c r="H293" s="10" t="str">
        <x:v>BaloiseDirect Motor Vehicle Product Information and Terms and Conditions 2018 edition Translation In case of dispute, the original German, French or Italian text shall be decisive.</x:v>
      </x:c>
      <x:c r="I293" s="8" t="str">
        <x:v>motor</x:v>
      </x:c>
      <x:c r="J293" s="8" t="str">
        <x:v>LOCKED_HOLDOUT_CANDIDATE</x:v>
      </x:c>
      <x:c r="K293" s="10" t="str"/>
      <x:c r="L293" s="12" t="str"/>
      <x:c r="M293" s="12" t="str"/>
      <x:c r="N293" s="12" t="str"/>
      <x:c r="O293" s="12" t="str"/>
      <x:c r="P293" s="12" t="str"/>
    </x:row>
    <x:row r="294">
      <x:c r="A294" s="8" t="str">
        <x:v>ext-baloise-fail-003</x:v>
      </x:c>
      <x:c r="B294" s="8" t="str">
        <x:v>baloise_excluded_pdf</x:v>
      </x:c>
      <x:c r="C294" s="8" t="str">
        <x:v>data/raw/pdfs/motor-vehicle-insurance-sti.pdf</x:v>
      </x:c>
      <x:c r="D294" s="8" t="str">
        <x:v>motor-vehicle-insurance-sti</x:v>
      </x:c>
      <x:c r="E294" s="8" t="n">
        <x:v>4</x:v>
      </x:c>
      <x:c r="F294" s="10" t="str">
        <x:v>According to motor-vehicle-insurance-sti.pdf, what provision is stated in the supplied policy context?</x:v>
      </x:c>
      <x:c r="G294"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x:v>
      </x:c>
      <x:c r="H294" s="10" t="str">
        <x:v>BaloiseDirect Motor Vehicle Product Information and Terms and Conditions 2025 Edition Translation: In case of dispute, the original German, French or Italian text shall be decisive.</x:v>
      </x:c>
      <x:c r="I294" s="8" t="str">
        <x:v>motor</x:v>
      </x:c>
      <x:c r="J294" s="8" t="str">
        <x:v>LOCKED_HOLDOUT_CANDIDATE</x:v>
      </x:c>
      <x:c r="K294" s="10" t="str"/>
      <x:c r="L294" s="12" t="str"/>
      <x:c r="M294" s="12" t="str"/>
      <x:c r="N294" s="12" t="str"/>
      <x:c r="O294" s="12" t="str"/>
      <x:c r="P294" s="12" t="str"/>
    </x:row>
    <x:row r="295">
      <x:c r="A295" s="8" t="str">
        <x:v>ext-baloise-fail-004</x:v>
      </x:c>
      <x:c r="B295" s="8" t="str">
        <x:v>baloise_excluded_pdf</x:v>
      </x:c>
      <x:c r="C295" s="8" t="str">
        <x:v>data/raw/pdfs/brochure-household-contents-and-private-liability.pdf</x:v>
      </x:c>
      <x:c r="D295" s="8" t="str">
        <x:v>brochure-household-contents-and-private-liability</x:v>
      </x:c>
      <x:c r="E295" s="8" t="n">
        <x:v>2</x:v>
      </x:c>
      <x:c r="F295" s="10" t="str">
        <x:v>According to brochure-household-contents-and-private-liability.pdf, what provision is stated in the supplied policy context?</x:v>
      </x:c>
      <x:c r="G295" s="10" t="str">
        <x:v>There are dangers lurking in the digital world too. Imagine you order something online and the wrong goods are delivered or your order never even turns up. Protect yourself with cyber insurance. Household contents insurance All-round protection for your personal possessions Household contents and private liability insurance 2/8</x:v>
      </x:c>
      <x:c r="H295" s="10" t="str">
        <x:v>2/55 Product Information and Terms and Conditions BaloiseCombi Household T erms and Conditions Home contents insurance 11 A1 Home contents 11 A1.1 Mobile home/caravan without license plates/temporary structure as a facility permanent 12 A1.2 Surroundings insurance 12 A2 Future risks cover 13 A3 Mopeds, incl.</x:v>
      </x:c>
      <x:c r="I295" s="8" t="str">
        <x:v>household</x:v>
      </x:c>
      <x:c r="J295" s="8" t="str">
        <x:v>LOCKED_HOLDOUT_CANDIDATE</x:v>
      </x:c>
      <x:c r="K295" s="10" t="str"/>
      <x:c r="L295" s="12" t="str"/>
      <x:c r="M295" s="12" t="str"/>
      <x:c r="N295" s="12" t="str"/>
      <x:c r="O295" s="12" t="str"/>
      <x:c r="P295" s="12" t="str"/>
    </x:row>
    <x:row r="296">
      <x:c r="A296" s="8" t="str">
        <x:v>ext-baloise-fail-005</x:v>
      </x:c>
      <x:c r="B296" s="8" t="str">
        <x:v>baloise_excluded_pdf</x:v>
      </x:c>
      <x:c r="C296" s="8" t="str">
        <x:v>data/raw/pdfs/brochure-services.pdf</x:v>
      </x:c>
      <x:c r="D296" s="8" t="str">
        <x:v>brochure-services</x:v>
      </x:c>
      <x:c r="E296" s="8" t="n">
        <x:v>2</x:v>
      </x:c>
      <x:c r="F296" s="10" t="str">
        <x:v>According to brochure-services.pdf, what provision is stated in the supplied policy context?</x:v>
      </x:c>
      <x:c r="G296"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296" s="10" t="str">
        <x:v>2 Product Information Dear Customer The Product Information section is intended to help you understand your insurance policy documents.</x:v>
      </x:c>
      <x:c r="I296" s="8" t="str">
        <x:v>general_insurance</x:v>
      </x:c>
      <x:c r="J296" s="8" t="str">
        <x:v>LOCKED_HOLDOUT_CANDIDATE</x:v>
      </x:c>
      <x:c r="K296" s="10" t="str"/>
      <x:c r="L296" s="12" t="str"/>
      <x:c r="M296" s="12" t="str"/>
      <x:c r="N296" s="12" t="str"/>
      <x:c r="O296" s="12" t="str"/>
      <x:c r="P296" s="12" t="str"/>
    </x:row>
    <x:row r="297">
      <x:c r="A297" s="8" t="str">
        <x:v>ext-baloise-fail-006</x:v>
      </x:c>
      <x:c r="B297" s="8" t="str">
        <x:v>baloise_excluded_pdf</x:v>
      </x:c>
      <x:c r="C297" s="8" t="str">
        <x:v>data/raw/pdfs/motor-vehicle-insurance-sti.pdf</x:v>
      </x:c>
      <x:c r="D297" s="8" t="str">
        <x:v>motor-vehicle-insurance-sti</x:v>
      </x:c>
      <x:c r="E297" s="8" t="n">
        <x:v>4</x:v>
      </x:c>
      <x:c r="F297" s="10" t="str">
        <x:v>According to motor-vehicle-insurance-sti.pdf, what provision is stated in the supplied policy context?</x:v>
      </x:c>
      <x:c r="G297"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x:v>
      </x:c>
      <x:c r="H297" s="10" t="str">
        <x:v>3/28 Product Information and Terms and Conditions BaloiseDirect Motor Vehicle T erms and ConditionsProduct Information 1.</x:v>
      </x:c>
      <x:c r="I297" s="8" t="str">
        <x:v>motor</x:v>
      </x:c>
      <x:c r="J297" s="8" t="str">
        <x:v>LOCKED_HOLDOUT_CANDIDATE</x:v>
      </x:c>
      <x:c r="K297" s="10" t="str"/>
      <x:c r="L297" s="12" t="str"/>
      <x:c r="M297" s="12" t="str"/>
      <x:c r="N297" s="12" t="str"/>
      <x:c r="O297" s="12" t="str"/>
      <x:c r="P297" s="12" t="str"/>
    </x:row>
    <x:row r="298">
      <x:c r="A298" s="8" t="str">
        <x:v>ext-baloise-fail-007</x:v>
      </x:c>
      <x:c r="B298" s="8" t="str">
        <x:v>baloise_excluded_pdf</x:v>
      </x:c>
      <x:c r="C298" s="8" t="str">
        <x:v>data/raw/pdfs/motor-vehicle-insurance-sti.pdf</x:v>
      </x:c>
      <x:c r="D298" s="8" t="str">
        <x:v>motor-vehicle-insurance-sti</x:v>
      </x:c>
      <x:c r="E298" s="8" t="n">
        <x:v>4</x:v>
      </x:c>
      <x:c r="F298" s="10" t="str">
        <x:v>According to motor-vehicle-insurance-sti.pdf, what provision is stated in the supplied policy context?</x:v>
      </x:c>
      <x:c r="G298"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the applicant, the policyholder is obliged under Article 6 of the Insurance Policies Act to provide complete and correct answers to all the questions in the application (e. g. date of birth, previous damages / losses). If the policyholder or insured person provides an incomp</x:v>
      </x:c>
      <x:c r="H298" s="10" t="str">
        <x:v>4/55 Product Information and Terms and Conditions BaloiseCombi Household Dear Customer, The Product Information section is intended to help you understand your insurance policy documents.</x:v>
      </x:c>
      <x:c r="I298" s="8" t="str">
        <x:v>motor</x:v>
      </x:c>
      <x:c r="J298" s="8" t="str">
        <x:v>LOCKED_HOLDOUT_CANDIDATE</x:v>
      </x:c>
      <x:c r="K298" s="10" t="str"/>
      <x:c r="L298" s="12" t="str"/>
      <x:c r="M298" s="12" t="str"/>
      <x:c r="N298" s="12" t="str"/>
      <x:c r="O298" s="12" t="str"/>
      <x:c r="P298" s="12" t="str"/>
    </x:row>
    <x:row r="299">
      <x:c r="A299" s="8" t="str">
        <x:v>ext-baloise-fail-008</x:v>
      </x:c>
      <x:c r="B299" s="8" t="str">
        <x:v>baloise_excluded_pdf</x:v>
      </x:c>
      <x:c r="C299" s="8" t="str">
        <x:v>data/raw/pdfs/rental-guarantee-insurance-sti.pdf</x:v>
      </x:c>
      <x:c r="D299" s="8" t="str">
        <x:v>rental-guarantee-insurance-sti</x:v>
      </x:c>
      <x:c r="E299" s="8" t="n">
        <x:v>3</x:v>
      </x:c>
      <x:c r="F299" s="10" t="str">
        <x:v>According to rental-guarantee-insurance-sti.pdf, what provision is stated in the supplied policy context?</x:v>
      </x:c>
      <x:c r="G299"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299" s="10" t="str">
        <x:v>The content and scope of each party’s rights and obliga - tions in respect to the other party are exclusively gov - erned by your insurance policy and the Terms and Con - ditions (T&amp;C).</x:v>
      </x:c>
      <x:c r="I299" s="8" t="str">
        <x:v>rental_guarantee</x:v>
      </x:c>
      <x:c r="J299" s="8" t="str">
        <x:v>LOCKED_HOLDOUT_CANDIDATE</x:v>
      </x:c>
      <x:c r="K299" s="10" t="str"/>
      <x:c r="L299" s="12" t="str"/>
      <x:c r="M299" s="12" t="str"/>
      <x:c r="N299" s="12" t="str"/>
      <x:c r="O299" s="12" t="str"/>
      <x:c r="P299" s="12" t="str"/>
    </x:row>
    <x:row r="300">
      <x:c r="A300" s="8" t="str">
        <x:v>ext-baloise-fail-009</x:v>
      </x:c>
      <x:c r="B300" s="8" t="str">
        <x:v>baloise_excluded_pdf</x:v>
      </x:c>
      <x:c r="C300" s="8" t="str">
        <x:v>data/raw/pdfs/motor-vehicle-insurance-product-sheet.pdf</x:v>
      </x:c>
      <x:c r="D300" s="8" t="str">
        <x:v>motor-vehicle-insurance-product-sheet</x:v>
      </x:c>
      <x:c r="E300" s="8" t="n">
        <x:v>3</x:v>
      </x:c>
      <x:c r="F300" s="10" t="str">
        <x:v>According to motor-vehicle-insurance-product-sheet.pdf, what provision is stated in the supplied policy context?</x:v>
      </x:c>
      <x:c r="G300" s="10" t="str">
        <x:v>Comprehensive car insurance. With Helvetia’s comprehensive insurance your vehicle is insured for every trip. Choose between partially comprehensive and fully comprehensive, either with or without damage to parked vehicles. Scope of insurance • Repair of damage to your vehicle, including equipment and accessories, with an option of unlimited value • Replacement in the event of a total loss or theft Insured benefits with partially comprehensive insurance • Fire and natural forces such as storm, hail, rockfall, high water • Earthquakes and volcanic eruptions • Theft • Glass breakage • Marten damage and collision with animals • Wilful damage by third parties such as breaking off wing mirrors Insured benefits with fully comprehensive cover • All benefits of partially comprehensive cover • Damage to your vehicle resulting from a collision Total loss cover • All partial comprehensive insurance benefits • Total loss of your vehicle due to a collision R</x:v>
      </x:c>
      <x:c r="H300" s="10" t="str">
        <x:v>Complaints 10 Liability insurance 11 Comprehensive insurance 13 Supplementary cover 16 Passenger accident 22 General provisions 24</x:v>
      </x:c>
      <x:c r="I300" s="8" t="str">
        <x:v>motor</x:v>
      </x:c>
      <x:c r="J300" s="8" t="str">
        <x:v>VALIDATION</x:v>
      </x:c>
      <x:c r="K300" s="10" t="str"/>
      <x:c r="L300" s="12" t="str"/>
      <x:c r="M300" s="12" t="str"/>
      <x:c r="N300" s="12" t="str"/>
      <x:c r="O300" s="12" t="str"/>
      <x:c r="P300" s="12" t="str"/>
    </x:row>
    <x:row r="301">
      <x:c r="A301" s="8" t="str">
        <x:v>ext-baloise-fail-010</x:v>
      </x:c>
      <x:c r="B301" s="8" t="str">
        <x:v>baloise_excluded_pdf</x:v>
      </x:c>
      <x:c r="C301" s="8" t="str">
        <x:v>data/raw/pdfs/rental-guarantee-insurance-sti.pdf</x:v>
      </x:c>
      <x:c r="D301" s="8" t="str">
        <x:v>rental-guarantee-insurance-sti</x:v>
      </x:c>
      <x:c r="E301" s="8" t="n">
        <x:v>3</x:v>
      </x:c>
      <x:c r="F301" s="10" t="str">
        <x:v>According to rental-guarantee-insurance-sti.pdf, what provision is stated in the supplied policy context?</x:v>
      </x:c>
      <x:c r="G301"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301" s="10" t="str">
        <x:v>The content and scope of each party’s rights and obligations in respect to the other party are governed exclusively by your insurance policy and the Terms and Conditions (T&amp;C).</x:v>
      </x:c>
      <x:c r="I301" s="8" t="str">
        <x:v>rental_guarantee</x:v>
      </x:c>
      <x:c r="J301" s="8" t="str">
        <x:v>LOCKED_HOLDOUT_CANDIDATE</x:v>
      </x:c>
      <x:c r="K301" s="10" t="str"/>
      <x:c r="L301" s="12" t="str"/>
      <x:c r="M301" s="12" t="str"/>
      <x:c r="N301" s="12" t="str"/>
      <x:c r="O301" s="12" t="str"/>
      <x:c r="P301" s="12" t="str"/>
    </x:row>
    <x:row r="302">
      <x:c r="A302" s="8" t="str">
        <x:v>ext-baloise-fail-011</x:v>
      </x:c>
      <x:c r="B302" s="8" t="str">
        <x:v>baloise_excluded_pdf</x:v>
      </x:c>
      <x:c r="C302" s="8" t="str">
        <x:v>data/raw/pdfs/rental-guarantee-insurance-sti.pdf</x:v>
      </x:c>
      <x:c r="D302" s="8" t="str">
        <x:v>rental-guarantee-insurance-sti</x:v>
      </x:c>
      <x:c r="E302" s="8" t="n">
        <x:v>3</x:v>
      </x:c>
      <x:c r="F302" s="10" t="str">
        <x:v>According to rental-guarantee-insurance-sti.pdf, what provision is stated in the supplied policy context?</x:v>
      </x:c>
      <x:c r="G302"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x:v>
      </x:c>
      <x:c r="H302" s="10" t="str">
        <x:v>Your insurance contract is governed by Swiss law, in par - ticular, the Swiss Federal Law on Insurance Contracts (VVG).</x:v>
      </x:c>
      <x:c r="I302" s="8" t="str">
        <x:v>rental_guarantee</x:v>
      </x:c>
      <x:c r="J302" s="8" t="str">
        <x:v>LOCKED_HOLDOUT_CANDIDATE</x:v>
      </x:c>
      <x:c r="K302" s="10" t="str"/>
      <x:c r="L302" s="12" t="str"/>
      <x:c r="M302" s="12" t="str"/>
      <x:c r="N302" s="12" t="str"/>
      <x:c r="O302" s="12" t="str"/>
      <x:c r="P302" s="12" t="str"/>
    </x:row>
    <x:row r="303">
      <x:c r="A303" s="8" t="str">
        <x:v>ext-baloise-fail-012</x:v>
      </x:c>
      <x:c r="B303" s="8" t="str">
        <x:v>baloise_excluded_pdf</x:v>
      </x:c>
      <x:c r="C303" s="8" t="str">
        <x:v>data/raw/pdfs/motor-vehicle-insurance-sti.pdf</x:v>
      </x:c>
      <x:c r="D303" s="8" t="str">
        <x:v>motor-vehicle-insurance-sti</x:v>
      </x:c>
      <x:c r="E303" s="8" t="n">
        <x:v>4</x:v>
      </x:c>
      <x:c r="F303" s="10" t="str">
        <x:v>According to motor-vehicle-insurance-sti.pdf, what provision is stated in the supplied policy context?</x:v>
      </x:c>
      <x:c r="G303"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x:v>
      </x:c>
      <x:c r="H303" s="10" t="str">
        <x:v>4/28 Product Information and Terms and Conditions BaloiseDirect Motor Vehicle Dear Customer The Product Information section is intended to help you understand your insurance policy documents.</x:v>
      </x:c>
      <x:c r="I303" s="8" t="str">
        <x:v>motor</x:v>
      </x:c>
      <x:c r="J303" s="8" t="str">
        <x:v>LOCKED_HOLDOUT_CANDIDATE</x:v>
      </x:c>
      <x:c r="K303" s="10" t="str"/>
      <x:c r="L303" s="12" t="str"/>
      <x:c r="M303" s="12" t="str"/>
      <x:c r="N303" s="12" t="str"/>
      <x:c r="O303" s="12" t="str"/>
      <x:c r="P303" s="12" t="str"/>
    </x:row>
    <x:row r="304">
      <x:c r="A304" s="8" t="str">
        <x:v>ext-baloise-fail-013</x:v>
      </x:c>
      <x:c r="B304" s="8" t="str">
        <x:v>baloise_excluded_pdf</x:v>
      </x:c>
      <x:c r="C304" s="8" t="str">
        <x:v>data/raw/pdfs/rental-guarantee-insurance-sti.pdf</x:v>
      </x:c>
      <x:c r="D304" s="8" t="str">
        <x:v>rental-guarantee-insurance-sti</x:v>
      </x:c>
      <x:c r="E304" s="8" t="n">
        <x:v>3</x:v>
      </x:c>
      <x:c r="F304" s="10" t="str">
        <x:v>According to rental-guarantee-insurance-sti.pdf, what provision is stated in the supplied policy context?</x:v>
      </x:c>
      <x:c r="G304"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x:v>
      </x:c>
      <x:c r="H304" s="10" t="str">
        <x:v>Your insurance policy is governed by Swiss law, in particular the Federal Law on Insurance Contracts (VVG).</x:v>
      </x:c>
      <x:c r="I304" s="8" t="str">
        <x:v>rental_guarantee</x:v>
      </x:c>
      <x:c r="J304" s="8" t="str">
        <x:v>LOCKED_HOLDOUT_CANDIDATE</x:v>
      </x:c>
      <x:c r="K304" s="10" t="str"/>
      <x:c r="L304" s="12" t="str"/>
      <x:c r="M304" s="12" t="str"/>
      <x:c r="N304" s="12" t="str"/>
      <x:c r="O304" s="12" t="str"/>
      <x:c r="P304" s="12" t="str"/>
    </x:row>
    <x:row r="305">
      <x:c r="A305" s="8" t="str">
        <x:v>ext-baloise-fail-014</x:v>
      </x:c>
      <x:c r="B305" s="8" t="str">
        <x:v>baloise_excluded_pdf</x:v>
      </x:c>
      <x:c r="C305" s="8" t="str">
        <x:v>data/raw/pdfs/rental-guarantee-insurance-sti.pdf</x:v>
      </x:c>
      <x:c r="D305" s="8" t="str">
        <x:v>rental-guarantee-insurance-sti</x:v>
      </x:c>
      <x:c r="E305" s="8" t="n">
        <x:v>3</x:v>
      </x:c>
      <x:c r="F305" s="10" t="str">
        <x:v>According to rental-guarantee-insurance-sti.pdf, what provision is stated in the supplied policy context?</x:v>
      </x:c>
      <x:c r="G305"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305" s="10" t="str">
        <x:v>Your contracting party Your contracting party is Baloise Insurance Ltd, hereinafter referred to as “Baloise”.</x:v>
      </x:c>
      <x:c r="I305" s="8" t="str">
        <x:v>rental_guarantee</x:v>
      </x:c>
      <x:c r="J305" s="8" t="str">
        <x:v>LOCKED_HOLDOUT_CANDIDATE</x:v>
      </x:c>
      <x:c r="K305" s="10" t="str"/>
      <x:c r="L305" s="12" t="str"/>
      <x:c r="M305" s="12" t="str"/>
      <x:c r="N305" s="12" t="str"/>
      <x:c r="O305" s="12" t="str"/>
      <x:c r="P305" s="12" t="str"/>
    </x:row>
    <x:row r="306">
      <x:c r="A306" s="8" t="str">
        <x:v>ext-baloise-fail-015</x:v>
      </x:c>
      <x:c r="B306" s="8" t="str">
        <x:v>baloise_excluded_pdf</x:v>
      </x:c>
      <x:c r="C306" s="8" t="str">
        <x:v>data/raw/pdfs/rental-guarantee-insurance-sti.pdf</x:v>
      </x:c>
      <x:c r="D306" s="8" t="str">
        <x:v>rental-guarantee-insurance-sti</x:v>
      </x:c>
      <x:c r="E306" s="8" t="n">
        <x:v>3</x:v>
      </x:c>
      <x:c r="F306" s="10" t="str">
        <x:v>According to rental-guarantee-insurance-sti.pdf, what provision is stated in the supplied policy context?</x:v>
      </x:c>
      <x:c r="G306"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306" s="10" t="str">
        <x:v>The content and scope of each party’s rights and obligations in respect to the other party are exclusively governed by your insurance policy and the Terms and Conditions (T&amp;C).</x:v>
      </x:c>
      <x:c r="I306" s="8" t="str">
        <x:v>rental_guarantee</x:v>
      </x:c>
      <x:c r="J306" s="8" t="str">
        <x:v>LOCKED_HOLDOUT_CANDIDATE</x:v>
      </x:c>
      <x:c r="K306" s="10" t="str"/>
      <x:c r="L306" s="12" t="str"/>
      <x:c r="M306" s="12" t="str"/>
      <x:c r="N306" s="12" t="str"/>
      <x:c r="O306" s="12" t="str"/>
      <x:c r="P306" s="12" t="str"/>
    </x:row>
    <x:row r="307">
      <x:c r="A307" s="8" t="str">
        <x:v>ext-baloise-fail-016</x:v>
      </x:c>
      <x:c r="B307" s="8" t="str">
        <x:v>baloise_excluded_pdf</x:v>
      </x:c>
      <x:c r="C307" s="8" t="str">
        <x:v>data/raw/pdfs/rental-guarantee-insurance-sti.pdf</x:v>
      </x:c>
      <x:c r="D307" s="8" t="str">
        <x:v>rental-guarantee-insurance-sti</x:v>
      </x:c>
      <x:c r="E307" s="8" t="n">
        <x:v>3</x:v>
      </x:c>
      <x:c r="F307" s="10" t="str">
        <x:v>According to rental-guarantee-insurance-sti.pdf, what provision is stated in the supplied policy context?</x:v>
      </x:c>
      <x:c r="G307"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other text form on conclusion of the contract, Helvetia is entitled to terminate the contract within four weeks of becoming aware of the breach of the duty to notify. If the contract is termi nated in this manner, the obligation to pay benefi</x:v>
      </x:c>
      <x:c r="H307" s="10" t="str">
        <x:v>In such a case, the “Additional provisions for insurance contracts subject to the law of Liechtenstein” apply in addition to these T&amp;C.</x:v>
      </x:c>
      <x:c r="I307" s="8" t="str">
        <x:v>rental_guarantee</x:v>
      </x:c>
      <x:c r="J307" s="8" t="str">
        <x:v>LOCKED_HOLDOUT_CANDIDATE</x:v>
      </x:c>
      <x:c r="K307" s="10" t="str"/>
      <x:c r="L307" s="12" t="str"/>
      <x:c r="M307" s="12" t="str"/>
      <x:c r="N307" s="12" t="str"/>
      <x:c r="O307" s="12" t="str"/>
      <x:c r="P307" s="12" t="str"/>
    </x:row>
    <x:row r="308">
      <x:c r="A308" s="8" t="str">
        <x:v>ext-baloise-fail-017</x:v>
      </x:c>
      <x:c r="B308" s="8" t="str">
        <x:v>baloise_excluded_pdf</x:v>
      </x:c>
      <x:c r="C308" s="8" t="str">
        <x:v>data/raw/pdfs/brochure-services.pdf</x:v>
      </x:c>
      <x:c r="D308" s="8" t="str">
        <x:v>brochure-services</x:v>
      </x:c>
      <x:c r="E308" s="8" t="n">
        <x:v>2</x:v>
      </x:c>
      <x:c r="F308" s="10" t="str">
        <x:v>According to brochure-services.pdf, what provision is stated in the supplied policy context?</x:v>
      </x:c>
      <x:c r="G308"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308" s="10" t="str">
        <x:v>Scope of insurance cover In the following section, we provide you with information about avail - able insurance cover options.</x:v>
      </x:c>
      <x:c r="I308" s="8" t="str">
        <x:v>general_insurance</x:v>
      </x:c>
      <x:c r="J308" s="8" t="str">
        <x:v>LOCKED_HOLDOUT_CANDIDATE</x:v>
      </x:c>
      <x:c r="K308" s="10" t="str"/>
      <x:c r="L308" s="12" t="str"/>
      <x:c r="M308" s="12" t="str"/>
      <x:c r="N308" s="12" t="str"/>
      <x:c r="O308" s="12" t="str"/>
      <x:c r="P308" s="12" t="str"/>
    </x:row>
    <x:row r="309">
      <x:c r="A309" s="8" t="str">
        <x:v>ext-baloise-fail-018</x:v>
      </x:c>
      <x:c r="B309" s="8" t="str">
        <x:v>baloise_excluded_pdf</x:v>
      </x:c>
      <x:c r="C309" s="8" t="str">
        <x:v>data/raw/pdfs/rental-guarantee-insurance-sti.pdf</x:v>
      </x:c>
      <x:c r="D309" s="8" t="str">
        <x:v>rental-guarantee-insurance-sti</x:v>
      </x:c>
      <x:c r="E309" s="8" t="n">
        <x:v>3</x:v>
      </x:c>
      <x:c r="F309" s="10" t="str">
        <x:v>According to rental-guarantee-insurance-sti.pdf, what provision is stated in the supplied policy context?</x:v>
      </x:c>
      <x:c r="G309"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x:v>
      </x:c>
      <x:c r="H309" s="10" t="str">
        <x:v>Your insurance contract is governed by Swiss law, in particular, the Swiss Federal Law on Insurance Contracts (VVG).</x:v>
      </x:c>
      <x:c r="I309" s="8" t="str">
        <x:v>rental_guarantee</x:v>
      </x:c>
      <x:c r="J309" s="8" t="str">
        <x:v>LOCKED_HOLDOUT_CANDIDATE</x:v>
      </x:c>
      <x:c r="K309" s="10" t="str"/>
      <x:c r="L309" s="12" t="str"/>
      <x:c r="M309" s="12" t="str"/>
      <x:c r="N309" s="12" t="str"/>
      <x:c r="O309" s="12" t="str"/>
      <x:c r="P309" s="12" t="str"/>
    </x:row>
    <x:row r="310">
      <x:c r="A310" s="8" t="str">
        <x:v>ext-baloise-fail-019</x:v>
      </x:c>
      <x:c r="B310" s="8" t="str">
        <x:v>baloise_excluded_pdf</x:v>
      </x:c>
      <x:c r="C310" s="8" t="str">
        <x:v>data/raw/pdfs/motor-vehicle-insurance-sti.pdf</x:v>
      </x:c>
      <x:c r="D310" s="8" t="str">
        <x:v>motor-vehicle-insurance-sti</x:v>
      </x:c>
      <x:c r="E310" s="8" t="n">
        <x:v>4</x:v>
      </x:c>
      <x:c r="F310" s="10" t="str">
        <x:v>According to motor-vehicle-insurance-sti.pdf, what provision is stated in the supplied policy context?</x:v>
      </x:c>
      <x:c r="G310"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the applicant, the policyholder is obliged under Article 6 of the Insurance Policies Act to provide complete and correct answers to all the questions in the application (e. g. date of birth, previous damages / losses). If the policyholder or insured person provides an incomp</x:v>
      </x:c>
      <x:c r="H310" s="10" t="str">
        <x:v>5/55 Product Information Terms and Conditions from page 11 1.</x:v>
      </x:c>
      <x:c r="I310" s="8" t="str">
        <x:v>motor</x:v>
      </x:c>
      <x:c r="J310" s="8" t="str">
        <x:v>LOCKED_HOLDOUT_CANDIDATE</x:v>
      </x:c>
      <x:c r="K310" s="10" t="str"/>
      <x:c r="L310" s="12" t="str"/>
      <x:c r="M310" s="12" t="str"/>
      <x:c r="N310" s="12" t="str"/>
      <x:c r="O310" s="12" t="str"/>
      <x:c r="P310" s="12" t="str"/>
    </x:row>
    <x:row r="311">
      <x:c r="A311" s="8" t="str">
        <x:v>ext-baloise-fail-020</x:v>
      </x:c>
      <x:c r="B311" s="8" t="str">
        <x:v>baloise_excluded_pdf</x:v>
      </x:c>
      <x:c r="C311" s="8" t="str">
        <x:v>data/raw/pdfs/brochure-services.pdf</x:v>
      </x:c>
      <x:c r="D311" s="8" t="str">
        <x:v>brochure-services</x:v>
      </x:c>
      <x:c r="E311" s="8" t="n">
        <x:v>3</x:v>
      </x:c>
      <x:c r="F311" s="10" t="str">
        <x:v>According to brochure-services.pdf, what provision is stated in the supplied policy context?</x:v>
      </x:c>
      <x:c r="G311" s="10" t="str">
        <x:v>Innovative, customer-focused, there for you. Waiver of premiums In the event of earning disability, you will benefit from a waiver of insurance premiums until the agreed end of the contract. However, you will continue to benefit from insurance cover. Locksmith service If access to your owner-occupied residential premises is not possible due to a sudden and unforeseen event and no other proportionate measures can reasonably be expected to be taken, Helvetia will organize a tradesman to provide access. Card blocking service At your request, we can block lost credit and debit cards as well as SIM cards. Home Assistance Home Assistance includes: • Tradesman service • Organization of construction management • Removal of wasps’, hornets’ and bees’ nests • Immediate measures in the event of a technical defect • Organization of a security service Psychological follow-up support We will pay the cost of psychological support provided by a qualified doctor, psychologist or psychiatrist after an insured event. Waiver of gross negligence Helvetia waives its right to a reduction in benefits in the</x:v>
      </x:c>
      <x:c r="H311" s="10" t="str">
        <x:v>A full general description of the insurance cover and its restric - tions can be found in the T&amp;C.</x:v>
      </x:c>
      <x:c r="I311" s="8" t="str">
        <x:v>general_insurance</x:v>
      </x:c>
      <x:c r="J311" s="8" t="str">
        <x:v>LOCKED_HOLDOUT_CANDIDATE</x:v>
      </x:c>
      <x:c r="K311" s="10" t="str"/>
      <x:c r="L311" s="12" t="str"/>
      <x:c r="M311" s="12" t="str"/>
      <x:c r="N311" s="12" t="str"/>
      <x:c r="O311" s="12" t="str"/>
      <x:c r="P311" s="12" t="str"/>
    </x:row>
    <x:row r="312">
      <x:c r="A312" s="8" t="str">
        <x:v>ext-crm-pass-001</x:v>
      </x:c>
      <x:c r="B312" s="8" t="str">
        <x:v>synthetic_crm</x:v>
      </x:c>
      <x:c r="C312" s="8" t="str">
        <x:v>data/synthetic/crm/policies.csv</x:v>
      </x:c>
      <x:c r="D312" s="8" t="str">
        <x:v>policy:TEST-KFZ-2026-1001</x:v>
      </x:c>
      <x:c r="E312" s="8" t="str"/>
      <x:c r="F312" s="10" t="str">
        <x:v>What are the customer, policy number, product, coverage, status, deductible and annual premium?</x:v>
      </x:c>
      <x:c r="G312" s="10" t="str">
        <x:v>Customer: Lara Neumann (lara.neumann@example.test). Policy number: TEST-KFZ-2026-1001. Product type: Motor Insurance. Coverage type: Partial Coverage. Status: Active. Start date: 2026-01-01. End date: 2026-12-31. Deductible: 150 EUR. Annual premium: 684 EUR.</x:v>
      </x:c>
      <x:c r="H312" s="10" t="str">
        <x:v>Lara Neumann holds policy TEST-KFZ-2026-1001, a Motor Insurance policy with Partial Coverage, status Active, a deductible of 150 EUR, and an annual premium of 684 EUR.</x:v>
      </x:c>
      <x:c r="I312" s="8" t="str">
        <x:v>motor</x:v>
      </x:c>
      <x:c r="J312" s="8" t="str">
        <x:v>CALIBRATION</x:v>
      </x:c>
      <x:c r="K312" s="10" t="str"/>
      <x:c r="L312" s="12" t="str"/>
      <x:c r="M312" s="12" t="str"/>
      <x:c r="N312" s="12" t="str"/>
      <x:c r="O312" s="12" t="str"/>
      <x:c r="P312" s="12" t="str"/>
    </x:row>
    <x:row r="313">
      <x:c r="A313" s="8" t="str">
        <x:v>ext-crm-pass-002</x:v>
      </x:c>
      <x:c r="B313" s="8" t="str">
        <x:v>synthetic_crm</x:v>
      </x:c>
      <x:c r="C313" s="8" t="str">
        <x:v>data/synthetic/crm/policies.csv</x:v>
      </x:c>
      <x:c r="D313" s="8" t="str">
        <x:v>policy:TEST-PHV-2026-1002</x:v>
      </x:c>
      <x:c r="E313" s="8" t="str"/>
      <x:c r="F313" s="10" t="str">
        <x:v>What are the customer, policy number, product, coverage, status, deductible and annual premium?</x:v>
      </x:c>
      <x:c r="G313" s="10" t="str">
        <x:v>Customer: Lara Neumann (lara.neumann@example.test). Policy number: TEST-PHV-2026-1002. Product type: Personal Liability. Coverage type: Liability. Status: Active. Start date: 2026-01-01. End date: 2026-12-31. Deductible: 0 EUR. Annual premium: 96 EUR.</x:v>
      </x:c>
      <x:c r="H313" s="10" t="str">
        <x:v>Lara Neumann holds policy TEST-PHV-2026-1002, a Personal Liability policy with Liability, status Active, a deductible of 0 EUR, and an annual premium of 96 EUR.</x:v>
      </x:c>
      <x:c r="I313" s="8" t="str">
        <x:v>liability</x:v>
      </x:c>
      <x:c r="J313" s="8" t="str">
        <x:v>CALIBRATION</x:v>
      </x:c>
      <x:c r="K313" s="10" t="str"/>
      <x:c r="L313" s="12" t="str"/>
      <x:c r="M313" s="12" t="str"/>
      <x:c r="N313" s="12" t="str"/>
      <x:c r="O313" s="12" t="str"/>
      <x:c r="P313" s="12" t="str"/>
    </x:row>
    <x:row r="314">
      <x:c r="A314" s="8" t="str">
        <x:v>ext-crm-pass-003</x:v>
      </x:c>
      <x:c r="B314" s="8" t="str">
        <x:v>synthetic_crm</x:v>
      </x:c>
      <x:c r="C314" s="8" t="str">
        <x:v>data/synthetic/crm/policies.csv</x:v>
      </x:c>
      <x:c r="D314" s="8" t="str">
        <x:v>policy:TEST-KFZ-2026-1003</x:v>
      </x:c>
      <x:c r="E314" s="8" t="str"/>
      <x:c r="F314" s="10" t="str">
        <x:v>What are the customer, policy number, product, coverage, status, deductible and annual premium?</x:v>
      </x:c>
      <x:c r="G314" s="10" t="str">
        <x:v>Customer: Lara Neumann (lara.neumann@example.test). Policy number: TEST-KFZ-2026-1003. Product type: Motor Insurance. Coverage type: Partial Coverage. Status: Active. Start date: 2026-07-01. End date: 2027-06-30. Deductible: 300 EUR. Annual premium: 720 EUR.</x:v>
      </x:c>
      <x:c r="H314" s="10" t="str">
        <x:v>Lara Neumann holds policy TEST-KFZ-2026-1003, a Motor Insurance policy with Partial Coverage, status Active, a deductible of 300 EUR, and an annual premium of 720 EUR.</x:v>
      </x:c>
      <x:c r="I314" s="8" t="str">
        <x:v>motor</x:v>
      </x:c>
      <x:c r="J314" s="8" t="str">
        <x:v>CALIBRATION</x:v>
      </x:c>
      <x:c r="K314" s="10" t="str"/>
      <x:c r="L314" s="12" t="str"/>
      <x:c r="M314" s="12" t="str"/>
      <x:c r="N314" s="12" t="str"/>
      <x:c r="O314" s="12" t="str"/>
      <x:c r="P314" s="12" t="str"/>
    </x:row>
    <x:row r="315">
      <x:c r="A315" s="8" t="str">
        <x:v>ext-crm-pass-004</x:v>
      </x:c>
      <x:c r="B315" s="8" t="str">
        <x:v>synthetic_crm</x:v>
      </x:c>
      <x:c r="C315" s="8" t="str">
        <x:v>data/synthetic/crm/policies.csv</x:v>
      </x:c>
      <x:c r="D315" s="8" t="str">
        <x:v>policy:TEST-KFZ-2026-1101</x:v>
      </x:c>
      <x:c r="E315" s="8" t="str"/>
      <x:c r="F315" s="10" t="str">
        <x:v>What are the customer, policy number, product, coverage, status, deductible and annual premium?</x:v>
      </x:c>
      <x:c r="G315" s="10" t="str">
        <x:v>Customer: Oliver Brandt (oliver.brandt@example.test). Policy number: TEST-KFZ-2026-1101. Product type: Motor Insurance. Coverage type: Comprehensive Coverage. Status: Active. Start date: 2026-02-01. End date: 2027-01-31. Deductible: 300 EUR. Annual premium: 1120 EUR.</x:v>
      </x:c>
      <x:c r="H315" s="10" t="str">
        <x:v>Oliver Brandt holds policy TEST-KFZ-2026-1101, a Motor Insurance policy with Comprehensive Coverage, status Active, a deductible of 300 EUR, and an annual premium of 1120 EUR.</x:v>
      </x:c>
      <x:c r="I315" s="8" t="str">
        <x:v>motor</x:v>
      </x:c>
      <x:c r="J315" s="8" t="str">
        <x:v>CALIBRATION</x:v>
      </x:c>
      <x:c r="K315" s="10" t="str"/>
      <x:c r="L315" s="12" t="str"/>
      <x:c r="M315" s="12" t="str"/>
      <x:c r="N315" s="12" t="str"/>
      <x:c r="O315" s="12" t="str"/>
      <x:c r="P315" s="12" t="str"/>
    </x:row>
    <x:row r="316">
      <x:c r="A316" s="8" t="str">
        <x:v>ext-crm-pass-005</x:v>
      </x:c>
      <x:c r="B316" s="8" t="str">
        <x:v>synthetic_crm</x:v>
      </x:c>
      <x:c r="C316" s="8" t="str">
        <x:v>data/synthetic/crm/policies.csv</x:v>
      </x:c>
      <x:c r="D316" s="8" t="str">
        <x:v>policy:TEST-HH-2026-1201</x:v>
      </x:c>
      <x:c r="E316" s="8" t="str"/>
      <x:c r="F316" s="10" t="str">
        <x:v>What are the customer, policy number, product, coverage, status, deductible and annual premium?</x:v>
      </x:c>
      <x:c r="G316" s="10" t="str">
        <x:v>Customer: Sophie Keller (sophie.keller@example.test). Policy number: TEST-HH-2026-1201. Product type: Household Insurance. Coverage type: Standard Coverage. Status: Active. Start date: 2026-01-15. End date: 2027-01-14. Deductible: 250 EUR. Annual premium: 210 EUR.</x:v>
      </x:c>
      <x:c r="H316" s="10" t="str">
        <x:v>Sophie Keller holds policy TEST-HH-2026-1201, a Household Insurance policy with Standard Coverage, status Active, a deductible of 250 EUR, and an annual premium of 210 EUR.</x:v>
      </x:c>
      <x:c r="I316" s="8" t="str">
        <x:v>household</x:v>
      </x:c>
      <x:c r="J316" s="8" t="str">
        <x:v>CALIBRATION</x:v>
      </x:c>
      <x:c r="K316" s="10" t="str"/>
      <x:c r="L316" s="12" t="str"/>
      <x:c r="M316" s="12" t="str"/>
      <x:c r="N316" s="12" t="str"/>
      <x:c r="O316" s="12" t="str"/>
      <x:c r="P316" s="12" t="str"/>
    </x:row>
    <x:row r="317">
      <x:c r="A317" s="8" t="str">
        <x:v>ext-crm-pass-006</x:v>
      </x:c>
      <x:c r="B317" s="8" t="str">
        <x:v>synthetic_crm</x:v>
      </x:c>
      <x:c r="C317" s="8" t="str">
        <x:v>data/synthetic/crm/policies.csv</x:v>
      </x:c>
      <x:c r="D317" s="8" t="str">
        <x:v>policy:TEST-RS-2026-1202</x:v>
      </x:c>
      <x:c r="E317" s="8" t="str"/>
      <x:c r="F317" s="10" t="str">
        <x:v>What are the customer, policy number, product, coverage, status, deductible and annual premium?</x:v>
      </x:c>
      <x:c r="G317" s="10" t="str">
        <x:v>Customer: Sophie Keller (sophie.keller@example.test). Policy number: TEST-RS-2026-1202. Product type: Legal Protection. Coverage type: Standard Coverage. Status: Pending. Start date: 2026-08-01. End date: 2027-07-31. Deductible: 150 EUR. Annual premium: 280 EUR.</x:v>
      </x:c>
      <x:c r="H317" s="10" t="str">
        <x:v>Sophie Keller holds policy TEST-RS-2026-1202, a Legal Protection policy with Standard Coverage, status Pending, a deductible of 150 EUR, and an annual premium of 280 EUR.</x:v>
      </x:c>
      <x:c r="I317" s="8" t="str">
        <x:v>legal_protection</x:v>
      </x:c>
      <x:c r="J317" s="8" t="str">
        <x:v>CALIBRATION</x:v>
      </x:c>
      <x:c r="K317" s="10" t="str"/>
      <x:c r="L317" s="12" t="str"/>
      <x:c r="M317" s="12" t="str"/>
      <x:c r="N317" s="12" t="str"/>
      <x:c r="O317" s="12" t="str"/>
      <x:c r="P317" s="12" t="str"/>
    </x:row>
    <x:row r="318">
      <x:c r="A318" s="8" t="str">
        <x:v>ext-crm-pass-007</x:v>
      </x:c>
      <x:c r="B318" s="8" t="str">
        <x:v>synthetic_crm</x:v>
      </x:c>
      <x:c r="C318" s="8" t="str">
        <x:v>data/synthetic/crm/policies.csv</x:v>
      </x:c>
      <x:c r="D318" s="8" t="str">
        <x:v>policy:TEST-PHV-2025-1301</x:v>
      </x:c>
      <x:c r="E318" s="8" t="str"/>
      <x:c r="F318" s="10" t="str">
        <x:v>What are the customer, policy number, product, coverage, status, deductible and annual premium?</x:v>
      </x:c>
      <x:c r="G318" s="10" t="str">
        <x:v>Customer: Emil Fischer (emil.fischer@example.test). Policy number: TEST-PHV-2025-1301. Product type: Personal Liability. Coverage type: Liability. Status: Expired. Start date: 2025-01-01. End date: 2025-12-31. Deductible: 0 EUR. Annual premium: 84 EUR.</x:v>
      </x:c>
      <x:c r="H318" s="10" t="str">
        <x:v>Emil Fischer holds policy TEST-PHV-2025-1301, a Personal Liability policy with Liability, status Expired, a deductible of 0 EUR, and an annual premium of 84 EUR.</x:v>
      </x:c>
      <x:c r="I318" s="8" t="str">
        <x:v>liability</x:v>
      </x:c>
      <x:c r="J318" s="8" t="str">
        <x:v>CALIBRATION</x:v>
      </x:c>
      <x:c r="K318" s="10" t="str"/>
      <x:c r="L318" s="12" t="str"/>
      <x:c r="M318" s="12" t="str"/>
      <x:c r="N318" s="12" t="str"/>
      <x:c r="O318" s="12" t="str"/>
      <x:c r="P318" s="12" t="str"/>
    </x:row>
    <x:row r="319">
      <x:c r="A319" s="8" t="str">
        <x:v>ext-crm-pass-008</x:v>
      </x:c>
      <x:c r="B319" s="8" t="str">
        <x:v>synthetic_crm</x:v>
      </x:c>
      <x:c r="C319" s="8" t="str">
        <x:v>data/synthetic/crm/policies.csv</x:v>
      </x:c>
      <x:c r="D319" s="8" t="str">
        <x:v>policy:TEST-KFZ-2026-1401</x:v>
      </x:c>
      <x:c r="E319" s="8" t="str"/>
      <x:c r="F319" s="10" t="str">
        <x:v>What are the customer, policy number, product, coverage, status, deductible and annual premium?</x:v>
      </x:c>
      <x:c r="G319" s="10" t="str">
        <x:v>Customer: Hannah Vogel (hannah.vogel@example.test). Policy number: TEST-KFZ-2026-1401. Product type: Motor Insurance. Coverage type: Liability. Status: Active. Start date: 2026-03-01. End date: 2027-02-28. Deductible: 500 EUR. Annual premium: 520 EUR.</x:v>
      </x:c>
      <x:c r="H319" s="10" t="str">
        <x:v>Hannah Vogel holds policy TEST-KFZ-2026-1401, a Motor Insurance policy with Liability, status Active, a deductible of 500 EUR, and an annual premium of 520 EUR.</x:v>
      </x:c>
      <x:c r="I319" s="8" t="str">
        <x:v>motor</x:v>
      </x:c>
      <x:c r="J319" s="8" t="str">
        <x:v>CALIBRATION</x:v>
      </x:c>
      <x:c r="K319" s="10" t="str"/>
      <x:c r="L319" s="12" t="str"/>
      <x:c r="M319" s="12" t="str"/>
      <x:c r="N319" s="12" t="str"/>
      <x:c r="O319" s="12" t="str"/>
      <x:c r="P319" s="12" t="str"/>
    </x:row>
    <x:row r="320">
      <x:c r="A320" s="8" t="str">
        <x:v>ext-crm-pass-009</x:v>
      </x:c>
      <x:c r="B320" s="8" t="str">
        <x:v>synthetic_crm</x:v>
      </x:c>
      <x:c r="C320" s="8" t="str">
        <x:v>data/synthetic/crm/policies.csv</x:v>
      </x:c>
      <x:c r="D320" s="8" t="str">
        <x:v>policy:TEST-HH-2026-1402</x:v>
      </x:c>
      <x:c r="E320" s="8" t="str"/>
      <x:c r="F320" s="10" t="str">
        <x:v>What are the customer, policy number, product, coverage, status, deductible and annual premium?</x:v>
      </x:c>
      <x:c r="G320" s="10" t="str">
        <x:v>Customer: Hannah Vogel (hannah.vogel@example.test). Policy number: TEST-HH-2026-1402. Product type: Household Insurance. Coverage type: Standard Coverage. Status: Active. Start date: 2026-03-01. End date: 2027-02-28. Deductible: 200 EUR. Annual premium: 195 EUR.</x:v>
      </x:c>
      <x:c r="H320" s="10" t="str">
        <x:v>Hannah Vogel holds policy TEST-HH-2026-1402, a Household Insurance policy with Standard Coverage, status Active, a deductible of 200 EUR, and an annual premium of 195 EUR.</x:v>
      </x:c>
      <x:c r="I320" s="8" t="str">
        <x:v>household</x:v>
      </x:c>
      <x:c r="J320" s="8" t="str">
        <x:v>CALIBRATION</x:v>
      </x:c>
      <x:c r="K320" s="10" t="str"/>
      <x:c r="L320" s="12" t="str"/>
      <x:c r="M320" s="12" t="str"/>
      <x:c r="N320" s="12" t="str"/>
      <x:c r="O320" s="12" t="str"/>
      <x:c r="P320" s="12" t="str"/>
    </x:row>
    <x:row r="321">
      <x:c r="A321" s="8" t="str">
        <x:v>ext-crm-pass-010</x:v>
      </x:c>
      <x:c r="B321" s="8" t="str">
        <x:v>synthetic_crm</x:v>
      </x:c>
      <x:c r="C321" s="8" t="str">
        <x:v>data/synthetic/crm/policies.csv</x:v>
      </x:c>
      <x:c r="D321" s="8" t="str">
        <x:v>policy:TEST-RS-2026-1501</x:v>
      </x:c>
      <x:c r="E321" s="8" t="str"/>
      <x:c r="F321" s="10" t="str">
        <x:v>What are the customer, policy number, product, coverage, status, deductible and annual premium?</x:v>
      </x:c>
      <x:c r="G321" s="10" t="str">
        <x:v>Customer: Jonas Richter (jonas.richter@example.test). Policy number: TEST-RS-2026-1501. Product type: Legal Protection. Coverage type: Standard Coverage. Status: Cancelled. Start date: 2026-01-01. End date: 2026-06-30. Deductible: 150 EUR. Annual premium: 260 EUR.</x:v>
      </x:c>
      <x:c r="H321" s="10" t="str">
        <x:v>Jonas Richter holds policy TEST-RS-2026-1501, a Legal Protection policy with Standard Coverage, status Cancelled, a deductible of 150 EUR, and an annual premium of 260 EUR.</x:v>
      </x:c>
      <x:c r="I321" s="8" t="str">
        <x:v>legal_protection</x:v>
      </x:c>
      <x:c r="J321" s="8" t="str">
        <x:v>CALIBRATION</x:v>
      </x:c>
      <x:c r="K321" s="10" t="str"/>
      <x:c r="L321" s="12" t="str"/>
      <x:c r="M321" s="12" t="str"/>
      <x:c r="N321" s="12" t="str"/>
      <x:c r="O321" s="12" t="str"/>
      <x:c r="P321" s="12" t="str"/>
    </x:row>
    <x:row r="322">
      <x:c r="A322" s="8" t="str">
        <x:v>ext-crm-pass-011</x:v>
      </x:c>
      <x:c r="B322" s="8" t="str">
        <x:v>synthetic_crm</x:v>
      </x:c>
      <x:c r="C322" s="8" t="str">
        <x:v>data/synthetic/crm/policies.csv</x:v>
      </x:c>
      <x:c r="D322" s="8" t="str">
        <x:v>policy:TEST-PHV-2026-1601</x:v>
      </x:c>
      <x:c r="E322" s="8" t="str"/>
      <x:c r="F322" s="10" t="str">
        <x:v>What are the customer, policy number, product, coverage, status, deductible and annual premium?</x:v>
      </x:c>
      <x:c r="G322" s="10" t="str">
        <x:v>Customer: Amira Hoffmann (amira.hoffmann@example.test). Policy number: TEST-PHV-2026-1601. Product type: Personal Liability. Coverage type: Liability. Status: Active. Start date: 2026-04-01. End date: 2027-03-31. Deductible: 0 EUR. Annual premium: 102 EUR.</x:v>
      </x:c>
      <x:c r="H322" s="10" t="str">
        <x:v>Amira Hoffmann holds policy TEST-PHV-2026-1601, a Personal Liability policy with Liability, status Active, a deductible of 0 EUR, and an annual premium of 102 EUR.</x:v>
      </x:c>
      <x:c r="I322" s="8" t="str">
        <x:v>liability</x:v>
      </x:c>
      <x:c r="J322" s="8" t="str">
        <x:v>CALIBRATION</x:v>
      </x:c>
      <x:c r="K322" s="10" t="str"/>
      <x:c r="L322" s="12" t="str"/>
      <x:c r="M322" s="12" t="str"/>
      <x:c r="N322" s="12" t="str"/>
      <x:c r="O322" s="12" t="str"/>
      <x:c r="P322" s="12" t="str"/>
    </x:row>
    <x:row r="323">
      <x:c r="A323" s="8" t="str">
        <x:v>ext-crm-pass-012</x:v>
      </x:c>
      <x:c r="B323" s="8" t="str">
        <x:v>synthetic_crm</x:v>
      </x:c>
      <x:c r="C323" s="8" t="str">
        <x:v>data/synthetic/crm/policies.csv</x:v>
      </x:c>
      <x:c r="D323" s="8" t="str">
        <x:v>policy:TEST-KFZ-2026-1701</x:v>
      </x:c>
      <x:c r="E323" s="8" t="str"/>
      <x:c r="F323" s="10" t="str">
        <x:v>What are the customer, policy number, product, coverage, status, deductible and annual premium?</x:v>
      </x:c>
      <x:c r="G323" s="10" t="str">
        <x:v>Customer: Noah Weber (noah.weber@example.test). Policy number: TEST-KFZ-2026-1701. Product type: Motor Insurance. Coverage type: Partial Coverage. Status: Active. Start date: 2026-05-01. End date: 2027-04-30. Deductible: 300 EUR. Annual premium: 735 EUR.</x:v>
      </x:c>
      <x:c r="H323" s="10" t="str">
        <x:v>Noah Weber holds policy TEST-KFZ-2026-1701, a Motor Insurance policy with Partial Coverage, status Active, a deductible of 300 EUR, and an annual premium of 735 EUR.</x:v>
      </x:c>
      <x:c r="I323" s="8" t="str">
        <x:v>motor</x:v>
      </x:c>
      <x:c r="J323" s="8" t="str">
        <x:v>CALIBRATION</x:v>
      </x:c>
      <x:c r="K323" s="10" t="str"/>
      <x:c r="L323" s="12" t="str"/>
      <x:c r="M323" s="12" t="str"/>
      <x:c r="N323" s="12" t="str"/>
      <x:c r="O323" s="12" t="str"/>
      <x:c r="P323" s="12" t="str"/>
    </x:row>
    <x:row r="324">
      <x:c r="A324" s="8" t="str">
        <x:v>ext-crm-pass-013</x:v>
      </x:c>
      <x:c r="B324" s="8" t="str">
        <x:v>synthetic_crm</x:v>
      </x:c>
      <x:c r="C324" s="8" t="str">
        <x:v>data/synthetic/crm/policies.csv</x:v>
      </x:c>
      <x:c r="D324" s="8" t="str">
        <x:v>policy:TEST-RS-2026-1702</x:v>
      </x:c>
      <x:c r="E324" s="8" t="str"/>
      <x:c r="F324" s="10" t="str">
        <x:v>What are the customer, policy number, product, coverage, status, deductible and annual premium?</x:v>
      </x:c>
      <x:c r="G324" s="10" t="str">
        <x:v>Customer: Noah Weber (noah.weber@example.test). Policy number: TEST-RS-2026-1702. Product type: Legal Protection. Coverage type: Standard Coverage. Status: Active. Start date: 2026-05-01. End date: 2027-04-30. Deductible: 200 EUR. Annual premium: 310 EUR.</x:v>
      </x:c>
      <x:c r="H324" s="10" t="str">
        <x:v>Noah Weber holds policy TEST-RS-2026-1702, a Legal Protection policy with Standard Coverage, status Active, a deductible of 200 EUR, and an annual premium of 310 EUR.</x:v>
      </x:c>
      <x:c r="I324" s="8" t="str">
        <x:v>legal_protection</x:v>
      </x:c>
      <x:c r="J324" s="8" t="str">
        <x:v>CALIBRATION</x:v>
      </x:c>
      <x:c r="K324" s="10" t="str"/>
      <x:c r="L324" s="12" t="str"/>
      <x:c r="M324" s="12" t="str"/>
      <x:c r="N324" s="12" t="str"/>
      <x:c r="O324" s="12" t="str"/>
      <x:c r="P324" s="12" t="str"/>
    </x:row>
    <x:row r="325">
      <x:c r="A325" s="8" t="str">
        <x:v>ext-crm-pass-014</x:v>
      </x:c>
      <x:c r="B325" s="8" t="str">
        <x:v>synthetic_crm</x:v>
      </x:c>
      <x:c r="C325" s="8" t="str">
        <x:v>data/synthetic/crm/policies.csv</x:v>
      </x:c>
      <x:c r="D325" s="8" t="str">
        <x:v>policy:TEST-HH-2026-1801</x:v>
      </x:c>
      <x:c r="E325" s="8" t="str"/>
      <x:c r="F325" s="10" t="str">
        <x:v>What are the customer, policy number, product, coverage, status, deductible and annual premium?</x:v>
      </x:c>
      <x:c r="G325" s="10" t="str">
        <x:v>Customer: Mila Hartmann (mila.hartmann@example.test). Policy number: TEST-HH-2026-1801. Product type: Household Insurance. Coverage type: Standard Coverage. Status: Pending. Start date: 2026-09-01. End date: 2027-08-31. Deductible: 250 EUR. Annual premium: 225 EUR.</x:v>
      </x:c>
      <x:c r="H325" s="10" t="str">
        <x:v>Mila Hartmann holds policy TEST-HH-2026-1801, a Household Insurance policy with Standard Coverage, status Pending, a deductible of 250 EUR, and an annual premium of 225 EUR.</x:v>
      </x:c>
      <x:c r="I325" s="8" t="str">
        <x:v>household</x:v>
      </x:c>
      <x:c r="J325" s="8" t="str">
        <x:v>CALIBRATION</x:v>
      </x:c>
      <x:c r="K325" s="10" t="str"/>
      <x:c r="L325" s="12" t="str"/>
      <x:c r="M325" s="12" t="str"/>
      <x:c r="N325" s="12" t="str"/>
      <x:c r="O325" s="12" t="str"/>
      <x:c r="P325" s="12" t="str"/>
    </x:row>
    <x:row r="326">
      <x:c r="A326" s="8" t="str">
        <x:v>ext-crm-pass-015</x:v>
      </x:c>
      <x:c r="B326" s="8" t="str">
        <x:v>synthetic_crm</x:v>
      </x:c>
      <x:c r="C326" s="8" t="str">
        <x:v>data/synthetic/crm/policies.csv</x:v>
      </x:c>
      <x:c r="D326" s="8" t="str">
        <x:v>policy:TEST-KFZ-2026-1901</x:v>
      </x:c>
      <x:c r="E326" s="8" t="str"/>
      <x:c r="F326" s="10" t="str">
        <x:v>What are the customer, policy number, product, coverage, status, deductible and annual premium?</x:v>
      </x:c>
      <x:c r="G326" s="10" t="str">
        <x:v>Customer: Leon Becker (leon.becker@example.test). Policy number: TEST-KFZ-2026-1901. Product type: Motor Insurance. Coverage type: Comprehensive Coverage. Status: Active. Start date: 2026-06-01. End date: 2027-05-31. Deductible: 500 EUR. Annual premium: 1290 EUR.</x:v>
      </x:c>
      <x:c r="H326" s="10" t="str">
        <x:v>Leon Becker holds policy TEST-KFZ-2026-1901, a Motor Insurance policy with Comprehensive Coverage, status Active, a deductible of 500 EUR, and an annual premium of 1290 EUR.</x:v>
      </x:c>
      <x:c r="I326" s="8" t="str">
        <x:v>motor</x:v>
      </x:c>
      <x:c r="J326" s="8" t="str">
        <x:v>CALIBRATION</x:v>
      </x:c>
      <x:c r="K326" s="10" t="str"/>
      <x:c r="L326" s="12" t="str"/>
      <x:c r="M326" s="12" t="str"/>
      <x:c r="N326" s="12" t="str"/>
      <x:c r="O326" s="12" t="str"/>
      <x:c r="P326" s="12" t="str"/>
    </x:row>
    <x:row r="327">
      <x:c r="A327" s="8" t="str">
        <x:v>ext-crm-pass-016</x:v>
      </x:c>
      <x:c r="B327" s="8" t="str">
        <x:v>synthetic_crm</x:v>
      </x:c>
      <x:c r="C327" s="8" t="str">
        <x:v>data/synthetic/crm/policies.csv</x:v>
      </x:c>
      <x:c r="D327" s="8" t="str">
        <x:v>policy:TEST-PHV-2026-1902</x:v>
      </x:c>
      <x:c r="E327" s="8" t="str"/>
      <x:c r="F327" s="10" t="str">
        <x:v>What are the customer, policy number, product, coverage, status, deductible and annual premium?</x:v>
      </x:c>
      <x:c r="G327" s="10" t="str">
        <x:v>Customer: Leon Becker (leon.becker@example.test). Policy number: TEST-PHV-2026-1902. Product type: Personal Liability. Coverage type: Liability. Status: Active. Start date: 2026-06-01. End date: 2027-05-31. Deductible: 0 EUR. Annual premium: 108 EUR.</x:v>
      </x:c>
      <x:c r="H327" s="10" t="str">
        <x:v>Leon Becker holds policy TEST-PHV-2026-1902, a Personal Liability policy with Liability, status Active, a deductible of 0 EUR, and an annual premium of 108 EUR.</x:v>
      </x:c>
      <x:c r="I327" s="8" t="str">
        <x:v>liability</x:v>
      </x:c>
      <x:c r="J327" s="8" t="str">
        <x:v>CALIBRATION</x:v>
      </x:c>
      <x:c r="K327" s="10" t="str"/>
      <x:c r="L327" s="12" t="str"/>
      <x:c r="M327" s="12" t="str"/>
      <x:c r="N327" s="12" t="str"/>
      <x:c r="O327" s="12" t="str"/>
      <x:c r="P327" s="12" t="str"/>
    </x:row>
    <x:row r="328">
      <x:c r="A328" s="8" t="str">
        <x:v>ext-crm-pass-017</x:v>
      </x:c>
      <x:c r="B328" s="8" t="str">
        <x:v>synthetic_crm</x:v>
      </x:c>
      <x:c r="C328" s="8" t="str">
        <x:v>data/synthetic/crm/policies.csv</x:v>
      </x:c>
      <x:c r="D328" s="8" t="str">
        <x:v>policy:TEST-KFZ-2026-1001</x:v>
      </x:c>
      <x:c r="E328" s="8" t="str"/>
      <x:c r="F328" s="10" t="str">
        <x:v>What deductible and annual premium apply to this policy?</x:v>
      </x:c>
      <x:c r="G328" s="10" t="str">
        <x:v>Customer: Lara Neumann (lara.neumann@example.test). Policy number: TEST-KFZ-2026-1001. Product type: Motor Insurance. Coverage type: Partial Coverage. Status: Active. Start date: 2026-01-01. End date: 2026-12-31. Deductible: 150 EUR. Annual premium: 684 EUR.</x:v>
      </x:c>
      <x:c r="H328" s="10" t="str">
        <x:v>The deductible is 150 EUR and the annual premium is 684 EUR.</x:v>
      </x:c>
      <x:c r="I328" s="8" t="str">
        <x:v>motor</x:v>
      </x:c>
      <x:c r="J328" s="8" t="str">
        <x:v>CALIBRATION</x:v>
      </x:c>
      <x:c r="K328" s="10" t="str"/>
      <x:c r="L328" s="12" t="str"/>
      <x:c r="M328" s="12" t="str"/>
      <x:c r="N328" s="12" t="str"/>
      <x:c r="O328" s="12" t="str"/>
      <x:c r="P328" s="12" t="str"/>
    </x:row>
    <x:row r="329">
      <x:c r="A329" s="8" t="str">
        <x:v>ext-crm-pass-018</x:v>
      </x:c>
      <x:c r="B329" s="8" t="str">
        <x:v>synthetic_crm</x:v>
      </x:c>
      <x:c r="C329" s="8" t="str">
        <x:v>data/synthetic/crm/policies.csv</x:v>
      </x:c>
      <x:c r="D329" s="8" t="str">
        <x:v>policy:TEST-PHV-2026-1002</x:v>
      </x:c>
      <x:c r="E329" s="8" t="str"/>
      <x:c r="F329" s="10" t="str">
        <x:v>What deductible and annual premium apply to this policy?</x:v>
      </x:c>
      <x:c r="G329" s="10" t="str">
        <x:v>Customer: Lara Neumann (lara.neumann@example.test). Policy number: TEST-PHV-2026-1002. Product type: Personal Liability. Coverage type: Liability. Status: Active. Start date: 2026-01-01. End date: 2026-12-31. Deductible: 0 EUR. Annual premium: 96 EUR.</x:v>
      </x:c>
      <x:c r="H329" s="10" t="str">
        <x:v>The deductible is 0 EUR and the annual premium is 96 EUR.</x:v>
      </x:c>
      <x:c r="I329" s="8" t="str">
        <x:v>liability</x:v>
      </x:c>
      <x:c r="J329" s="8" t="str">
        <x:v>CALIBRATION</x:v>
      </x:c>
      <x:c r="K329" s="10" t="str"/>
      <x:c r="L329" s="12" t="str"/>
      <x:c r="M329" s="12" t="str"/>
      <x:c r="N329" s="12" t="str"/>
      <x:c r="O329" s="12" t="str"/>
      <x:c r="P329" s="12" t="str"/>
    </x:row>
    <x:row r="330">
      <x:c r="A330" s="8" t="str">
        <x:v>ext-crm-pass-019</x:v>
      </x:c>
      <x:c r="B330" s="8" t="str">
        <x:v>synthetic_crm</x:v>
      </x:c>
      <x:c r="C330" s="8" t="str">
        <x:v>data/synthetic/crm/policies.csv</x:v>
      </x:c>
      <x:c r="D330" s="8" t="str">
        <x:v>policy:TEST-KFZ-2026-1003</x:v>
      </x:c>
      <x:c r="E330" s="8" t="str"/>
      <x:c r="F330" s="10" t="str">
        <x:v>What deductible and annual premium apply to this policy?</x:v>
      </x:c>
      <x:c r="G330" s="10" t="str">
        <x:v>Customer: Lara Neumann (lara.neumann@example.test). Policy number: TEST-KFZ-2026-1003. Product type: Motor Insurance. Coverage type: Partial Coverage. Status: Active. Start date: 2026-07-01. End date: 2027-06-30. Deductible: 300 EUR. Annual premium: 720 EUR.</x:v>
      </x:c>
      <x:c r="H330" s="10" t="str">
        <x:v>The deductible is 300 EUR and the annual premium is 720 EUR.</x:v>
      </x:c>
      <x:c r="I330" s="8" t="str">
        <x:v>motor</x:v>
      </x:c>
      <x:c r="J330" s="8" t="str">
        <x:v>CALIBRATION</x:v>
      </x:c>
      <x:c r="K330" s="10" t="str"/>
      <x:c r="L330" s="12" t="str"/>
      <x:c r="M330" s="12" t="str"/>
      <x:c r="N330" s="12" t="str"/>
      <x:c r="O330" s="12" t="str"/>
      <x:c r="P330" s="12" t="str"/>
    </x:row>
    <x:row r="331">
      <x:c r="A331" s="8" t="str">
        <x:v>ext-crm-pass-020</x:v>
      </x:c>
      <x:c r="B331" s="8" t="str">
        <x:v>synthetic_crm</x:v>
      </x:c>
      <x:c r="C331" s="8" t="str">
        <x:v>data/synthetic/crm/policies.csv</x:v>
      </x:c>
      <x:c r="D331" s="8" t="str">
        <x:v>policy:TEST-KFZ-2026-1101</x:v>
      </x:c>
      <x:c r="E331" s="8" t="str"/>
      <x:c r="F331" s="10" t="str">
        <x:v>What deductible and annual premium apply to this policy?</x:v>
      </x:c>
      <x:c r="G331" s="10" t="str">
        <x:v>Customer: Oliver Brandt (oliver.brandt@example.test). Policy number: TEST-KFZ-2026-1101. Product type: Motor Insurance. Coverage type: Comprehensive Coverage. Status: Active. Start date: 2026-02-01. End date: 2027-01-31. Deductible: 300 EUR. Annual premium: 1120 EUR.</x:v>
      </x:c>
      <x:c r="H331" s="10" t="str">
        <x:v>The deductible is 300 EUR and the annual premium is 1120 EUR.</x:v>
      </x:c>
      <x:c r="I331" s="8" t="str">
        <x:v>motor</x:v>
      </x:c>
      <x:c r="J331" s="8" t="str">
        <x:v>CALIBRATION</x:v>
      </x:c>
      <x:c r="K331" s="10" t="str"/>
      <x:c r="L331" s="12" t="str"/>
      <x:c r="M331" s="12" t="str"/>
      <x:c r="N331" s="12" t="str"/>
      <x:c r="O331" s="12" t="str"/>
      <x:c r="P331" s="12" t="str"/>
    </x:row>
    <x:row r="332">
      <x:c r="A332" s="8" t="str">
        <x:v>ext-crm-pass-021</x:v>
      </x:c>
      <x:c r="B332" s="8" t="str">
        <x:v>synthetic_crm</x:v>
      </x:c>
      <x:c r="C332" s="8" t="str">
        <x:v>data/synthetic/crm/policies.csv</x:v>
      </x:c>
      <x:c r="D332" s="8" t="str">
        <x:v>policy:TEST-HH-2026-1201</x:v>
      </x:c>
      <x:c r="E332" s="8" t="str"/>
      <x:c r="F332" s="10" t="str">
        <x:v>What deductible and annual premium apply to this policy?</x:v>
      </x:c>
      <x:c r="G332" s="10" t="str">
        <x:v>Customer: Sophie Keller (sophie.keller@example.test). Policy number: TEST-HH-2026-1201. Product type: Household Insurance. Coverage type: Standard Coverage. Status: Active. Start date: 2026-01-15. End date: 2027-01-14. Deductible: 250 EUR. Annual premium: 210 EUR.</x:v>
      </x:c>
      <x:c r="H332" s="10" t="str">
        <x:v>The deductible is 250 EUR and the annual premium is 210 EUR.</x:v>
      </x:c>
      <x:c r="I332" s="8" t="str">
        <x:v>household</x:v>
      </x:c>
      <x:c r="J332" s="8" t="str">
        <x:v>CALIBRATION</x:v>
      </x:c>
      <x:c r="K332" s="10" t="str"/>
      <x:c r="L332" s="12" t="str"/>
      <x:c r="M332" s="12" t="str"/>
      <x:c r="N332" s="12" t="str"/>
      <x:c r="O332" s="12" t="str"/>
      <x:c r="P332" s="12" t="str"/>
    </x:row>
    <x:row r="333">
      <x:c r="A333" s="8" t="str">
        <x:v>ext-crm-pass-022</x:v>
      </x:c>
      <x:c r="B333" s="8" t="str">
        <x:v>synthetic_crm</x:v>
      </x:c>
      <x:c r="C333" s="8" t="str">
        <x:v>data/synthetic/crm/policies.csv</x:v>
      </x:c>
      <x:c r="D333" s="8" t="str">
        <x:v>policy:TEST-RS-2026-1202</x:v>
      </x:c>
      <x:c r="E333" s="8" t="str"/>
      <x:c r="F333" s="10" t="str">
        <x:v>What deductible and annual premium apply to this policy?</x:v>
      </x:c>
      <x:c r="G333" s="10" t="str">
        <x:v>Customer: Sophie Keller (sophie.keller@example.test). Policy number: TEST-RS-2026-1202. Product type: Legal Protection. Coverage type: Standard Coverage. Status: Pending. Start date: 2026-08-01. End date: 2027-07-31. Deductible: 150 EUR. Annual premium: 280 EUR.</x:v>
      </x:c>
      <x:c r="H333" s="10" t="str">
        <x:v>The deductible is 150 EUR and the annual premium is 280 EUR.</x:v>
      </x:c>
      <x:c r="I333" s="8" t="str">
        <x:v>legal_protection</x:v>
      </x:c>
      <x:c r="J333" s="8" t="str">
        <x:v>CALIBRATION</x:v>
      </x:c>
      <x:c r="K333" s="10" t="str"/>
      <x:c r="L333" s="12" t="str"/>
      <x:c r="M333" s="12" t="str"/>
      <x:c r="N333" s="12" t="str"/>
      <x:c r="O333" s="12" t="str"/>
      <x:c r="P333" s="12" t="str"/>
    </x:row>
    <x:row r="334">
      <x:c r="A334" s="8" t="str">
        <x:v>ext-crm-pass-023</x:v>
      </x:c>
      <x:c r="B334" s="8" t="str">
        <x:v>synthetic_crm</x:v>
      </x:c>
      <x:c r="C334" s="8" t="str">
        <x:v>data/synthetic/crm/policies.csv</x:v>
      </x:c>
      <x:c r="D334" s="8" t="str">
        <x:v>policy:TEST-PHV-2025-1301</x:v>
      </x:c>
      <x:c r="E334" s="8" t="str"/>
      <x:c r="F334" s="10" t="str">
        <x:v>What deductible and annual premium apply to this policy?</x:v>
      </x:c>
      <x:c r="G334" s="10" t="str">
        <x:v>Customer: Emil Fischer (emil.fischer@example.test). Policy number: TEST-PHV-2025-1301. Product type: Personal Liability. Coverage type: Liability. Status: Expired. Start date: 2025-01-01. End date: 2025-12-31. Deductible: 0 EUR. Annual premium: 84 EUR.</x:v>
      </x:c>
      <x:c r="H334" s="10" t="str">
        <x:v>The deductible is 0 EUR and the annual premium is 84 EUR.</x:v>
      </x:c>
      <x:c r="I334" s="8" t="str">
        <x:v>liability</x:v>
      </x:c>
      <x:c r="J334" s="8" t="str">
        <x:v>CALIBRATION</x:v>
      </x:c>
      <x:c r="K334" s="10" t="str"/>
      <x:c r="L334" s="12" t="str"/>
      <x:c r="M334" s="12" t="str"/>
      <x:c r="N334" s="12" t="str"/>
      <x:c r="O334" s="12" t="str"/>
      <x:c r="P334" s="12" t="str"/>
    </x:row>
    <x:row r="335">
      <x:c r="A335" s="8" t="str">
        <x:v>ext-crm-pass-024</x:v>
      </x:c>
      <x:c r="B335" s="8" t="str">
        <x:v>synthetic_crm</x:v>
      </x:c>
      <x:c r="C335" s="8" t="str">
        <x:v>data/synthetic/crm/policies.csv</x:v>
      </x:c>
      <x:c r="D335" s="8" t="str">
        <x:v>policy:TEST-KFZ-2026-1401</x:v>
      </x:c>
      <x:c r="E335" s="8" t="str"/>
      <x:c r="F335" s="10" t="str">
        <x:v>What deductible and annual premium apply to this policy?</x:v>
      </x:c>
      <x:c r="G335" s="10" t="str">
        <x:v>Customer: Hannah Vogel (hannah.vogel@example.test). Policy number: TEST-KFZ-2026-1401. Product type: Motor Insurance. Coverage type: Liability. Status: Active. Start date: 2026-03-01. End date: 2027-02-28. Deductible: 500 EUR. Annual premium: 520 EUR.</x:v>
      </x:c>
      <x:c r="H335" s="10" t="str">
        <x:v>The deductible is 500 EUR and the annual premium is 520 EUR.</x:v>
      </x:c>
      <x:c r="I335" s="8" t="str">
        <x:v>motor</x:v>
      </x:c>
      <x:c r="J335" s="8" t="str">
        <x:v>CALIBRATION</x:v>
      </x:c>
      <x:c r="K335" s="10" t="str"/>
      <x:c r="L335" s="12" t="str"/>
      <x:c r="M335" s="12" t="str"/>
      <x:c r="N335" s="12" t="str"/>
      <x:c r="O335" s="12" t="str"/>
      <x:c r="P335" s="12" t="str"/>
    </x:row>
    <x:row r="336">
      <x:c r="A336" s="8" t="str">
        <x:v>ext-crm-pass-025</x:v>
      </x:c>
      <x:c r="B336" s="8" t="str">
        <x:v>synthetic_crm</x:v>
      </x:c>
      <x:c r="C336" s="8" t="str">
        <x:v>data/synthetic/crm/policies.csv</x:v>
      </x:c>
      <x:c r="D336" s="8" t="str">
        <x:v>policy:TEST-HH-2026-1402</x:v>
      </x:c>
      <x:c r="E336" s="8" t="str"/>
      <x:c r="F336" s="10" t="str">
        <x:v>What deductible and annual premium apply to this policy?</x:v>
      </x:c>
      <x:c r="G336" s="10" t="str">
        <x:v>Customer: Hannah Vogel (hannah.vogel@example.test). Policy number: TEST-HH-2026-1402. Product type: Household Insurance. Coverage type: Standard Coverage. Status: Active. Start date: 2026-03-01. End date: 2027-02-28. Deductible: 200 EUR. Annual premium: 195 EUR.</x:v>
      </x:c>
      <x:c r="H336" s="10" t="str">
        <x:v>The deductible is 200 EUR and the annual premium is 195 EUR.</x:v>
      </x:c>
      <x:c r="I336" s="8" t="str">
        <x:v>household</x:v>
      </x:c>
      <x:c r="J336" s="8" t="str">
        <x:v>CALIBRATION</x:v>
      </x:c>
      <x:c r="K336" s="10" t="str"/>
      <x:c r="L336" s="12" t="str"/>
      <x:c r="M336" s="12" t="str"/>
      <x:c r="N336" s="12" t="str"/>
      <x:c r="O336" s="12" t="str"/>
      <x:c r="P336" s="12" t="str"/>
    </x:row>
    <x:row r="337">
      <x:c r="A337" s="8" t="str">
        <x:v>ext-crm-pass-026</x:v>
      </x:c>
      <x:c r="B337" s="8" t="str">
        <x:v>synthetic_crm</x:v>
      </x:c>
      <x:c r="C337" s="8" t="str">
        <x:v>data/synthetic/crm/policies.csv</x:v>
      </x:c>
      <x:c r="D337" s="8" t="str">
        <x:v>policy:TEST-RS-2026-1501</x:v>
      </x:c>
      <x:c r="E337" s="8" t="str"/>
      <x:c r="F337" s="10" t="str">
        <x:v>What deductible and annual premium apply to this policy?</x:v>
      </x:c>
      <x:c r="G337" s="10" t="str">
        <x:v>Customer: Jonas Richter (jonas.richter@example.test). Policy number: TEST-RS-2026-1501. Product type: Legal Protection. Coverage type: Standard Coverage. Status: Cancelled. Start date: 2026-01-01. End date: 2026-06-30. Deductible: 150 EUR. Annual premium: 260 EUR.</x:v>
      </x:c>
      <x:c r="H337" s="10" t="str">
        <x:v>The deductible is 150 EUR and the annual premium is 260 EUR.</x:v>
      </x:c>
      <x:c r="I337" s="8" t="str">
        <x:v>legal_protection</x:v>
      </x:c>
      <x:c r="J337" s="8" t="str">
        <x:v>CALIBRATION</x:v>
      </x:c>
      <x:c r="K337" s="10" t="str"/>
      <x:c r="L337" s="12" t="str"/>
      <x:c r="M337" s="12" t="str"/>
      <x:c r="N337" s="12" t="str"/>
      <x:c r="O337" s="12" t="str"/>
      <x:c r="P337" s="12" t="str"/>
    </x:row>
    <x:row r="338">
      <x:c r="A338" s="8" t="str">
        <x:v>ext-crm-pass-027</x:v>
      </x:c>
      <x:c r="B338" s="8" t="str">
        <x:v>synthetic_crm</x:v>
      </x:c>
      <x:c r="C338" s="8" t="str">
        <x:v>data/synthetic/crm/policies.csv</x:v>
      </x:c>
      <x:c r="D338" s="8" t="str">
        <x:v>policy:TEST-PHV-2026-1601</x:v>
      </x:c>
      <x:c r="E338" s="8" t="str"/>
      <x:c r="F338" s="10" t="str">
        <x:v>What deductible and annual premium apply to this policy?</x:v>
      </x:c>
      <x:c r="G338" s="10" t="str">
        <x:v>Customer: Amira Hoffmann (amira.hoffmann@example.test). Policy number: TEST-PHV-2026-1601. Product type: Personal Liability. Coverage type: Liability. Status: Active. Start date: 2026-04-01. End date: 2027-03-31. Deductible: 0 EUR. Annual premium: 102 EUR.</x:v>
      </x:c>
      <x:c r="H338" s="10" t="str">
        <x:v>The deductible is 0 EUR and the annual premium is 102 EUR.</x:v>
      </x:c>
      <x:c r="I338" s="8" t="str">
        <x:v>liability</x:v>
      </x:c>
      <x:c r="J338" s="8" t="str">
        <x:v>CALIBRATION</x:v>
      </x:c>
      <x:c r="K338" s="10" t="str"/>
      <x:c r="L338" s="12" t="str"/>
      <x:c r="M338" s="12" t="str"/>
      <x:c r="N338" s="12" t="str"/>
      <x:c r="O338" s="12" t="str"/>
      <x:c r="P338" s="12" t="str"/>
    </x:row>
    <x:row r="339">
      <x:c r="A339" s="8" t="str">
        <x:v>ext-crm-pass-028</x:v>
      </x:c>
      <x:c r="B339" s="8" t="str">
        <x:v>synthetic_crm</x:v>
      </x:c>
      <x:c r="C339" s="8" t="str">
        <x:v>data/synthetic/crm/policies.csv</x:v>
      </x:c>
      <x:c r="D339" s="8" t="str">
        <x:v>policy:TEST-KFZ-2026-1701</x:v>
      </x:c>
      <x:c r="E339" s="8" t="str"/>
      <x:c r="F339" s="10" t="str">
        <x:v>What deductible and annual premium apply to this policy?</x:v>
      </x:c>
      <x:c r="G339" s="10" t="str">
        <x:v>Customer: Noah Weber (noah.weber@example.test). Policy number: TEST-KFZ-2026-1701. Product type: Motor Insurance. Coverage type: Partial Coverage. Status: Active. Start date: 2026-05-01. End date: 2027-04-30. Deductible: 300 EUR. Annual premium: 735 EUR.</x:v>
      </x:c>
      <x:c r="H339" s="10" t="str">
        <x:v>The deductible is 300 EUR and the annual premium is 735 EUR.</x:v>
      </x:c>
      <x:c r="I339" s="8" t="str">
        <x:v>motor</x:v>
      </x:c>
      <x:c r="J339" s="8" t="str">
        <x:v>CALIBRATION</x:v>
      </x:c>
      <x:c r="K339" s="10" t="str"/>
      <x:c r="L339" s="12" t="str"/>
      <x:c r="M339" s="12" t="str"/>
      <x:c r="N339" s="12" t="str"/>
      <x:c r="O339" s="12" t="str"/>
      <x:c r="P339" s="12" t="str"/>
    </x:row>
    <x:row r="340">
      <x:c r="A340" s="8" t="str">
        <x:v>ext-crm-pass-029</x:v>
      </x:c>
      <x:c r="B340" s="8" t="str">
        <x:v>synthetic_crm</x:v>
      </x:c>
      <x:c r="C340" s="8" t="str">
        <x:v>data/synthetic/crm/policies.csv</x:v>
      </x:c>
      <x:c r="D340" s="8" t="str">
        <x:v>policy:TEST-RS-2026-1702</x:v>
      </x:c>
      <x:c r="E340" s="8" t="str"/>
      <x:c r="F340" s="10" t="str">
        <x:v>What deductible and annual premium apply to this policy?</x:v>
      </x:c>
      <x:c r="G340" s="10" t="str">
        <x:v>Customer: Noah Weber (noah.weber@example.test). Policy number: TEST-RS-2026-1702. Product type: Legal Protection. Coverage type: Standard Coverage. Status: Active. Start date: 2026-05-01. End date: 2027-04-30. Deductible: 200 EUR. Annual premium: 310 EUR.</x:v>
      </x:c>
      <x:c r="H340" s="10" t="str">
        <x:v>The deductible is 200 EUR and the annual premium is 310 EUR.</x:v>
      </x:c>
      <x:c r="I340" s="8" t="str">
        <x:v>legal_protection</x:v>
      </x:c>
      <x:c r="J340" s="8" t="str">
        <x:v>CALIBRATION</x:v>
      </x:c>
      <x:c r="K340" s="10" t="str"/>
      <x:c r="L340" s="12" t="str"/>
      <x:c r="M340" s="12" t="str"/>
      <x:c r="N340" s="12" t="str"/>
      <x:c r="O340" s="12" t="str"/>
      <x:c r="P340" s="12" t="str"/>
    </x:row>
    <x:row r="341">
      <x:c r="A341" s="8" t="str">
        <x:v>ext-crm-pass-030</x:v>
      </x:c>
      <x:c r="B341" s="8" t="str">
        <x:v>synthetic_crm</x:v>
      </x:c>
      <x:c r="C341" s="8" t="str">
        <x:v>data/synthetic/crm/policies.csv</x:v>
      </x:c>
      <x:c r="D341" s="8" t="str">
        <x:v>policy:TEST-HH-2026-1801</x:v>
      </x:c>
      <x:c r="E341" s="8" t="str"/>
      <x:c r="F341" s="10" t="str">
        <x:v>What deductible and annual premium apply to this policy?</x:v>
      </x:c>
      <x:c r="G341" s="10" t="str">
        <x:v>Customer: Mila Hartmann (mila.hartmann@example.test). Policy number: TEST-HH-2026-1801. Product type: Household Insurance. Coverage type: Standard Coverage. Status: Pending. Start date: 2026-09-01. End date: 2027-08-31. Deductible: 250 EUR. Annual premium: 225 EUR.</x:v>
      </x:c>
      <x:c r="H341" s="10" t="str">
        <x:v>The deductible is 250 EUR and the annual premium is 225 EUR.</x:v>
      </x:c>
      <x:c r="I341" s="8" t="str">
        <x:v>household</x:v>
      </x:c>
      <x:c r="J341" s="8" t="str">
        <x:v>CALIBRATION</x:v>
      </x:c>
      <x:c r="K341" s="10" t="str"/>
      <x:c r="L341" s="12" t="str"/>
      <x:c r="M341" s="12" t="str"/>
      <x:c r="N341" s="12" t="str"/>
      <x:c r="O341" s="12" t="str"/>
      <x:c r="P341" s="12" t="str"/>
    </x:row>
    <x:row r="342">
      <x:c r="A342" s="8" t="str">
        <x:v>ext-crm-pass-031</x:v>
      </x:c>
      <x:c r="B342" s="8" t="str">
        <x:v>synthetic_crm</x:v>
      </x:c>
      <x:c r="C342" s="8" t="str">
        <x:v>data/synthetic/crm/policies.csv</x:v>
      </x:c>
      <x:c r="D342" s="8" t="str">
        <x:v>policy:TEST-KFZ-2026-1901</x:v>
      </x:c>
      <x:c r="E342" s="8" t="str"/>
      <x:c r="F342" s="10" t="str">
        <x:v>What deductible and annual premium apply to this policy?</x:v>
      </x:c>
      <x:c r="G342" s="10" t="str">
        <x:v>Customer: Leon Becker (leon.becker@example.test). Policy number: TEST-KFZ-2026-1901. Product type: Motor Insurance. Coverage type: Comprehensive Coverage. Status: Active. Start date: 2026-06-01. End date: 2027-05-31. Deductible: 500 EUR. Annual premium: 1290 EUR.</x:v>
      </x:c>
      <x:c r="H342" s="10" t="str">
        <x:v>The deductible is 500 EUR and the annual premium is 1290 EUR.</x:v>
      </x:c>
      <x:c r="I342" s="8" t="str">
        <x:v>motor</x:v>
      </x:c>
      <x:c r="J342" s="8" t="str">
        <x:v>CALIBRATION</x:v>
      </x:c>
      <x:c r="K342" s="10" t="str"/>
      <x:c r="L342" s="12" t="str"/>
      <x:c r="M342" s="12" t="str"/>
      <x:c r="N342" s="12" t="str"/>
      <x:c r="O342" s="12" t="str"/>
      <x:c r="P342" s="12" t="str"/>
    </x:row>
    <x:row r="343">
      <x:c r="A343" s="8" t="str">
        <x:v>ext-crm-pass-032</x:v>
      </x:c>
      <x:c r="B343" s="8" t="str">
        <x:v>synthetic_crm</x:v>
      </x:c>
      <x:c r="C343" s="8" t="str">
        <x:v>data/synthetic/crm/policies.csv</x:v>
      </x:c>
      <x:c r="D343" s="8" t="str">
        <x:v>policy:TEST-PHV-2026-1902</x:v>
      </x:c>
      <x:c r="E343" s="8" t="str"/>
      <x:c r="F343" s="10" t="str">
        <x:v>What deductible and annual premium apply to this policy?</x:v>
      </x:c>
      <x:c r="G343" s="10" t="str">
        <x:v>Customer: Leon Becker (leon.becker@example.test). Policy number: TEST-PHV-2026-1902. Product type: Personal Liability. Coverage type: Liability. Status: Active. Start date: 2026-06-01. End date: 2027-05-31. Deductible: 0 EUR. Annual premium: 108 EUR.</x:v>
      </x:c>
      <x:c r="H343" s="10" t="str">
        <x:v>The deductible is 0 EUR and the annual premium is 108 EUR.</x:v>
      </x:c>
      <x:c r="I343" s="8" t="str">
        <x:v>liability</x:v>
      </x:c>
      <x:c r="J343" s="8" t="str">
        <x:v>CALIBRATION</x:v>
      </x:c>
      <x:c r="K343" s="10" t="str"/>
      <x:c r="L343" s="12" t="str"/>
      <x:c r="M343" s="12" t="str"/>
      <x:c r="N343" s="12" t="str"/>
      <x:c r="O343" s="12" t="str"/>
      <x:c r="P343" s="12" t="str"/>
    </x:row>
    <x:row r="344">
      <x:c r="A344" s="8" t="str">
        <x:v>ext-crm-pass-033</x:v>
      </x:c>
      <x:c r="B344" s="8" t="str">
        <x:v>synthetic_crm</x:v>
      </x:c>
      <x:c r="C344" s="8" t="str">
        <x:v>data/synthetic/crm/policies.csv</x:v>
      </x:c>
      <x:c r="D344" s="8" t="str">
        <x:v>policy:TEST-KFZ-2026-1001</x:v>
      </x:c>
      <x:c r="E344" s="8" t="str"/>
      <x:c r="F344" s="10" t="str">
        <x:v>What are the coverage type, policy status and contract dates?</x:v>
      </x:c>
      <x:c r="G344" s="10" t="str">
        <x:v>Customer: Lara Neumann (lara.neumann@example.test). Policy number: TEST-KFZ-2026-1001. Product type: Motor Insurance. Coverage type: Partial Coverage. Status: Active. Start date: 2026-01-01. End date: 2026-12-31. Deductible: 150 EUR. Annual premium: 684 EUR.</x:v>
      </x:c>
      <x:c r="H344" s="10" t="str">
        <x:v>The coverage type is Partial Coverage; the policy is Active from 2026-01-01 through 2026-12-31.</x:v>
      </x:c>
      <x:c r="I344" s="8" t="str">
        <x:v>motor</x:v>
      </x:c>
      <x:c r="J344" s="8" t="str">
        <x:v>CALIBRATION</x:v>
      </x:c>
      <x:c r="K344" s="10" t="str"/>
      <x:c r="L344" s="12" t="str"/>
      <x:c r="M344" s="12" t="str"/>
      <x:c r="N344" s="12" t="str"/>
      <x:c r="O344" s="12" t="str"/>
      <x:c r="P344" s="12" t="str"/>
    </x:row>
    <x:row r="345">
      <x:c r="A345" s="8" t="str">
        <x:v>ext-crm-pass-034</x:v>
      </x:c>
      <x:c r="B345" s="8" t="str">
        <x:v>synthetic_crm</x:v>
      </x:c>
      <x:c r="C345" s="8" t="str">
        <x:v>data/synthetic/crm/policies.csv</x:v>
      </x:c>
      <x:c r="D345" s="8" t="str">
        <x:v>policy:TEST-PHV-2026-1002</x:v>
      </x:c>
      <x:c r="E345" s="8" t="str"/>
      <x:c r="F345" s="10" t="str">
        <x:v>What are the coverage type, policy status and contract dates?</x:v>
      </x:c>
      <x:c r="G345" s="10" t="str">
        <x:v>Customer: Lara Neumann (lara.neumann@example.test). Policy number: TEST-PHV-2026-1002. Product type: Personal Liability. Coverage type: Liability. Status: Active. Start date: 2026-01-01. End date: 2026-12-31. Deductible: 0 EUR. Annual premium: 96 EUR.</x:v>
      </x:c>
      <x:c r="H345" s="10" t="str">
        <x:v>The coverage type is Liability; the policy is Active from 2026-01-01 through 2026-12-31.</x:v>
      </x:c>
      <x:c r="I345" s="8" t="str">
        <x:v>liability</x:v>
      </x:c>
      <x:c r="J345" s="8" t="str">
        <x:v>CALIBRATION</x:v>
      </x:c>
      <x:c r="K345" s="10" t="str"/>
      <x:c r="L345" s="12" t="str"/>
      <x:c r="M345" s="12" t="str"/>
      <x:c r="N345" s="12" t="str"/>
      <x:c r="O345" s="12" t="str"/>
      <x:c r="P345" s="12" t="str"/>
    </x:row>
    <x:row r="346">
      <x:c r="A346" s="8" t="str">
        <x:v>ext-crm-pass-035</x:v>
      </x:c>
      <x:c r="B346" s="8" t="str">
        <x:v>synthetic_crm</x:v>
      </x:c>
      <x:c r="C346" s="8" t="str">
        <x:v>data/synthetic/crm/policies.csv</x:v>
      </x:c>
      <x:c r="D346" s="8" t="str">
        <x:v>policy:TEST-KFZ-2026-1003</x:v>
      </x:c>
      <x:c r="E346" s="8" t="str"/>
      <x:c r="F346" s="10" t="str">
        <x:v>What are the coverage type, policy status and contract dates?</x:v>
      </x:c>
      <x:c r="G346" s="10" t="str">
        <x:v>Customer: Lara Neumann (lara.neumann@example.test). Policy number: TEST-KFZ-2026-1003. Product type: Motor Insurance. Coverage type: Partial Coverage. Status: Active. Start date: 2026-07-01. End date: 2027-06-30. Deductible: 300 EUR. Annual premium: 720 EUR.</x:v>
      </x:c>
      <x:c r="H346" s="10" t="str">
        <x:v>The coverage type is Partial Coverage; the policy is Active from 2026-07-01 through 2027-06-30.</x:v>
      </x:c>
      <x:c r="I346" s="8" t="str">
        <x:v>motor</x:v>
      </x:c>
      <x:c r="J346" s="8" t="str">
        <x:v>CALIBRATION</x:v>
      </x:c>
      <x:c r="K346" s="10" t="str"/>
      <x:c r="L346" s="12" t="str"/>
      <x:c r="M346" s="12" t="str"/>
      <x:c r="N346" s="12" t="str"/>
      <x:c r="O346" s="12" t="str"/>
      <x:c r="P346" s="12" t="str"/>
    </x:row>
    <x:row r="347">
      <x:c r="A347" s="8" t="str">
        <x:v>ext-crm-pass-036</x:v>
      </x:c>
      <x:c r="B347" s="8" t="str">
        <x:v>synthetic_crm</x:v>
      </x:c>
      <x:c r="C347" s="8" t="str">
        <x:v>data/synthetic/crm/policies.csv</x:v>
      </x:c>
      <x:c r="D347" s="8" t="str">
        <x:v>policy:TEST-KFZ-2026-1101</x:v>
      </x:c>
      <x:c r="E347" s="8" t="str"/>
      <x:c r="F347" s="10" t="str">
        <x:v>What are the coverage type, policy status and contract dates?</x:v>
      </x:c>
      <x:c r="G347" s="10" t="str">
        <x:v>Customer: Oliver Brandt (oliver.brandt@example.test). Policy number: TEST-KFZ-2026-1101. Product type: Motor Insurance. Coverage type: Comprehensive Coverage. Status: Active. Start date: 2026-02-01. End date: 2027-01-31. Deductible: 300 EUR. Annual premium: 1120 EUR.</x:v>
      </x:c>
      <x:c r="H347" s="10" t="str">
        <x:v>The coverage type is Comprehensive Coverage; the policy is Active from 2026-02-01 through 2027-01-31.</x:v>
      </x:c>
      <x:c r="I347" s="8" t="str">
        <x:v>motor</x:v>
      </x:c>
      <x:c r="J347" s="8" t="str">
        <x:v>CALIBRATION</x:v>
      </x:c>
      <x:c r="K347" s="10" t="str"/>
      <x:c r="L347" s="12" t="str"/>
      <x:c r="M347" s="12" t="str"/>
      <x:c r="N347" s="12" t="str"/>
      <x:c r="O347" s="12" t="str"/>
      <x:c r="P347" s="12" t="str"/>
    </x:row>
    <x:row r="348">
      <x:c r="A348" s="8" t="str">
        <x:v>ext-crm-pass-037</x:v>
      </x:c>
      <x:c r="B348" s="8" t="str">
        <x:v>synthetic_crm</x:v>
      </x:c>
      <x:c r="C348" s="8" t="str">
        <x:v>data/synthetic/crm/policies.csv</x:v>
      </x:c>
      <x:c r="D348" s="8" t="str">
        <x:v>policy:TEST-HH-2026-1201</x:v>
      </x:c>
      <x:c r="E348" s="8" t="str"/>
      <x:c r="F348" s="10" t="str">
        <x:v>What are the coverage type, policy status and contract dates?</x:v>
      </x:c>
      <x:c r="G348" s="10" t="str">
        <x:v>Customer: Sophie Keller (sophie.keller@example.test). Policy number: TEST-HH-2026-1201. Product type: Household Insurance. Coverage type: Standard Coverage. Status: Active. Start date: 2026-01-15. End date: 2027-01-14. Deductible: 250 EUR. Annual premium: 210 EUR.</x:v>
      </x:c>
      <x:c r="H348" s="10" t="str">
        <x:v>The coverage type is Standard Coverage; the policy is Active from 2026-01-15 through 2027-01-14.</x:v>
      </x:c>
      <x:c r="I348" s="8" t="str">
        <x:v>household</x:v>
      </x:c>
      <x:c r="J348" s="8" t="str">
        <x:v>CALIBRATION</x:v>
      </x:c>
      <x:c r="K348" s="10" t="str"/>
      <x:c r="L348" s="12" t="str"/>
      <x:c r="M348" s="12" t="str"/>
      <x:c r="N348" s="12" t="str"/>
      <x:c r="O348" s="12" t="str"/>
      <x:c r="P348" s="12" t="str"/>
    </x:row>
    <x:row r="349">
      <x:c r="A349" s="8" t="str">
        <x:v>ext-crm-pass-038</x:v>
      </x:c>
      <x:c r="B349" s="8" t="str">
        <x:v>synthetic_crm</x:v>
      </x:c>
      <x:c r="C349" s="8" t="str">
        <x:v>data/synthetic/crm/policies.csv</x:v>
      </x:c>
      <x:c r="D349" s="8" t="str">
        <x:v>policy:TEST-RS-2026-1202</x:v>
      </x:c>
      <x:c r="E349" s="8" t="str"/>
      <x:c r="F349" s="10" t="str">
        <x:v>What are the coverage type, policy status and contract dates?</x:v>
      </x:c>
      <x:c r="G349" s="10" t="str">
        <x:v>Customer: Sophie Keller (sophie.keller@example.test). Policy number: TEST-RS-2026-1202. Product type: Legal Protection. Coverage type: Standard Coverage. Status: Pending. Start date: 2026-08-01. End date: 2027-07-31. Deductible: 150 EUR. Annual premium: 280 EUR.</x:v>
      </x:c>
      <x:c r="H349" s="10" t="str">
        <x:v>The coverage type is Standard Coverage; the policy is Pending from 2026-08-01 through 2027-07-31.</x:v>
      </x:c>
      <x:c r="I349" s="8" t="str">
        <x:v>legal_protection</x:v>
      </x:c>
      <x:c r="J349" s="8" t="str">
        <x:v>CALIBRATION</x:v>
      </x:c>
      <x:c r="K349" s="10" t="str"/>
      <x:c r="L349" s="12" t="str"/>
      <x:c r="M349" s="12" t="str"/>
      <x:c r="N349" s="12" t="str"/>
      <x:c r="O349" s="12" t="str"/>
      <x:c r="P349" s="12" t="str"/>
    </x:row>
    <x:row r="350">
      <x:c r="A350" s="8" t="str">
        <x:v>ext-crm-pass-039</x:v>
      </x:c>
      <x:c r="B350" s="8" t="str">
        <x:v>synthetic_crm</x:v>
      </x:c>
      <x:c r="C350" s="8" t="str">
        <x:v>data/synthetic/crm/policies.csv</x:v>
      </x:c>
      <x:c r="D350" s="8" t="str">
        <x:v>policy:TEST-PHV-2025-1301</x:v>
      </x:c>
      <x:c r="E350" s="8" t="str"/>
      <x:c r="F350" s="10" t="str">
        <x:v>What are the coverage type, policy status and contract dates?</x:v>
      </x:c>
      <x:c r="G350" s="10" t="str">
        <x:v>Customer: Emil Fischer (emil.fischer@example.test). Policy number: TEST-PHV-2025-1301. Product type: Personal Liability. Coverage type: Liability. Status: Expired. Start date: 2025-01-01. End date: 2025-12-31. Deductible: 0 EUR. Annual premium: 84 EUR.</x:v>
      </x:c>
      <x:c r="H350" s="10" t="str">
        <x:v>The coverage type is Liability; the policy is Expired from 2025-01-01 through 2025-12-31.</x:v>
      </x:c>
      <x:c r="I350" s="8" t="str">
        <x:v>liability</x:v>
      </x:c>
      <x:c r="J350" s="8" t="str">
        <x:v>CALIBRATION</x:v>
      </x:c>
      <x:c r="K350" s="10" t="str"/>
      <x:c r="L350" s="12" t="str"/>
      <x:c r="M350" s="12" t="str"/>
      <x:c r="N350" s="12" t="str"/>
      <x:c r="O350" s="12" t="str"/>
      <x:c r="P350" s="12" t="str"/>
    </x:row>
    <x:row r="351">
      <x:c r="A351" s="8" t="str">
        <x:v>ext-crm-pass-040</x:v>
      </x:c>
      <x:c r="B351" s="8" t="str">
        <x:v>synthetic_crm</x:v>
      </x:c>
      <x:c r="C351" s="8" t="str">
        <x:v>data/synthetic/crm/policies.csv</x:v>
      </x:c>
      <x:c r="D351" s="8" t="str">
        <x:v>policy:TEST-KFZ-2026-1401</x:v>
      </x:c>
      <x:c r="E351" s="8" t="str"/>
      <x:c r="F351" s="10" t="str">
        <x:v>What are the coverage type, policy status and contract dates?</x:v>
      </x:c>
      <x:c r="G351" s="10" t="str">
        <x:v>Customer: Hannah Vogel (hannah.vogel@example.test). Policy number: TEST-KFZ-2026-1401. Product type: Motor Insurance. Coverage type: Liability. Status: Active. Start date: 2026-03-01. End date: 2027-02-28. Deductible: 500 EUR. Annual premium: 520 EUR.</x:v>
      </x:c>
      <x:c r="H351" s="10" t="str">
        <x:v>The coverage type is Liability; the policy is Active from 2026-03-01 through 2027-02-28.</x:v>
      </x:c>
      <x:c r="I351" s="8" t="str">
        <x:v>motor</x:v>
      </x:c>
      <x:c r="J351" s="8" t="str">
        <x:v>CALIBRATION</x:v>
      </x:c>
      <x:c r="K351" s="10" t="str"/>
      <x:c r="L351" s="12" t="str"/>
      <x:c r="M351" s="12" t="str"/>
      <x:c r="N351" s="12" t="str"/>
      <x:c r="O351" s="12" t="str"/>
      <x:c r="P351" s="12" t="str"/>
    </x:row>
    <x:row r="352">
      <x:c r="A352" s="8" t="str">
        <x:v>ext-crm-pass-041</x:v>
      </x:c>
      <x:c r="B352" s="8" t="str">
        <x:v>synthetic_crm</x:v>
      </x:c>
      <x:c r="C352" s="8" t="str">
        <x:v>data/synthetic/crm/policies.csv</x:v>
      </x:c>
      <x:c r="D352" s="8" t="str">
        <x:v>policy:TEST-HH-2026-1402</x:v>
      </x:c>
      <x:c r="E352" s="8" t="str"/>
      <x:c r="F352" s="10" t="str">
        <x:v>What are the coverage type, policy status and contract dates?</x:v>
      </x:c>
      <x:c r="G352" s="10" t="str">
        <x:v>Customer: Hannah Vogel (hannah.vogel@example.test). Policy number: TEST-HH-2026-1402. Product type: Household Insurance. Coverage type: Standard Coverage. Status: Active. Start date: 2026-03-01. End date: 2027-02-28. Deductible: 200 EUR. Annual premium: 195 EUR.</x:v>
      </x:c>
      <x:c r="H352" s="10" t="str">
        <x:v>The coverage type is Standard Coverage; the policy is Active from 2026-03-01 through 2027-02-28.</x:v>
      </x:c>
      <x:c r="I352" s="8" t="str">
        <x:v>household</x:v>
      </x:c>
      <x:c r="J352" s="8" t="str">
        <x:v>CALIBRATION</x:v>
      </x:c>
      <x:c r="K352" s="10" t="str"/>
      <x:c r="L352" s="12" t="str"/>
      <x:c r="M352" s="12" t="str"/>
      <x:c r="N352" s="12" t="str"/>
      <x:c r="O352" s="12" t="str"/>
      <x:c r="P352" s="12" t="str"/>
    </x:row>
    <x:row r="353">
      <x:c r="A353" s="8" t="str">
        <x:v>ext-crm-pass-042</x:v>
      </x:c>
      <x:c r="B353" s="8" t="str">
        <x:v>synthetic_crm</x:v>
      </x:c>
      <x:c r="C353" s="8" t="str">
        <x:v>data/synthetic/crm/policies.csv</x:v>
      </x:c>
      <x:c r="D353" s="8" t="str">
        <x:v>policy:TEST-RS-2026-1501</x:v>
      </x:c>
      <x:c r="E353" s="8" t="str"/>
      <x:c r="F353" s="10" t="str">
        <x:v>What are the coverage type, policy status and contract dates?</x:v>
      </x:c>
      <x:c r="G353" s="10" t="str">
        <x:v>Customer: Jonas Richter (jonas.richter@example.test). Policy number: TEST-RS-2026-1501. Product type: Legal Protection. Coverage type: Standard Coverage. Status: Cancelled. Start date: 2026-01-01. End date: 2026-06-30. Deductible: 150 EUR. Annual premium: 260 EUR.</x:v>
      </x:c>
      <x:c r="H353" s="10" t="str">
        <x:v>The coverage type is Standard Coverage; the policy is Cancelled from 2026-01-01 through 2026-06-30.</x:v>
      </x:c>
      <x:c r="I353" s="8" t="str">
        <x:v>legal_protection</x:v>
      </x:c>
      <x:c r="J353" s="8" t="str">
        <x:v>CALIBRATION</x:v>
      </x:c>
      <x:c r="K353" s="10" t="str"/>
      <x:c r="L353" s="12" t="str"/>
      <x:c r="M353" s="12" t="str"/>
      <x:c r="N353" s="12" t="str"/>
      <x:c r="O353" s="12" t="str"/>
      <x:c r="P353" s="12" t="str"/>
    </x:row>
    <x:row r="354">
      <x:c r="A354" s="8" t="str">
        <x:v>ext-crm-pass-043</x:v>
      </x:c>
      <x:c r="B354" s="8" t="str">
        <x:v>synthetic_crm</x:v>
      </x:c>
      <x:c r="C354" s="8" t="str">
        <x:v>data/synthetic/crm/policies.csv</x:v>
      </x:c>
      <x:c r="D354" s="8" t="str">
        <x:v>policy:TEST-PHV-2026-1601</x:v>
      </x:c>
      <x:c r="E354" s="8" t="str"/>
      <x:c r="F354" s="10" t="str">
        <x:v>What are the coverage type, policy status and contract dates?</x:v>
      </x:c>
      <x:c r="G354" s="10" t="str">
        <x:v>Customer: Amira Hoffmann (amira.hoffmann@example.test). Policy number: TEST-PHV-2026-1601. Product type: Personal Liability. Coverage type: Liability. Status: Active. Start date: 2026-04-01. End date: 2027-03-31. Deductible: 0 EUR. Annual premium: 102 EUR.</x:v>
      </x:c>
      <x:c r="H354" s="10" t="str">
        <x:v>The coverage type is Liability; the policy is Active from 2026-04-01 through 2027-03-31.</x:v>
      </x:c>
      <x:c r="I354" s="8" t="str">
        <x:v>liability</x:v>
      </x:c>
      <x:c r="J354" s="8" t="str">
        <x:v>CALIBRATION</x:v>
      </x:c>
      <x:c r="K354" s="10" t="str"/>
      <x:c r="L354" s="12" t="str"/>
      <x:c r="M354" s="12" t="str"/>
      <x:c r="N354" s="12" t="str"/>
      <x:c r="O354" s="12" t="str"/>
      <x:c r="P354" s="12" t="str"/>
    </x:row>
    <x:row r="355">
      <x:c r="A355" s="8" t="str">
        <x:v>ext-crm-pass-044</x:v>
      </x:c>
      <x:c r="B355" s="8" t="str">
        <x:v>synthetic_crm</x:v>
      </x:c>
      <x:c r="C355" s="8" t="str">
        <x:v>data/synthetic/crm/policies.csv</x:v>
      </x:c>
      <x:c r="D355" s="8" t="str">
        <x:v>policy:TEST-KFZ-2026-1701</x:v>
      </x:c>
      <x:c r="E355" s="8" t="str"/>
      <x:c r="F355" s="10" t="str">
        <x:v>What are the coverage type, policy status and contract dates?</x:v>
      </x:c>
      <x:c r="G355" s="10" t="str">
        <x:v>Customer: Noah Weber (noah.weber@example.test). Policy number: TEST-KFZ-2026-1701. Product type: Motor Insurance. Coverage type: Partial Coverage. Status: Active. Start date: 2026-05-01. End date: 2027-04-30. Deductible: 300 EUR. Annual premium: 735 EUR.</x:v>
      </x:c>
      <x:c r="H355" s="10" t="str">
        <x:v>The coverage type is Partial Coverage; the policy is Active from 2026-05-01 through 2027-04-30.</x:v>
      </x:c>
      <x:c r="I355" s="8" t="str">
        <x:v>motor</x:v>
      </x:c>
      <x:c r="J355" s="8" t="str">
        <x:v>CALIBRATION</x:v>
      </x:c>
      <x:c r="K355" s="10" t="str"/>
      <x:c r="L355" s="12" t="str"/>
      <x:c r="M355" s="12" t="str"/>
      <x:c r="N355" s="12" t="str"/>
      <x:c r="O355" s="12" t="str"/>
      <x:c r="P355" s="12" t="str"/>
    </x:row>
    <x:row r="356">
      <x:c r="A356" s="8" t="str">
        <x:v>ext-crm-pass-045</x:v>
      </x:c>
      <x:c r="B356" s="8" t="str">
        <x:v>synthetic_crm</x:v>
      </x:c>
      <x:c r="C356" s="8" t="str">
        <x:v>data/synthetic/crm/policies.csv</x:v>
      </x:c>
      <x:c r="D356" s="8" t="str">
        <x:v>policy:TEST-RS-2026-1702</x:v>
      </x:c>
      <x:c r="E356" s="8" t="str"/>
      <x:c r="F356" s="10" t="str">
        <x:v>What are the coverage type, policy status and contract dates?</x:v>
      </x:c>
      <x:c r="G356" s="10" t="str">
        <x:v>Customer: Noah Weber (noah.weber@example.test). Policy number: TEST-RS-2026-1702. Product type: Legal Protection. Coverage type: Standard Coverage. Status: Active. Start date: 2026-05-01. End date: 2027-04-30. Deductible: 200 EUR. Annual premium: 310 EUR.</x:v>
      </x:c>
      <x:c r="H356" s="10" t="str">
        <x:v>The coverage type is Standard Coverage; the policy is Active from 2026-05-01 through 2027-04-30.</x:v>
      </x:c>
      <x:c r="I356" s="8" t="str">
        <x:v>legal_protection</x:v>
      </x:c>
      <x:c r="J356" s="8" t="str">
        <x:v>CALIBRATION</x:v>
      </x:c>
      <x:c r="K356" s="10" t="str"/>
      <x:c r="L356" s="12" t="str"/>
      <x:c r="M356" s="12" t="str"/>
      <x:c r="N356" s="12" t="str"/>
      <x:c r="O356" s="12" t="str"/>
      <x:c r="P356" s="12" t="str"/>
    </x:row>
    <x:row r="357">
      <x:c r="A357" s="8" t="str">
        <x:v>ext-crm-pass-046</x:v>
      </x:c>
      <x:c r="B357" s="8" t="str">
        <x:v>synthetic_crm</x:v>
      </x:c>
      <x:c r="C357" s="8" t="str">
        <x:v>data/synthetic/crm/policies.csv</x:v>
      </x:c>
      <x:c r="D357" s="8" t="str">
        <x:v>policy:TEST-HH-2026-1801</x:v>
      </x:c>
      <x:c r="E357" s="8" t="str"/>
      <x:c r="F357" s="10" t="str">
        <x:v>What are the coverage type, policy status and contract dates?</x:v>
      </x:c>
      <x:c r="G357" s="10" t="str">
        <x:v>Customer: Mila Hartmann (mila.hartmann@example.test). Policy number: TEST-HH-2026-1801. Product type: Household Insurance. Coverage type: Standard Coverage. Status: Pending. Start date: 2026-09-01. End date: 2027-08-31. Deductible: 250 EUR. Annual premium: 225 EUR.</x:v>
      </x:c>
      <x:c r="H357" s="10" t="str">
        <x:v>The coverage type is Standard Coverage; the policy is Pending from 2026-09-01 through 2027-08-31.</x:v>
      </x:c>
      <x:c r="I357" s="8" t="str">
        <x:v>household</x:v>
      </x:c>
      <x:c r="J357" s="8" t="str">
        <x:v>CALIBRATION</x:v>
      </x:c>
      <x:c r="K357" s="10" t="str"/>
      <x:c r="L357" s="12" t="str"/>
      <x:c r="M357" s="12" t="str"/>
      <x:c r="N357" s="12" t="str"/>
      <x:c r="O357" s="12" t="str"/>
      <x:c r="P357" s="12" t="str"/>
    </x:row>
    <x:row r="358">
      <x:c r="A358" s="8" t="str">
        <x:v>ext-crm-pass-047</x:v>
      </x:c>
      <x:c r="B358" s="8" t="str">
        <x:v>synthetic_crm</x:v>
      </x:c>
      <x:c r="C358" s="8" t="str">
        <x:v>data/synthetic/crm/policies.csv</x:v>
      </x:c>
      <x:c r="D358" s="8" t="str">
        <x:v>policy:TEST-KFZ-2026-1901</x:v>
      </x:c>
      <x:c r="E358" s="8" t="str"/>
      <x:c r="F358" s="10" t="str">
        <x:v>What are the coverage type, policy status and contract dates?</x:v>
      </x:c>
      <x:c r="G358" s="10" t="str">
        <x:v>Customer: Leon Becker (leon.becker@example.test). Policy number: TEST-KFZ-2026-1901. Product type: Motor Insurance. Coverage type: Comprehensive Coverage. Status: Active. Start date: 2026-06-01. End date: 2027-05-31. Deductible: 500 EUR. Annual premium: 1290 EUR.</x:v>
      </x:c>
      <x:c r="H358" s="10" t="str">
        <x:v>The coverage type is Comprehensive Coverage; the policy is Active from 2026-06-01 through 2027-05-31.</x:v>
      </x:c>
      <x:c r="I358" s="8" t="str">
        <x:v>motor</x:v>
      </x:c>
      <x:c r="J358" s="8" t="str">
        <x:v>CALIBRATION</x:v>
      </x:c>
      <x:c r="K358" s="10" t="str"/>
      <x:c r="L358" s="12" t="str"/>
      <x:c r="M358" s="12" t="str"/>
      <x:c r="N358" s="12" t="str"/>
      <x:c r="O358" s="12" t="str"/>
      <x:c r="P358" s="12" t="str"/>
    </x:row>
    <x:row r="359">
      <x:c r="A359" s="8" t="str">
        <x:v>ext-crm-pass-048</x:v>
      </x:c>
      <x:c r="B359" s="8" t="str">
        <x:v>synthetic_crm</x:v>
      </x:c>
      <x:c r="C359" s="8" t="str">
        <x:v>data/synthetic/crm/policies.csv</x:v>
      </x:c>
      <x:c r="D359" s="8" t="str">
        <x:v>policy:TEST-PHV-2026-1902</x:v>
      </x:c>
      <x:c r="E359" s="8" t="str"/>
      <x:c r="F359" s="10" t="str">
        <x:v>What are the coverage type, policy status and contract dates?</x:v>
      </x:c>
      <x:c r="G359" s="10" t="str">
        <x:v>Customer: Leon Becker (leon.becker@example.test). Policy number: TEST-PHV-2026-1902. Product type: Personal Liability. Coverage type: Liability. Status: Active. Start date: 2026-06-01. End date: 2027-05-31. Deductible: 0 EUR. Annual premium: 108 EUR.</x:v>
      </x:c>
      <x:c r="H359" s="10" t="str">
        <x:v>The coverage type is Liability; the policy is Active from 2026-06-01 through 2027-05-31.</x:v>
      </x:c>
      <x:c r="I359" s="8" t="str">
        <x:v>liability</x:v>
      </x:c>
      <x:c r="J359" s="8" t="str">
        <x:v>CALIBRATION</x:v>
      </x:c>
      <x:c r="K359" s="10" t="str"/>
      <x:c r="L359" s="12" t="str"/>
      <x:c r="M359" s="12" t="str"/>
      <x:c r="N359" s="12" t="str"/>
      <x:c r="O359" s="12" t="str"/>
      <x:c r="P359" s="12" t="str"/>
    </x:row>
    <x:row r="360">
      <x:c r="A360" s="8" t="str">
        <x:v>ext-crm-pass-049</x:v>
      </x:c>
      <x:c r="B360" s="8" t="str">
        <x:v>synthetic_crm</x:v>
      </x:c>
      <x:c r="C360" s="8" t="str">
        <x:v>data/synthetic/crm/policies.csv</x:v>
      </x:c>
      <x:c r="D360" s="8" t="str">
        <x:v>customer:lara.neumann@example.test</x:v>
      </x:c>
      <x:c r="E360" s="8" t="str"/>
      <x:c r="F360" s="10" t="str">
        <x:v>As of 2026-08-01, what is Lara Neumann's current motor policy?</x:v>
      </x:c>
      <x:c r="G360"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360" s="10" t="str">
        <x:v>Lara Neumann's current motor policy is TEST-KFZ-2026-1003 with Partial Coverage, a 300 EUR deductible and a 720 EUR annual premium.</x:v>
      </x:c>
      <x:c r="I360" s="8" t="str">
        <x:v>motor</x:v>
      </x:c>
      <x:c r="J360" s="8" t="str">
        <x:v>CALIBRATION</x:v>
      </x:c>
      <x:c r="K360" s="10" t="str"/>
      <x:c r="L360" s="12" t="str"/>
      <x:c r="M360" s="12" t="str"/>
      <x:c r="N360" s="12" t="str"/>
      <x:c r="O360" s="12" t="str"/>
      <x:c r="P360" s="12" t="str"/>
    </x:row>
    <x:row r="361">
      <x:c r="A361" s="8" t="str">
        <x:v>ext-crm-pass-050</x:v>
      </x:c>
      <x:c r="B361" s="8" t="str">
        <x:v>synthetic_crm</x:v>
      </x:c>
      <x:c r="C361" s="8" t="str">
        <x:v>data/synthetic/crm/claims.csv</x:v>
      </x:c>
      <x:c r="D361" s="8" t="str">
        <x:v>claim:TEST-CLM-2026-2001</x:v>
      </x:c>
      <x:c r="E361" s="8" t="str"/>
      <x:c r="F361" s="10" t="str">
        <x:v>What are the claim number, policy number, damage type, claimed amount and current status?</x:v>
      </x:c>
      <x:c r="G361" s="10" t="str">
        <x:v>Customer: Lara Neumann. Claim number: TEST-CLM-2026-2001. Policy number: TEST-KFZ-2026-1001. Claim date: 2026-07-10. Damage type: Glass Damage. Claimed amount: 780 EUR. Status: Under Review.</x:v>
      </x:c>
      <x:c r="H361" s="10" t="str">
        <x:v>Claim TEST-CLM-2026-2001 concerns Glass Damage under policy TEST-KFZ-2026-1001, with 780 EUR claimed and status Under Review.</x:v>
      </x:c>
      <x:c r="I361" s="8" t="str">
        <x:v>motor</x:v>
      </x:c>
      <x:c r="J361" s="8" t="str">
        <x:v>CALIBRATION</x:v>
      </x:c>
      <x:c r="K361" s="10" t="str"/>
      <x:c r="L361" s="12" t="str"/>
      <x:c r="M361" s="12" t="str"/>
      <x:c r="N361" s="12" t="str"/>
      <x:c r="O361" s="12" t="str"/>
      <x:c r="P361" s="12" t="str"/>
    </x:row>
    <x:row r="362">
      <x:c r="A362" s="8" t="str">
        <x:v>ext-crm-fail-001</x:v>
      </x:c>
      <x:c r="B362" s="8" t="str">
        <x:v>synthetic_crm</x:v>
      </x:c>
      <x:c r="C362" s="8" t="str">
        <x:v>data/synthetic/crm/policies.csv</x:v>
      </x:c>
      <x:c r="D362" s="8" t="str">
        <x:v>policy:TEST-KFZ-2026-1001</x:v>
      </x:c>
      <x:c r="E362" s="8" t="str"/>
      <x:c r="F362" s="10" t="str">
        <x:v>Which customer holds the policy shown in the context?</x:v>
      </x:c>
      <x:c r="G362" s="10" t="str">
        <x:v>Customer: Lara Neumann (lara.neumann@example.test). Policy number: TEST-KFZ-2026-1001. Product type: Motor Insurance. Coverage type: Partial Coverage. Status: Active. Start date: 2026-01-01. End date: 2026-12-31. Deductible: 150 EUR. Annual premium: 684 EUR.</x:v>
      </x:c>
      <x:c r="H362" s="10" t="str">
        <x:v>The policy belongs to Oliver Brandt.</x:v>
      </x:c>
      <x:c r="I362" s="8" t="str">
        <x:v>motor</x:v>
      </x:c>
      <x:c r="J362" s="8" t="str">
        <x:v>CALIBRATION</x:v>
      </x:c>
      <x:c r="K362" s="10" t="str"/>
      <x:c r="L362" s="12" t="str"/>
      <x:c r="M362" s="12" t="str"/>
      <x:c r="N362" s="12" t="str"/>
      <x:c r="O362" s="12" t="str"/>
      <x:c r="P362" s="12" t="str"/>
    </x:row>
    <x:row r="363">
      <x:c r="A363" s="8" t="str">
        <x:v>ext-crm-fail-002</x:v>
      </x:c>
      <x:c r="B363" s="8" t="str">
        <x:v>synthetic_crm</x:v>
      </x:c>
      <x:c r="C363" s="8" t="str">
        <x:v>data/synthetic/crm/policies.csv</x:v>
      </x:c>
      <x:c r="D363" s="8" t="str">
        <x:v>policy:TEST-PHV-2026-1002</x:v>
      </x:c>
      <x:c r="E363" s="8" t="str"/>
      <x:c r="F363" s="10" t="str">
        <x:v>Which customer holds the policy shown in the context?</x:v>
      </x:c>
      <x:c r="G363" s="10" t="str">
        <x:v>Customer: Lara Neumann (lara.neumann@example.test). Policy number: TEST-PHV-2026-1002. Product type: Personal Liability. Coverage type: Liability. Status: Active. Start date: 2026-01-01. End date: 2026-12-31. Deductible: 0 EUR. Annual premium: 96 EUR.</x:v>
      </x:c>
      <x:c r="H363" s="10" t="str">
        <x:v>The policy belongs to Oliver Brandt.</x:v>
      </x:c>
      <x:c r="I363" s="8" t="str">
        <x:v>liability</x:v>
      </x:c>
      <x:c r="J363" s="8" t="str">
        <x:v>CALIBRATION</x:v>
      </x:c>
      <x:c r="K363" s="10" t="str"/>
      <x:c r="L363" s="12" t="str"/>
      <x:c r="M363" s="12" t="str"/>
      <x:c r="N363" s="12" t="str"/>
      <x:c r="O363" s="12" t="str"/>
      <x:c r="P363" s="12" t="str"/>
    </x:row>
    <x:row r="364">
      <x:c r="A364" s="8" t="str">
        <x:v>ext-crm-fail-003</x:v>
      </x:c>
      <x:c r="B364" s="8" t="str">
        <x:v>synthetic_crm</x:v>
      </x:c>
      <x:c r="C364" s="8" t="str">
        <x:v>data/synthetic/crm/policies.csv</x:v>
      </x:c>
      <x:c r="D364" s="8" t="str">
        <x:v>policy:TEST-KFZ-2026-1003</x:v>
      </x:c>
      <x:c r="E364" s="8" t="str"/>
      <x:c r="F364" s="10" t="str">
        <x:v>Which customer holds the policy shown in the context?</x:v>
      </x:c>
      <x:c r="G364" s="10" t="str">
        <x:v>Customer: Lara Neumann (lara.neumann@example.test). Policy number: TEST-KFZ-2026-1003. Product type: Motor Insurance. Coverage type: Partial Coverage. Status: Active. Start date: 2026-07-01. End date: 2027-06-30. Deductible: 300 EUR. Annual premium: 720 EUR.</x:v>
      </x:c>
      <x:c r="H364" s="10" t="str">
        <x:v>The policy belongs to Oliver Brandt.</x:v>
      </x:c>
      <x:c r="I364" s="8" t="str">
        <x:v>motor</x:v>
      </x:c>
      <x:c r="J364" s="8" t="str">
        <x:v>CALIBRATION</x:v>
      </x:c>
      <x:c r="K364" s="10" t="str"/>
      <x:c r="L364" s="12" t="str"/>
      <x:c r="M364" s="12" t="str"/>
      <x:c r="N364" s="12" t="str"/>
      <x:c r="O364" s="12" t="str"/>
      <x:c r="P364" s="12" t="str"/>
    </x:row>
    <x:row r="365">
      <x:c r="A365" s="8" t="str">
        <x:v>ext-crm-fail-004</x:v>
      </x:c>
      <x:c r="B365" s="8" t="str">
        <x:v>synthetic_crm</x:v>
      </x:c>
      <x:c r="C365" s="8" t="str">
        <x:v>data/synthetic/crm/policies.csv</x:v>
      </x:c>
      <x:c r="D365" s="8" t="str">
        <x:v>policy:TEST-KFZ-2026-1101</x:v>
      </x:c>
      <x:c r="E365" s="8" t="str"/>
      <x:c r="F365" s="10" t="str">
        <x:v>Which customer holds the policy shown in the context?</x:v>
      </x:c>
      <x:c r="G365" s="10" t="str">
        <x:v>Customer: Oliver Brandt (oliver.brandt@example.test). Policy number: TEST-KFZ-2026-1101. Product type: Motor Insurance. Coverage type: Comprehensive Coverage. Status: Active. Start date: 2026-02-01. End date: 2027-01-31. Deductible: 300 EUR. Annual premium: 1120 EUR.</x:v>
      </x:c>
      <x:c r="H365" s="10" t="str">
        <x:v>The policy belongs to Lara Neumann.</x:v>
      </x:c>
      <x:c r="I365" s="8" t="str">
        <x:v>motor</x:v>
      </x:c>
      <x:c r="J365" s="8" t="str">
        <x:v>CALIBRATION</x:v>
      </x:c>
      <x:c r="K365" s="10" t="str"/>
      <x:c r="L365" s="12" t="str"/>
      <x:c r="M365" s="12" t="str"/>
      <x:c r="N365" s="12" t="str"/>
      <x:c r="O365" s="12" t="str"/>
      <x:c r="P365" s="12" t="str"/>
    </x:row>
    <x:row r="366">
      <x:c r="A366" s="8" t="str">
        <x:v>ext-crm-fail-005</x:v>
      </x:c>
      <x:c r="B366" s="8" t="str">
        <x:v>synthetic_crm</x:v>
      </x:c>
      <x:c r="C366" s="8" t="str">
        <x:v>data/synthetic/crm/policies.csv</x:v>
      </x:c>
      <x:c r="D366" s="8" t="str">
        <x:v>policy:TEST-HH-2026-1201</x:v>
      </x:c>
      <x:c r="E366" s="8" t="str"/>
      <x:c r="F366" s="10" t="str">
        <x:v>Which customer holds the policy shown in the context?</x:v>
      </x:c>
      <x:c r="G366" s="10" t="str">
        <x:v>Customer: Sophie Keller (sophie.keller@example.test). Policy number: TEST-HH-2026-1201. Product type: Household Insurance. Coverage type: Standard Coverage. Status: Active. Start date: 2026-01-15. End date: 2027-01-14. Deductible: 250 EUR. Annual premium: 210 EUR.</x:v>
      </x:c>
      <x:c r="H366" s="10" t="str">
        <x:v>The policy belongs to Lara Neumann.</x:v>
      </x:c>
      <x:c r="I366" s="8" t="str">
        <x:v>household</x:v>
      </x:c>
      <x:c r="J366" s="8" t="str">
        <x:v>CALIBRATION</x:v>
      </x:c>
      <x:c r="K366" s="10" t="str"/>
      <x:c r="L366" s="12" t="str"/>
      <x:c r="M366" s="12" t="str"/>
      <x:c r="N366" s="12" t="str"/>
      <x:c r="O366" s="12" t="str"/>
      <x:c r="P366" s="12" t="str"/>
    </x:row>
    <x:row r="367">
      <x:c r="A367" s="8" t="str">
        <x:v>ext-crm-fail-006</x:v>
      </x:c>
      <x:c r="B367" s="8" t="str">
        <x:v>synthetic_crm</x:v>
      </x:c>
      <x:c r="C367" s="8" t="str">
        <x:v>data/synthetic/crm/policies.csv</x:v>
      </x:c>
      <x:c r="D367" s="8" t="str">
        <x:v>policy:TEST-RS-2026-1202</x:v>
      </x:c>
      <x:c r="E367" s="8" t="str"/>
      <x:c r="F367" s="10" t="str">
        <x:v>Which customer holds the policy shown in the context?</x:v>
      </x:c>
      <x:c r="G367" s="10" t="str">
        <x:v>Customer: Sophie Keller (sophie.keller@example.test). Policy number: TEST-RS-2026-1202. Product type: Legal Protection. Coverage type: Standard Coverage. Status: Pending. Start date: 2026-08-01. End date: 2027-07-31. Deductible: 150 EUR. Annual premium: 280 EUR.</x:v>
      </x:c>
      <x:c r="H367" s="10" t="str">
        <x:v>The policy belongs to Lara Neumann.</x:v>
      </x:c>
      <x:c r="I367" s="8" t="str">
        <x:v>legal_protection</x:v>
      </x:c>
      <x:c r="J367" s="8" t="str">
        <x:v>CALIBRATION</x:v>
      </x:c>
      <x:c r="K367" s="10" t="str"/>
      <x:c r="L367" s="12" t="str"/>
      <x:c r="M367" s="12" t="str"/>
      <x:c r="N367" s="12" t="str"/>
      <x:c r="O367" s="12" t="str"/>
      <x:c r="P367" s="12" t="str"/>
    </x:row>
    <x:row r="368">
      <x:c r="A368" s="8" t="str">
        <x:v>ext-crm-fail-007</x:v>
      </x:c>
      <x:c r="B368" s="8" t="str">
        <x:v>synthetic_crm</x:v>
      </x:c>
      <x:c r="C368" s="8" t="str">
        <x:v>data/synthetic/crm/policies.csv</x:v>
      </x:c>
      <x:c r="D368" s="8" t="str">
        <x:v>policy:TEST-PHV-2025-1301</x:v>
      </x:c>
      <x:c r="E368" s="8" t="str"/>
      <x:c r="F368" s="10" t="str">
        <x:v>Which customer holds the policy shown in the context?</x:v>
      </x:c>
      <x:c r="G368" s="10" t="str">
        <x:v>Customer: Emil Fischer (emil.fischer@example.test). Policy number: TEST-PHV-2025-1301. Product type: Personal Liability. Coverage type: Liability. Status: Expired. Start date: 2025-01-01. End date: 2025-12-31. Deductible: 0 EUR. Annual premium: 84 EUR.</x:v>
      </x:c>
      <x:c r="H368" s="10" t="str">
        <x:v>The policy belongs to Lara Neumann.</x:v>
      </x:c>
      <x:c r="I368" s="8" t="str">
        <x:v>liability</x:v>
      </x:c>
      <x:c r="J368" s="8" t="str">
        <x:v>CALIBRATION</x:v>
      </x:c>
      <x:c r="K368" s="10" t="str"/>
      <x:c r="L368" s="12" t="str"/>
      <x:c r="M368" s="12" t="str"/>
      <x:c r="N368" s="12" t="str"/>
      <x:c r="O368" s="12" t="str"/>
      <x:c r="P368" s="12" t="str"/>
    </x:row>
    <x:row r="369">
      <x:c r="A369" s="8" t="str">
        <x:v>ext-crm-fail-008</x:v>
      </x:c>
      <x:c r="B369" s="8" t="str">
        <x:v>synthetic_crm</x:v>
      </x:c>
      <x:c r="C369" s="8" t="str">
        <x:v>data/synthetic/crm/policies.csv</x:v>
      </x:c>
      <x:c r="D369" s="8" t="str">
        <x:v>policy:TEST-KFZ-2026-1401</x:v>
      </x:c>
      <x:c r="E369" s="8" t="str"/>
      <x:c r="F369" s="10" t="str">
        <x:v>Which customer holds the policy shown in the context?</x:v>
      </x:c>
      <x:c r="G369" s="10" t="str">
        <x:v>Customer: Hannah Vogel (hannah.vogel@example.test). Policy number: TEST-KFZ-2026-1401. Product type: Motor Insurance. Coverage type: Liability. Status: Active. Start date: 2026-03-01. End date: 2027-02-28. Deductible: 500 EUR. Annual premium: 520 EUR.</x:v>
      </x:c>
      <x:c r="H369" s="10" t="str">
        <x:v>The policy belongs to Lara Neumann.</x:v>
      </x:c>
      <x:c r="I369" s="8" t="str">
        <x:v>motor</x:v>
      </x:c>
      <x:c r="J369" s="8" t="str">
        <x:v>CALIBRATION</x:v>
      </x:c>
      <x:c r="K369" s="10" t="str"/>
      <x:c r="L369" s="12" t="str"/>
      <x:c r="M369" s="12" t="str"/>
      <x:c r="N369" s="12" t="str"/>
      <x:c r="O369" s="12" t="str"/>
      <x:c r="P369" s="12" t="str"/>
    </x:row>
    <x:row r="370">
      <x:c r="A370" s="8" t="str">
        <x:v>ext-crm-fail-009</x:v>
      </x:c>
      <x:c r="B370" s="8" t="str">
        <x:v>synthetic_crm</x:v>
      </x:c>
      <x:c r="C370" s="8" t="str">
        <x:v>data/synthetic/crm/policies.csv</x:v>
      </x:c>
      <x:c r="D370" s="8" t="str">
        <x:v>policy:TEST-HH-2026-1402</x:v>
      </x:c>
      <x:c r="E370" s="8" t="str"/>
      <x:c r="F370" s="10" t="str">
        <x:v>Which customer holds the policy shown in the context?</x:v>
      </x:c>
      <x:c r="G370" s="10" t="str">
        <x:v>Customer: Hannah Vogel (hannah.vogel@example.test). Policy number: TEST-HH-2026-1402. Product type: Household Insurance. Coverage type: Standard Coverage. Status: Active. Start date: 2026-03-01. End date: 2027-02-28. Deductible: 200 EUR. Annual premium: 195 EUR.</x:v>
      </x:c>
      <x:c r="H370" s="10" t="str">
        <x:v>The policy belongs to Lara Neumann.</x:v>
      </x:c>
      <x:c r="I370" s="8" t="str">
        <x:v>household</x:v>
      </x:c>
      <x:c r="J370" s="8" t="str">
        <x:v>CALIBRATION</x:v>
      </x:c>
      <x:c r="K370" s="10" t="str"/>
      <x:c r="L370" s="12" t="str"/>
      <x:c r="M370" s="12" t="str"/>
      <x:c r="N370" s="12" t="str"/>
      <x:c r="O370" s="12" t="str"/>
      <x:c r="P370" s="12" t="str"/>
    </x:row>
    <x:row r="371">
      <x:c r="A371" s="8" t="str">
        <x:v>ext-crm-fail-010</x:v>
      </x:c>
      <x:c r="B371" s="8" t="str">
        <x:v>synthetic_crm</x:v>
      </x:c>
      <x:c r="C371" s="8" t="str">
        <x:v>data/synthetic/crm/policies.csv</x:v>
      </x:c>
      <x:c r="D371" s="8" t="str">
        <x:v>policy:TEST-RS-2026-1501</x:v>
      </x:c>
      <x:c r="E371" s="8" t="str"/>
      <x:c r="F371" s="10" t="str">
        <x:v>Which customer holds the policy shown in the context?</x:v>
      </x:c>
      <x:c r="G371" s="10" t="str">
        <x:v>Customer: Jonas Richter (jonas.richter@example.test). Policy number: TEST-RS-2026-1501. Product type: Legal Protection. Coverage type: Standard Coverage. Status: Cancelled. Start date: 2026-01-01. End date: 2026-06-30. Deductible: 150 EUR. Annual premium: 260 EUR.</x:v>
      </x:c>
      <x:c r="H371" s="10" t="str">
        <x:v>The policy belongs to Lara Neumann.</x:v>
      </x:c>
      <x:c r="I371" s="8" t="str">
        <x:v>legal_protection</x:v>
      </x:c>
      <x:c r="J371" s="8" t="str">
        <x:v>CALIBRATION</x:v>
      </x:c>
      <x:c r="K371" s="10" t="str"/>
      <x:c r="L371" s="12" t="str"/>
      <x:c r="M371" s="12" t="str"/>
      <x:c r="N371" s="12" t="str"/>
      <x:c r="O371" s="12" t="str"/>
      <x:c r="P371" s="12" t="str"/>
    </x:row>
    <x:row r="372">
      <x:c r="A372" s="8" t="str">
        <x:v>ext-crm-fail-011</x:v>
      </x:c>
      <x:c r="B372" s="8" t="str">
        <x:v>synthetic_crm</x:v>
      </x:c>
      <x:c r="C372" s="8" t="str">
        <x:v>data/synthetic/crm/policies.csv</x:v>
      </x:c>
      <x:c r="D372" s="8" t="str">
        <x:v>policy:TEST-PHV-2026-1601</x:v>
      </x:c>
      <x:c r="E372" s="8" t="str"/>
      <x:c r="F372" s="10" t="str">
        <x:v>What is the policy number?</x:v>
      </x:c>
      <x:c r="G372" s="10" t="str">
        <x:v>Customer: Amira Hoffmann (amira.hoffmann@example.test). Policy number: TEST-PHV-2026-1601. Product type: Personal Liability. Coverage type: Liability. Status: Active. Start date: 2026-04-01. End date: 2027-03-31. Deductible: 0 EUR. Annual premium: 102 EUR.</x:v>
      </x:c>
      <x:c r="H372" s="10" t="str">
        <x:v>The policy number is TEST-KFZ-2026-1001.</x:v>
      </x:c>
      <x:c r="I372" s="8" t="str">
        <x:v>liability</x:v>
      </x:c>
      <x:c r="J372" s="8" t="str">
        <x:v>CALIBRATION</x:v>
      </x:c>
      <x:c r="K372" s="10" t="str"/>
      <x:c r="L372" s="12" t="str"/>
      <x:c r="M372" s="12" t="str"/>
      <x:c r="N372" s="12" t="str"/>
      <x:c r="O372" s="12" t="str"/>
      <x:c r="P372" s="12" t="str"/>
    </x:row>
    <x:row r="373">
      <x:c r="A373" s="8" t="str">
        <x:v>ext-crm-fail-012</x:v>
      </x:c>
      <x:c r="B373" s="8" t="str">
        <x:v>synthetic_crm</x:v>
      </x:c>
      <x:c r="C373" s="8" t="str">
        <x:v>data/synthetic/crm/policies.csv</x:v>
      </x:c>
      <x:c r="D373" s="8" t="str">
        <x:v>policy:TEST-KFZ-2026-1701</x:v>
      </x:c>
      <x:c r="E373" s="8" t="str"/>
      <x:c r="F373" s="10" t="str">
        <x:v>What is the policy number?</x:v>
      </x:c>
      <x:c r="G373" s="10" t="str">
        <x:v>Customer: Noah Weber (noah.weber@example.test). Policy number: TEST-KFZ-2026-1701. Product type: Motor Insurance. Coverage type: Partial Coverage. Status: Active. Start date: 2026-05-01. End date: 2027-04-30. Deductible: 300 EUR. Annual premium: 735 EUR.</x:v>
      </x:c>
      <x:c r="H373" s="10" t="str">
        <x:v>The policy number is TEST-KFZ-2026-1001.</x:v>
      </x:c>
      <x:c r="I373" s="8" t="str">
        <x:v>motor</x:v>
      </x:c>
      <x:c r="J373" s="8" t="str">
        <x:v>CALIBRATION</x:v>
      </x:c>
      <x:c r="K373" s="10" t="str"/>
      <x:c r="L373" s="12" t="str"/>
      <x:c r="M373" s="12" t="str"/>
      <x:c r="N373" s="12" t="str"/>
      <x:c r="O373" s="12" t="str"/>
      <x:c r="P373" s="12" t="str"/>
    </x:row>
    <x:row r="374">
      <x:c r="A374" s="8" t="str">
        <x:v>ext-crm-fail-013</x:v>
      </x:c>
      <x:c r="B374" s="8" t="str">
        <x:v>synthetic_crm</x:v>
      </x:c>
      <x:c r="C374" s="8" t="str">
        <x:v>data/synthetic/crm/policies.csv</x:v>
      </x:c>
      <x:c r="D374" s="8" t="str">
        <x:v>policy:TEST-RS-2026-1702</x:v>
      </x:c>
      <x:c r="E374" s="8" t="str"/>
      <x:c r="F374" s="10" t="str">
        <x:v>What is the policy number?</x:v>
      </x:c>
      <x:c r="G374" s="10" t="str">
        <x:v>Customer: Noah Weber (noah.weber@example.test). Policy number: TEST-RS-2026-1702. Product type: Legal Protection. Coverage type: Standard Coverage. Status: Active. Start date: 2026-05-01. End date: 2027-04-30. Deductible: 200 EUR. Annual premium: 310 EUR.</x:v>
      </x:c>
      <x:c r="H374" s="10" t="str">
        <x:v>The policy number is TEST-KFZ-2026-1001.</x:v>
      </x:c>
      <x:c r="I374" s="8" t="str">
        <x:v>legal_protection</x:v>
      </x:c>
      <x:c r="J374" s="8" t="str">
        <x:v>CALIBRATION</x:v>
      </x:c>
      <x:c r="K374" s="10" t="str"/>
      <x:c r="L374" s="12" t="str"/>
      <x:c r="M374" s="12" t="str"/>
      <x:c r="N374" s="12" t="str"/>
      <x:c r="O374" s="12" t="str"/>
      <x:c r="P374" s="12" t="str"/>
    </x:row>
    <x:row r="375">
      <x:c r="A375" s="8" t="str">
        <x:v>ext-crm-fail-014</x:v>
      </x:c>
      <x:c r="B375" s="8" t="str">
        <x:v>synthetic_crm</x:v>
      </x:c>
      <x:c r="C375" s="8" t="str">
        <x:v>data/synthetic/crm/policies.csv</x:v>
      </x:c>
      <x:c r="D375" s="8" t="str">
        <x:v>policy:TEST-HH-2026-1801</x:v>
      </x:c>
      <x:c r="E375" s="8" t="str"/>
      <x:c r="F375" s="10" t="str">
        <x:v>What is the policy number?</x:v>
      </x:c>
      <x:c r="G375" s="10" t="str">
        <x:v>Customer: Mila Hartmann (mila.hartmann@example.test). Policy number: TEST-HH-2026-1801. Product type: Household Insurance. Coverage type: Standard Coverage. Status: Pending. Start date: 2026-09-01. End date: 2027-08-31. Deductible: 250 EUR. Annual premium: 225 EUR.</x:v>
      </x:c>
      <x:c r="H375" s="10" t="str">
        <x:v>The policy number is TEST-KFZ-2026-1001.</x:v>
      </x:c>
      <x:c r="I375" s="8" t="str">
        <x:v>household</x:v>
      </x:c>
      <x:c r="J375" s="8" t="str">
        <x:v>CALIBRATION</x:v>
      </x:c>
      <x:c r="K375" s="10" t="str"/>
      <x:c r="L375" s="12" t="str"/>
      <x:c r="M375" s="12" t="str"/>
      <x:c r="N375" s="12" t="str"/>
      <x:c r="O375" s="12" t="str"/>
      <x:c r="P375" s="12" t="str"/>
    </x:row>
    <x:row r="376">
      <x:c r="A376" s="8" t="str">
        <x:v>ext-crm-fail-015</x:v>
      </x:c>
      <x:c r="B376" s="8" t="str">
        <x:v>synthetic_crm</x:v>
      </x:c>
      <x:c r="C376" s="8" t="str">
        <x:v>data/synthetic/crm/policies.csv</x:v>
      </x:c>
      <x:c r="D376" s="8" t="str">
        <x:v>policy:TEST-KFZ-2026-1901</x:v>
      </x:c>
      <x:c r="E376" s="8" t="str"/>
      <x:c r="F376" s="10" t="str">
        <x:v>What is the policy number?</x:v>
      </x:c>
      <x:c r="G376" s="10" t="str">
        <x:v>Customer: Leon Becker (leon.becker@example.test). Policy number: TEST-KFZ-2026-1901. Product type: Motor Insurance. Coverage type: Comprehensive Coverage. Status: Active. Start date: 2026-06-01. End date: 2027-05-31. Deductible: 500 EUR. Annual premium: 1290 EUR.</x:v>
      </x:c>
      <x:c r="H376" s="10" t="str">
        <x:v>The policy number is TEST-KFZ-2026-1001.</x:v>
      </x:c>
      <x:c r="I376" s="8" t="str">
        <x:v>motor</x:v>
      </x:c>
      <x:c r="J376" s="8" t="str">
        <x:v>CALIBRATION</x:v>
      </x:c>
      <x:c r="K376" s="10" t="str"/>
      <x:c r="L376" s="12" t="str"/>
      <x:c r="M376" s="12" t="str"/>
      <x:c r="N376" s="12" t="str"/>
      <x:c r="O376" s="12" t="str"/>
      <x:c r="P376" s="12" t="str"/>
    </x:row>
    <x:row r="377">
      <x:c r="A377" s="8" t="str">
        <x:v>ext-crm-fail-016</x:v>
      </x:c>
      <x:c r="B377" s="8" t="str">
        <x:v>synthetic_crm</x:v>
      </x:c>
      <x:c r="C377" s="8" t="str">
        <x:v>data/synthetic/crm/policies.csv</x:v>
      </x:c>
      <x:c r="D377" s="8" t="str">
        <x:v>policy:TEST-PHV-2026-1902</x:v>
      </x:c>
      <x:c r="E377" s="8" t="str"/>
      <x:c r="F377" s="10" t="str">
        <x:v>What is the policy number?</x:v>
      </x:c>
      <x:c r="G377" s="10" t="str">
        <x:v>Customer: Leon Becker (leon.becker@example.test). Policy number: TEST-PHV-2026-1902. Product type: Personal Liability. Coverage type: Liability. Status: Active. Start date: 2026-06-01. End date: 2027-05-31. Deductible: 0 EUR. Annual premium: 108 EUR.</x:v>
      </x:c>
      <x:c r="H377" s="10" t="str">
        <x:v>The policy number is TEST-KFZ-2026-1001.</x:v>
      </x:c>
      <x:c r="I377" s="8" t="str">
        <x:v>liability</x:v>
      </x:c>
      <x:c r="J377" s="8" t="str">
        <x:v>CALIBRATION</x:v>
      </x:c>
      <x:c r="K377" s="10" t="str"/>
      <x:c r="L377" s="12" t="str"/>
      <x:c r="M377" s="12" t="str"/>
      <x:c r="N377" s="12" t="str"/>
      <x:c r="O377" s="12" t="str"/>
      <x:c r="P377" s="12" t="str"/>
    </x:row>
    <x:row r="378">
      <x:c r="A378" s="8" t="str">
        <x:v>ext-crm-fail-017</x:v>
      </x:c>
      <x:c r="B378" s="8" t="str">
        <x:v>synthetic_crm</x:v>
      </x:c>
      <x:c r="C378" s="8" t="str">
        <x:v>data/synthetic/crm/policies.csv</x:v>
      </x:c>
      <x:c r="D378" s="8" t="str">
        <x:v>policy:TEST-KFZ-2026-1001</x:v>
      </x:c>
      <x:c r="E378" s="8" t="str"/>
      <x:c r="F378" s="10" t="str">
        <x:v>What is the policy number?</x:v>
      </x:c>
      <x:c r="G378" s="10" t="str">
        <x:v>Customer: Lara Neumann (lara.neumann@example.test). Policy number: TEST-KFZ-2026-1001. Product type: Motor Insurance. Coverage type: Partial Coverage. Status: Active. Start date: 2026-01-01. End date: 2026-12-31. Deductible: 150 EUR. Annual premium: 684 EUR.</x:v>
      </x:c>
      <x:c r="H378" s="10" t="str">
        <x:v>The policy number is TEST-PHV-2026-1002.</x:v>
      </x:c>
      <x:c r="I378" s="8" t="str">
        <x:v>motor</x:v>
      </x:c>
      <x:c r="J378" s="8" t="str">
        <x:v>CALIBRATION</x:v>
      </x:c>
      <x:c r="K378" s="10" t="str"/>
      <x:c r="L378" s="12" t="str"/>
      <x:c r="M378" s="12" t="str"/>
      <x:c r="N378" s="12" t="str"/>
      <x:c r="O378" s="12" t="str"/>
      <x:c r="P378" s="12" t="str"/>
    </x:row>
    <x:row r="379">
      <x:c r="A379" s="8" t="str">
        <x:v>ext-crm-fail-018</x:v>
      </x:c>
      <x:c r="B379" s="8" t="str">
        <x:v>synthetic_crm</x:v>
      </x:c>
      <x:c r="C379" s="8" t="str">
        <x:v>data/synthetic/crm/policies.csv</x:v>
      </x:c>
      <x:c r="D379" s="8" t="str">
        <x:v>policy:TEST-PHV-2026-1002</x:v>
      </x:c>
      <x:c r="E379" s="8" t="str"/>
      <x:c r="F379" s="10" t="str">
        <x:v>What is the policy number?</x:v>
      </x:c>
      <x:c r="G379" s="10" t="str">
        <x:v>Customer: Lara Neumann (lara.neumann@example.test). Policy number: TEST-PHV-2026-1002. Product type: Personal Liability. Coverage type: Liability. Status: Active. Start date: 2026-01-01. End date: 2026-12-31. Deductible: 0 EUR. Annual premium: 96 EUR.</x:v>
      </x:c>
      <x:c r="H379" s="10" t="str">
        <x:v>The policy number is TEST-KFZ-2026-1001.</x:v>
      </x:c>
      <x:c r="I379" s="8" t="str">
        <x:v>liability</x:v>
      </x:c>
      <x:c r="J379" s="8" t="str">
        <x:v>CALIBRATION</x:v>
      </x:c>
      <x:c r="K379" s="10" t="str"/>
      <x:c r="L379" s="12" t="str"/>
      <x:c r="M379" s="12" t="str"/>
      <x:c r="N379" s="12" t="str"/>
      <x:c r="O379" s="12" t="str"/>
      <x:c r="P379" s="12" t="str"/>
    </x:row>
    <x:row r="380">
      <x:c r="A380" s="8" t="str">
        <x:v>ext-crm-fail-019</x:v>
      </x:c>
      <x:c r="B380" s="8" t="str">
        <x:v>synthetic_crm</x:v>
      </x:c>
      <x:c r="C380" s="8" t="str">
        <x:v>data/synthetic/crm/policies.csv</x:v>
      </x:c>
      <x:c r="D380" s="8" t="str">
        <x:v>policy:TEST-KFZ-2026-1003</x:v>
      </x:c>
      <x:c r="E380" s="8" t="str"/>
      <x:c r="F380" s="10" t="str">
        <x:v>What is the policy number?</x:v>
      </x:c>
      <x:c r="G380" s="10" t="str">
        <x:v>Customer: Lara Neumann (lara.neumann@example.test). Policy number: TEST-KFZ-2026-1003. Product type: Motor Insurance. Coverage type: Partial Coverage. Status: Active. Start date: 2026-07-01. End date: 2027-06-30. Deductible: 300 EUR. Annual premium: 720 EUR.</x:v>
      </x:c>
      <x:c r="H380" s="10" t="str">
        <x:v>The policy number is TEST-KFZ-2026-1001.</x:v>
      </x:c>
      <x:c r="I380" s="8" t="str">
        <x:v>motor</x:v>
      </x:c>
      <x:c r="J380" s="8" t="str">
        <x:v>CALIBRATION</x:v>
      </x:c>
      <x:c r="K380" s="10" t="str"/>
      <x:c r="L380" s="12" t="str"/>
      <x:c r="M380" s="12" t="str"/>
      <x:c r="N380" s="12" t="str"/>
      <x:c r="O380" s="12" t="str"/>
      <x:c r="P380" s="12" t="str"/>
    </x:row>
    <x:row r="381">
      <x:c r="A381" s="8" t="str">
        <x:v>ext-crm-fail-020</x:v>
      </x:c>
      <x:c r="B381" s="8" t="str">
        <x:v>synthetic_crm</x:v>
      </x:c>
      <x:c r="C381" s="8" t="str">
        <x:v>data/synthetic/crm/policies.csv</x:v>
      </x:c>
      <x:c r="D381" s="8" t="str">
        <x:v>policy:TEST-KFZ-2026-1101</x:v>
      </x:c>
      <x:c r="E381" s="8" t="str"/>
      <x:c r="F381" s="10" t="str">
        <x:v>What is the policy number?</x:v>
      </x:c>
      <x:c r="G381" s="10" t="str">
        <x:v>Customer: Oliver Brandt (oliver.brandt@example.test). Policy number: TEST-KFZ-2026-1101. Product type: Motor Insurance. Coverage type: Comprehensive Coverage. Status: Active. Start date: 2026-02-01. End date: 2027-01-31. Deductible: 300 EUR. Annual premium: 1120 EUR.</x:v>
      </x:c>
      <x:c r="H381" s="10" t="str">
        <x:v>The policy number is TEST-KFZ-2026-1001.</x:v>
      </x:c>
      <x:c r="I381" s="8" t="str">
        <x:v>motor</x:v>
      </x:c>
      <x:c r="J381" s="8" t="str">
        <x:v>CALIBRATION</x:v>
      </x:c>
      <x:c r="K381" s="10" t="str"/>
      <x:c r="L381" s="12" t="str"/>
      <x:c r="M381" s="12" t="str"/>
      <x:c r="N381" s="12" t="str"/>
      <x:c r="O381" s="12" t="str"/>
      <x:c r="P381" s="12" t="str"/>
    </x:row>
    <x:row r="382">
      <x:c r="A382" s="8" t="str">
        <x:v>ext-crm-fail-021</x:v>
      </x:c>
      <x:c r="B382" s="8" t="str">
        <x:v>synthetic_crm</x:v>
      </x:c>
      <x:c r="C382" s="8" t="str">
        <x:v>data/synthetic/crm/policies.csv</x:v>
      </x:c>
      <x:c r="D382" s="8" t="str">
        <x:v>policy:TEST-HH-2026-1201</x:v>
      </x:c>
      <x:c r="E382" s="8" t="str"/>
      <x:c r="F382" s="10" t="str">
        <x:v>What is the current policy status?</x:v>
      </x:c>
      <x:c r="G382" s="10" t="str">
        <x:v>Customer: Sophie Keller (sophie.keller@example.test). Policy number: TEST-HH-2026-1201. Product type: Household Insurance. Coverage type: Standard Coverage. Status: Active. Start date: 2026-01-15. End date: 2027-01-14. Deductible: 250 EUR. Annual premium: 210 EUR.</x:v>
      </x:c>
      <x:c r="H382" s="10" t="str">
        <x:v>The policy status is Pending.</x:v>
      </x:c>
      <x:c r="I382" s="8" t="str">
        <x:v>household</x:v>
      </x:c>
      <x:c r="J382" s="8" t="str">
        <x:v>CALIBRATION</x:v>
      </x:c>
      <x:c r="K382" s="10" t="str"/>
      <x:c r="L382" s="12" t="str"/>
      <x:c r="M382" s="12" t="str"/>
      <x:c r="N382" s="12" t="str"/>
      <x:c r="O382" s="12" t="str"/>
      <x:c r="P382" s="12" t="str"/>
    </x:row>
    <x:row r="383">
      <x:c r="A383" s="8" t="str">
        <x:v>ext-crm-fail-022</x:v>
      </x:c>
      <x:c r="B383" s="8" t="str">
        <x:v>synthetic_crm</x:v>
      </x:c>
      <x:c r="C383" s="8" t="str">
        <x:v>data/synthetic/crm/policies.csv</x:v>
      </x:c>
      <x:c r="D383" s="8" t="str">
        <x:v>policy:TEST-RS-2026-1202</x:v>
      </x:c>
      <x:c r="E383" s="8" t="str"/>
      <x:c r="F383" s="10" t="str">
        <x:v>What is the current policy status?</x:v>
      </x:c>
      <x:c r="G383" s="10" t="str">
        <x:v>Customer: Sophie Keller (sophie.keller@example.test). Policy number: TEST-RS-2026-1202. Product type: Legal Protection. Coverage type: Standard Coverage. Status: Pending. Start date: 2026-08-01. End date: 2027-07-31. Deductible: 150 EUR. Annual premium: 280 EUR.</x:v>
      </x:c>
      <x:c r="H383" s="10" t="str">
        <x:v>The policy status is Active.</x:v>
      </x:c>
      <x:c r="I383" s="8" t="str">
        <x:v>legal_protection</x:v>
      </x:c>
      <x:c r="J383" s="8" t="str">
        <x:v>CALIBRATION</x:v>
      </x:c>
      <x:c r="K383" s="10" t="str"/>
      <x:c r="L383" s="12" t="str"/>
      <x:c r="M383" s="12" t="str"/>
      <x:c r="N383" s="12" t="str"/>
      <x:c r="O383" s="12" t="str"/>
      <x:c r="P383" s="12" t="str"/>
    </x:row>
    <x:row r="384">
      <x:c r="A384" s="8" t="str">
        <x:v>ext-crm-fail-023</x:v>
      </x:c>
      <x:c r="B384" s="8" t="str">
        <x:v>synthetic_crm</x:v>
      </x:c>
      <x:c r="C384" s="8" t="str">
        <x:v>data/synthetic/crm/policies.csv</x:v>
      </x:c>
      <x:c r="D384" s="8" t="str">
        <x:v>policy:TEST-PHV-2025-1301</x:v>
      </x:c>
      <x:c r="E384" s="8" t="str"/>
      <x:c r="F384" s="10" t="str">
        <x:v>What is the current policy status?</x:v>
      </x:c>
      <x:c r="G384" s="10" t="str">
        <x:v>Customer: Emil Fischer (emil.fischer@example.test). Policy number: TEST-PHV-2025-1301. Product type: Personal Liability. Coverage type: Liability. Status: Expired. Start date: 2025-01-01. End date: 2025-12-31. Deductible: 0 EUR. Annual premium: 84 EUR.</x:v>
      </x:c>
      <x:c r="H384" s="10" t="str">
        <x:v>The policy status is Active.</x:v>
      </x:c>
      <x:c r="I384" s="8" t="str">
        <x:v>liability</x:v>
      </x:c>
      <x:c r="J384" s="8" t="str">
        <x:v>CALIBRATION</x:v>
      </x:c>
      <x:c r="K384" s="10" t="str"/>
      <x:c r="L384" s="12" t="str"/>
      <x:c r="M384" s="12" t="str"/>
      <x:c r="N384" s="12" t="str"/>
      <x:c r="O384" s="12" t="str"/>
      <x:c r="P384" s="12" t="str"/>
    </x:row>
    <x:row r="385">
      <x:c r="A385" s="8" t="str">
        <x:v>ext-crm-fail-024</x:v>
      </x:c>
      <x:c r="B385" s="8" t="str">
        <x:v>synthetic_crm</x:v>
      </x:c>
      <x:c r="C385" s="8" t="str">
        <x:v>data/synthetic/crm/policies.csv</x:v>
      </x:c>
      <x:c r="D385" s="8" t="str">
        <x:v>policy:TEST-KFZ-2026-1401</x:v>
      </x:c>
      <x:c r="E385" s="8" t="str"/>
      <x:c r="F385" s="10" t="str">
        <x:v>What is the current policy status?</x:v>
      </x:c>
      <x:c r="G385" s="10" t="str">
        <x:v>Customer: Hannah Vogel (hannah.vogel@example.test). Policy number: TEST-KFZ-2026-1401. Product type: Motor Insurance. Coverage type: Liability. Status: Active. Start date: 2026-03-01. End date: 2027-02-28. Deductible: 500 EUR. Annual premium: 520 EUR.</x:v>
      </x:c>
      <x:c r="H385" s="10" t="str">
        <x:v>The policy status is Pending.</x:v>
      </x:c>
      <x:c r="I385" s="8" t="str">
        <x:v>motor</x:v>
      </x:c>
      <x:c r="J385" s="8" t="str">
        <x:v>CALIBRATION</x:v>
      </x:c>
      <x:c r="K385" s="10" t="str"/>
      <x:c r="L385" s="12" t="str"/>
      <x:c r="M385" s="12" t="str"/>
      <x:c r="N385" s="12" t="str"/>
      <x:c r="O385" s="12" t="str"/>
      <x:c r="P385" s="12" t="str"/>
    </x:row>
    <x:row r="386">
      <x:c r="A386" s="8" t="str">
        <x:v>ext-crm-fail-025</x:v>
      </x:c>
      <x:c r="B386" s="8" t="str">
        <x:v>synthetic_crm</x:v>
      </x:c>
      <x:c r="C386" s="8" t="str">
        <x:v>data/synthetic/crm/policies.csv</x:v>
      </x:c>
      <x:c r="D386" s="8" t="str">
        <x:v>policy:TEST-HH-2026-1402</x:v>
      </x:c>
      <x:c r="E386" s="8" t="str"/>
      <x:c r="F386" s="10" t="str">
        <x:v>What is the current policy status?</x:v>
      </x:c>
      <x:c r="G386" s="10" t="str">
        <x:v>Customer: Hannah Vogel (hannah.vogel@example.test). Policy number: TEST-HH-2026-1402. Product type: Household Insurance. Coverage type: Standard Coverage. Status: Active. Start date: 2026-03-01. End date: 2027-02-28. Deductible: 200 EUR. Annual premium: 195 EUR.</x:v>
      </x:c>
      <x:c r="H386" s="10" t="str">
        <x:v>The policy status is Pending.</x:v>
      </x:c>
      <x:c r="I386" s="8" t="str">
        <x:v>household</x:v>
      </x:c>
      <x:c r="J386" s="8" t="str">
        <x:v>CALIBRATION</x:v>
      </x:c>
      <x:c r="K386" s="10" t="str"/>
      <x:c r="L386" s="12" t="str"/>
      <x:c r="M386" s="12" t="str"/>
      <x:c r="N386" s="12" t="str"/>
      <x:c r="O386" s="12" t="str"/>
      <x:c r="P386" s="12" t="str"/>
    </x:row>
    <x:row r="387">
      <x:c r="A387" s="8" t="str">
        <x:v>ext-crm-fail-026</x:v>
      </x:c>
      <x:c r="B387" s="8" t="str">
        <x:v>synthetic_crm</x:v>
      </x:c>
      <x:c r="C387" s="8" t="str">
        <x:v>data/synthetic/crm/policies.csv</x:v>
      </x:c>
      <x:c r="D387" s="8" t="str">
        <x:v>policy:TEST-RS-2026-1501</x:v>
      </x:c>
      <x:c r="E387" s="8" t="str"/>
      <x:c r="F387" s="10" t="str">
        <x:v>What is the current policy status?</x:v>
      </x:c>
      <x:c r="G387" s="10" t="str">
        <x:v>Customer: Jonas Richter (jonas.richter@example.test). Policy number: TEST-RS-2026-1501. Product type: Legal Protection. Coverage type: Standard Coverage. Status: Cancelled. Start date: 2026-01-01. End date: 2026-06-30. Deductible: 150 EUR. Annual premium: 260 EUR.</x:v>
      </x:c>
      <x:c r="H387" s="10" t="str">
        <x:v>The policy status is Active.</x:v>
      </x:c>
      <x:c r="I387" s="8" t="str">
        <x:v>legal_protection</x:v>
      </x:c>
      <x:c r="J387" s="8" t="str">
        <x:v>CALIBRATION</x:v>
      </x:c>
      <x:c r="K387" s="10" t="str"/>
      <x:c r="L387" s="12" t="str"/>
      <x:c r="M387" s="12" t="str"/>
      <x:c r="N387" s="12" t="str"/>
      <x:c r="O387" s="12" t="str"/>
      <x:c r="P387" s="12" t="str"/>
    </x:row>
    <x:row r="388">
      <x:c r="A388" s="8" t="str">
        <x:v>ext-crm-fail-027</x:v>
      </x:c>
      <x:c r="B388" s="8" t="str">
        <x:v>synthetic_crm</x:v>
      </x:c>
      <x:c r="C388" s="8" t="str">
        <x:v>data/synthetic/crm/policies.csv</x:v>
      </x:c>
      <x:c r="D388" s="8" t="str">
        <x:v>policy:TEST-PHV-2026-1601</x:v>
      </x:c>
      <x:c r="E388" s="8" t="str"/>
      <x:c r="F388" s="10" t="str">
        <x:v>What is the current policy status?</x:v>
      </x:c>
      <x:c r="G388" s="10" t="str">
        <x:v>Customer: Amira Hoffmann (amira.hoffmann@example.test). Policy number: TEST-PHV-2026-1601. Product type: Personal Liability. Coverage type: Liability. Status: Active. Start date: 2026-04-01. End date: 2027-03-31. Deductible: 0 EUR. Annual premium: 102 EUR.</x:v>
      </x:c>
      <x:c r="H388" s="10" t="str">
        <x:v>The policy status is Pending.</x:v>
      </x:c>
      <x:c r="I388" s="8" t="str">
        <x:v>liability</x:v>
      </x:c>
      <x:c r="J388" s="8" t="str">
        <x:v>CALIBRATION</x:v>
      </x:c>
      <x:c r="K388" s="10" t="str"/>
      <x:c r="L388" s="12" t="str"/>
      <x:c r="M388" s="12" t="str"/>
      <x:c r="N388" s="12" t="str"/>
      <x:c r="O388" s="12" t="str"/>
      <x:c r="P388" s="12" t="str"/>
    </x:row>
    <x:row r="389">
      <x:c r="A389" s="8" t="str">
        <x:v>ext-crm-fail-028</x:v>
      </x:c>
      <x:c r="B389" s="8" t="str">
        <x:v>synthetic_crm</x:v>
      </x:c>
      <x:c r="C389" s="8" t="str">
        <x:v>data/synthetic/crm/policies.csv</x:v>
      </x:c>
      <x:c r="D389" s="8" t="str">
        <x:v>policy:TEST-KFZ-2026-1701</x:v>
      </x:c>
      <x:c r="E389" s="8" t="str"/>
      <x:c r="F389" s="10" t="str">
        <x:v>What is the current policy status?</x:v>
      </x:c>
      <x:c r="G389" s="10" t="str">
        <x:v>Customer: Noah Weber (noah.weber@example.test). Policy number: TEST-KFZ-2026-1701. Product type: Motor Insurance. Coverage type: Partial Coverage. Status: Active. Start date: 2026-05-01. End date: 2027-04-30. Deductible: 300 EUR. Annual premium: 735 EUR.</x:v>
      </x:c>
      <x:c r="H389" s="10" t="str">
        <x:v>The policy status is Pending.</x:v>
      </x:c>
      <x:c r="I389" s="8" t="str">
        <x:v>motor</x:v>
      </x:c>
      <x:c r="J389" s="8" t="str">
        <x:v>CALIBRATION</x:v>
      </x:c>
      <x:c r="K389" s="10" t="str"/>
      <x:c r="L389" s="12" t="str"/>
      <x:c r="M389" s="12" t="str"/>
      <x:c r="N389" s="12" t="str"/>
      <x:c r="O389" s="12" t="str"/>
      <x:c r="P389" s="12" t="str"/>
    </x:row>
    <x:row r="390">
      <x:c r="A390" s="8" t="str">
        <x:v>ext-crm-fail-029</x:v>
      </x:c>
      <x:c r="B390" s="8" t="str">
        <x:v>synthetic_crm</x:v>
      </x:c>
      <x:c r="C390" s="8" t="str">
        <x:v>data/synthetic/crm/policies.csv</x:v>
      </x:c>
      <x:c r="D390" s="8" t="str">
        <x:v>policy:TEST-RS-2026-1702</x:v>
      </x:c>
      <x:c r="E390" s="8" t="str"/>
      <x:c r="F390" s="10" t="str">
        <x:v>What is the current policy status?</x:v>
      </x:c>
      <x:c r="G390" s="10" t="str">
        <x:v>Customer: Noah Weber (noah.weber@example.test). Policy number: TEST-RS-2026-1702. Product type: Legal Protection. Coverage type: Standard Coverage. Status: Active. Start date: 2026-05-01. End date: 2027-04-30. Deductible: 200 EUR. Annual premium: 310 EUR.</x:v>
      </x:c>
      <x:c r="H390" s="10" t="str">
        <x:v>The policy status is Pending.</x:v>
      </x:c>
      <x:c r="I390" s="8" t="str">
        <x:v>legal_protection</x:v>
      </x:c>
      <x:c r="J390" s="8" t="str">
        <x:v>CALIBRATION</x:v>
      </x:c>
      <x:c r="K390" s="10" t="str"/>
      <x:c r="L390" s="12" t="str"/>
      <x:c r="M390" s="12" t="str"/>
      <x:c r="N390" s="12" t="str"/>
      <x:c r="O390" s="12" t="str"/>
      <x:c r="P390" s="12" t="str"/>
    </x:row>
    <x:row r="391">
      <x:c r="A391" s="8" t="str">
        <x:v>ext-crm-fail-030</x:v>
      </x:c>
      <x:c r="B391" s="8" t="str">
        <x:v>synthetic_crm</x:v>
      </x:c>
      <x:c r="C391" s="8" t="str">
        <x:v>data/synthetic/crm/policies.csv</x:v>
      </x:c>
      <x:c r="D391" s="8" t="str">
        <x:v>policy:TEST-HH-2026-1801</x:v>
      </x:c>
      <x:c r="E391" s="8" t="str"/>
      <x:c r="F391" s="10" t="str">
        <x:v>What is the current policy status?</x:v>
      </x:c>
      <x:c r="G391" s="10" t="str">
        <x:v>Customer: Mila Hartmann (mila.hartmann@example.test). Policy number: TEST-HH-2026-1801. Product type: Household Insurance. Coverage type: Standard Coverage. Status: Pending. Start date: 2026-09-01. End date: 2027-08-31. Deductible: 250 EUR. Annual premium: 225 EUR.</x:v>
      </x:c>
      <x:c r="H391" s="10" t="str">
        <x:v>The policy status is Active.</x:v>
      </x:c>
      <x:c r="I391" s="8" t="str">
        <x:v>household</x:v>
      </x:c>
      <x:c r="J391" s="8" t="str">
        <x:v>CALIBRATION</x:v>
      </x:c>
      <x:c r="K391" s="10" t="str"/>
      <x:c r="L391" s="12" t="str"/>
      <x:c r="M391" s="12" t="str"/>
      <x:c r="N391" s="12" t="str"/>
      <x:c r="O391" s="12" t="str"/>
      <x:c r="P391" s="12" t="str"/>
    </x:row>
    <x:row r="392">
      <x:c r="A392" s="8" t="str">
        <x:v>ext-crm-fail-031</x:v>
      </x:c>
      <x:c r="B392" s="8" t="str">
        <x:v>synthetic_crm</x:v>
      </x:c>
      <x:c r="C392" s="8" t="str">
        <x:v>data/synthetic/crm/policies.csv</x:v>
      </x:c>
      <x:c r="D392" s="8" t="str">
        <x:v>policy:TEST-KFZ-2026-1901</x:v>
      </x:c>
      <x:c r="E392" s="8" t="str"/>
      <x:c r="F392" s="10" t="str">
        <x:v>What deductible applies to this policy?</x:v>
      </x:c>
      <x:c r="G392" s="10" t="str">
        <x:v>Customer: Leon Becker (leon.becker@example.test). Policy number: TEST-KFZ-2026-1901. Product type: Motor Insurance. Coverage type: Comprehensive Coverage. Status: Active. Start date: 2026-06-01. End date: 2027-05-31. Deductible: 500 EUR. Annual premium: 1290 EUR.</x:v>
      </x:c>
      <x:c r="H392" s="10" t="str">
        <x:v>The deductible is 150 EUR.</x:v>
      </x:c>
      <x:c r="I392" s="8" t="str">
        <x:v>motor</x:v>
      </x:c>
      <x:c r="J392" s="8" t="str">
        <x:v>CALIBRATION</x:v>
      </x:c>
      <x:c r="K392" s="10" t="str"/>
      <x:c r="L392" s="12" t="str"/>
      <x:c r="M392" s="12" t="str"/>
      <x:c r="N392" s="12" t="str"/>
      <x:c r="O392" s="12" t="str"/>
      <x:c r="P392" s="12" t="str"/>
    </x:row>
    <x:row r="393">
      <x:c r="A393" s="8" t="str">
        <x:v>ext-crm-fail-032</x:v>
      </x:c>
      <x:c r="B393" s="8" t="str">
        <x:v>synthetic_crm</x:v>
      </x:c>
      <x:c r="C393" s="8" t="str">
        <x:v>data/synthetic/crm/policies.csv</x:v>
      </x:c>
      <x:c r="D393" s="8" t="str">
        <x:v>policy:TEST-PHV-2026-1902</x:v>
      </x:c>
      <x:c r="E393" s="8" t="str"/>
      <x:c r="F393" s="10" t="str">
        <x:v>What deductible applies to this policy?</x:v>
      </x:c>
      <x:c r="G393" s="10" t="str">
        <x:v>Customer: Leon Becker (leon.becker@example.test). Policy number: TEST-PHV-2026-1902. Product type: Personal Liability. Coverage type: Liability. Status: Active. Start date: 2026-06-01. End date: 2027-05-31. Deductible: 0 EUR. Annual premium: 108 EUR.</x:v>
      </x:c>
      <x:c r="H393" s="10" t="str">
        <x:v>The deductible is 150 EUR.</x:v>
      </x:c>
      <x:c r="I393" s="8" t="str">
        <x:v>liability</x:v>
      </x:c>
      <x:c r="J393" s="8" t="str">
        <x:v>CALIBRATION</x:v>
      </x:c>
      <x:c r="K393" s="10" t="str"/>
      <x:c r="L393" s="12" t="str"/>
      <x:c r="M393" s="12" t="str"/>
      <x:c r="N393" s="12" t="str"/>
      <x:c r="O393" s="12" t="str"/>
      <x:c r="P393" s="12" t="str"/>
    </x:row>
    <x:row r="394">
      <x:c r="A394" s="8" t="str">
        <x:v>ext-crm-fail-033</x:v>
      </x:c>
      <x:c r="B394" s="8" t="str">
        <x:v>synthetic_crm</x:v>
      </x:c>
      <x:c r="C394" s="8" t="str">
        <x:v>data/synthetic/crm/policies.csv</x:v>
      </x:c>
      <x:c r="D394" s="8" t="str">
        <x:v>policy:TEST-KFZ-2026-1001</x:v>
      </x:c>
      <x:c r="E394" s="8" t="str"/>
      <x:c r="F394" s="10" t="str">
        <x:v>What deductible applies to this policy?</x:v>
      </x:c>
      <x:c r="G394" s="10" t="str">
        <x:v>Customer: Lara Neumann (lara.neumann@example.test). Policy number: TEST-KFZ-2026-1001. Product type: Motor Insurance. Coverage type: Partial Coverage. Status: Active. Start date: 2026-01-01. End date: 2026-12-31. Deductible: 150 EUR. Annual premium: 684 EUR.</x:v>
      </x:c>
      <x:c r="H394" s="10" t="str">
        <x:v>The deductible is 0 EUR.</x:v>
      </x:c>
      <x:c r="I394" s="8" t="str">
        <x:v>motor</x:v>
      </x:c>
      <x:c r="J394" s="8" t="str">
        <x:v>CALIBRATION</x:v>
      </x:c>
      <x:c r="K394" s="10" t="str"/>
      <x:c r="L394" s="12" t="str"/>
      <x:c r="M394" s="12" t="str"/>
      <x:c r="N394" s="12" t="str"/>
      <x:c r="O394" s="12" t="str"/>
      <x:c r="P394" s="12" t="str"/>
    </x:row>
    <x:row r="395">
      <x:c r="A395" s="8" t="str">
        <x:v>ext-crm-fail-034</x:v>
      </x:c>
      <x:c r="B395" s="8" t="str">
        <x:v>synthetic_crm</x:v>
      </x:c>
      <x:c r="C395" s="8" t="str">
        <x:v>data/synthetic/crm/policies.csv</x:v>
      </x:c>
      <x:c r="D395" s="8" t="str">
        <x:v>policy:TEST-PHV-2026-1002</x:v>
      </x:c>
      <x:c r="E395" s="8" t="str"/>
      <x:c r="F395" s="10" t="str">
        <x:v>What deductible applies to this policy?</x:v>
      </x:c>
      <x:c r="G395" s="10" t="str">
        <x:v>Customer: Lara Neumann (lara.neumann@example.test). Policy number: TEST-PHV-2026-1002. Product type: Personal Liability. Coverage type: Liability. Status: Active. Start date: 2026-01-01. End date: 2026-12-31. Deductible: 0 EUR. Annual premium: 96 EUR.</x:v>
      </x:c>
      <x:c r="H395" s="10" t="str">
        <x:v>The deductible is 150 EUR.</x:v>
      </x:c>
      <x:c r="I395" s="8" t="str">
        <x:v>liability</x:v>
      </x:c>
      <x:c r="J395" s="8" t="str">
        <x:v>CALIBRATION</x:v>
      </x:c>
      <x:c r="K395" s="10" t="str"/>
      <x:c r="L395" s="12" t="str"/>
      <x:c r="M395" s="12" t="str"/>
      <x:c r="N395" s="12" t="str"/>
      <x:c r="O395" s="12" t="str"/>
      <x:c r="P395" s="12" t="str"/>
    </x:row>
    <x:row r="396">
      <x:c r="A396" s="8" t="str">
        <x:v>ext-crm-fail-035</x:v>
      </x:c>
      <x:c r="B396" s="8" t="str">
        <x:v>synthetic_crm</x:v>
      </x:c>
      <x:c r="C396" s="8" t="str">
        <x:v>data/synthetic/crm/policies.csv</x:v>
      </x:c>
      <x:c r="D396" s="8" t="str">
        <x:v>policy:TEST-KFZ-2026-1003</x:v>
      </x:c>
      <x:c r="E396" s="8" t="str"/>
      <x:c r="F396" s="10" t="str">
        <x:v>What deductible applies to this policy?</x:v>
      </x:c>
      <x:c r="G396" s="10" t="str">
        <x:v>Customer: Lara Neumann (lara.neumann@example.test). Policy number: TEST-KFZ-2026-1003. Product type: Motor Insurance. Coverage type: Partial Coverage. Status: Active. Start date: 2026-07-01. End date: 2027-06-30. Deductible: 300 EUR. Annual premium: 720 EUR.</x:v>
      </x:c>
      <x:c r="H396" s="10" t="str">
        <x:v>The deductible is 150 EUR.</x:v>
      </x:c>
      <x:c r="I396" s="8" t="str">
        <x:v>motor</x:v>
      </x:c>
      <x:c r="J396" s="8" t="str">
        <x:v>CALIBRATION</x:v>
      </x:c>
      <x:c r="K396" s="10" t="str"/>
      <x:c r="L396" s="12" t="str"/>
      <x:c r="M396" s="12" t="str"/>
      <x:c r="N396" s="12" t="str"/>
      <x:c r="O396" s="12" t="str"/>
      <x:c r="P396" s="12" t="str"/>
    </x:row>
    <x:row r="397">
      <x:c r="A397" s="8" t="str">
        <x:v>ext-crm-fail-036</x:v>
      </x:c>
      <x:c r="B397" s="8" t="str">
        <x:v>synthetic_crm</x:v>
      </x:c>
      <x:c r="C397" s="8" t="str">
        <x:v>data/synthetic/crm/policies.csv</x:v>
      </x:c>
      <x:c r="D397" s="8" t="str">
        <x:v>policy:TEST-KFZ-2026-1101</x:v>
      </x:c>
      <x:c r="E397" s="8" t="str"/>
      <x:c r="F397" s="10" t="str">
        <x:v>What deductible applies to this policy?</x:v>
      </x:c>
      <x:c r="G397" s="10" t="str">
        <x:v>Customer: Oliver Brandt (oliver.brandt@example.test). Policy number: TEST-KFZ-2026-1101. Product type: Motor Insurance. Coverage type: Comprehensive Coverage. Status: Active. Start date: 2026-02-01. End date: 2027-01-31. Deductible: 300 EUR. Annual premium: 1120 EUR.</x:v>
      </x:c>
      <x:c r="H397" s="10" t="str">
        <x:v>The deductible is 150 EUR.</x:v>
      </x:c>
      <x:c r="I397" s="8" t="str">
        <x:v>motor</x:v>
      </x:c>
      <x:c r="J397" s="8" t="str">
        <x:v>CALIBRATION</x:v>
      </x:c>
      <x:c r="K397" s="10" t="str"/>
      <x:c r="L397" s="12" t="str"/>
      <x:c r="M397" s="12" t="str"/>
      <x:c r="N397" s="12" t="str"/>
      <x:c r="O397" s="12" t="str"/>
      <x:c r="P397" s="12" t="str"/>
    </x:row>
    <x:row r="398">
      <x:c r="A398" s="8" t="str">
        <x:v>ext-crm-fail-037</x:v>
      </x:c>
      <x:c r="B398" s="8" t="str">
        <x:v>synthetic_crm</x:v>
      </x:c>
      <x:c r="C398" s="8" t="str">
        <x:v>data/synthetic/crm/policies.csv</x:v>
      </x:c>
      <x:c r="D398" s="8" t="str">
        <x:v>policy:TEST-HH-2026-1201</x:v>
      </x:c>
      <x:c r="E398" s="8" t="str"/>
      <x:c r="F398" s="10" t="str">
        <x:v>What deductible applies to this policy?</x:v>
      </x:c>
      <x:c r="G398" s="10" t="str">
        <x:v>Customer: Sophie Keller (sophie.keller@example.test). Policy number: TEST-HH-2026-1201. Product type: Household Insurance. Coverage type: Standard Coverage. Status: Active. Start date: 2026-01-15. End date: 2027-01-14. Deductible: 250 EUR. Annual premium: 210 EUR.</x:v>
      </x:c>
      <x:c r="H398" s="10" t="str">
        <x:v>The deductible is 150 EUR.</x:v>
      </x:c>
      <x:c r="I398" s="8" t="str">
        <x:v>household</x:v>
      </x:c>
      <x:c r="J398" s="8" t="str">
        <x:v>CALIBRATION</x:v>
      </x:c>
      <x:c r="K398" s="10" t="str"/>
      <x:c r="L398" s="12" t="str"/>
      <x:c r="M398" s="12" t="str"/>
      <x:c r="N398" s="12" t="str"/>
      <x:c r="O398" s="12" t="str"/>
      <x:c r="P398" s="12" t="str"/>
    </x:row>
    <x:row r="399">
      <x:c r="A399" s="8" t="str">
        <x:v>ext-crm-fail-038</x:v>
      </x:c>
      <x:c r="B399" s="8" t="str">
        <x:v>synthetic_crm</x:v>
      </x:c>
      <x:c r="C399" s="8" t="str">
        <x:v>data/synthetic/crm/policies.csv</x:v>
      </x:c>
      <x:c r="D399" s="8" t="str">
        <x:v>policy:TEST-RS-2026-1202</x:v>
      </x:c>
      <x:c r="E399" s="8" t="str"/>
      <x:c r="F399" s="10" t="str">
        <x:v>What deductible applies to this policy?</x:v>
      </x:c>
      <x:c r="G399" s="10" t="str">
        <x:v>Customer: Sophie Keller (sophie.keller@example.test). Policy number: TEST-RS-2026-1202. Product type: Legal Protection. Coverage type: Standard Coverage. Status: Pending. Start date: 2026-08-01. End date: 2027-07-31. Deductible: 150 EUR. Annual premium: 280 EUR.</x:v>
      </x:c>
      <x:c r="H399" s="10" t="str">
        <x:v>The deductible is 0 EUR.</x:v>
      </x:c>
      <x:c r="I399" s="8" t="str">
        <x:v>legal_protection</x:v>
      </x:c>
      <x:c r="J399" s="8" t="str">
        <x:v>CALIBRATION</x:v>
      </x:c>
      <x:c r="K399" s="10" t="str"/>
      <x:c r="L399" s="12" t="str"/>
      <x:c r="M399" s="12" t="str"/>
      <x:c r="N399" s="12" t="str"/>
      <x:c r="O399" s="12" t="str"/>
      <x:c r="P399" s="12" t="str"/>
    </x:row>
    <x:row r="400">
      <x:c r="A400" s="8" t="str">
        <x:v>ext-crm-fail-039</x:v>
      </x:c>
      <x:c r="B400" s="8" t="str">
        <x:v>synthetic_crm</x:v>
      </x:c>
      <x:c r="C400" s="8" t="str">
        <x:v>data/synthetic/crm/policies.csv</x:v>
      </x:c>
      <x:c r="D400" s="8" t="str">
        <x:v>policy:TEST-PHV-2025-1301</x:v>
      </x:c>
      <x:c r="E400" s="8" t="str"/>
      <x:c r="F400" s="10" t="str">
        <x:v>What deductible applies to this policy?</x:v>
      </x:c>
      <x:c r="G400" s="10" t="str">
        <x:v>Customer: Emil Fischer (emil.fischer@example.test). Policy number: TEST-PHV-2025-1301. Product type: Personal Liability. Coverage type: Liability. Status: Expired. Start date: 2025-01-01. End date: 2025-12-31. Deductible: 0 EUR. Annual premium: 84 EUR.</x:v>
      </x:c>
      <x:c r="H400" s="10" t="str">
        <x:v>The deductible is 150 EUR.</x:v>
      </x:c>
      <x:c r="I400" s="8" t="str">
        <x:v>liability</x:v>
      </x:c>
      <x:c r="J400" s="8" t="str">
        <x:v>CALIBRATION</x:v>
      </x:c>
      <x:c r="K400" s="10" t="str"/>
      <x:c r="L400" s="12" t="str"/>
      <x:c r="M400" s="12" t="str"/>
      <x:c r="N400" s="12" t="str"/>
      <x:c r="O400" s="12" t="str"/>
      <x:c r="P400" s="12" t="str"/>
    </x:row>
    <x:row r="401">
      <x:c r="A401" s="8" t="str">
        <x:v>ext-crm-fail-040</x:v>
      </x:c>
      <x:c r="B401" s="8" t="str">
        <x:v>synthetic_crm</x:v>
      </x:c>
      <x:c r="C401" s="8" t="str">
        <x:v>data/synthetic/crm/policies.csv</x:v>
      </x:c>
      <x:c r="D401" s="8" t="str">
        <x:v>policy:TEST-KFZ-2026-1401</x:v>
      </x:c>
      <x:c r="E401" s="8" t="str"/>
      <x:c r="F401" s="10" t="str">
        <x:v>What deductible applies to this policy?</x:v>
      </x:c>
      <x:c r="G401" s="10" t="str">
        <x:v>Customer: Hannah Vogel (hannah.vogel@example.test). Policy number: TEST-KFZ-2026-1401. Product type: Motor Insurance. Coverage type: Liability. Status: Active. Start date: 2026-03-01. End date: 2027-02-28. Deductible: 500 EUR. Annual premium: 520 EUR.</x:v>
      </x:c>
      <x:c r="H401" s="10" t="str">
        <x:v>The deductible is 150 EUR.</x:v>
      </x:c>
      <x:c r="I401" s="8" t="str">
        <x:v>motor</x:v>
      </x:c>
      <x:c r="J401" s="8" t="str">
        <x:v>CALIBRATION</x:v>
      </x:c>
      <x:c r="K401" s="10" t="str"/>
      <x:c r="L401" s="12" t="str"/>
      <x:c r="M401" s="12" t="str"/>
      <x:c r="N401" s="12" t="str"/>
      <x:c r="O401" s="12" t="str"/>
      <x:c r="P401" s="12" t="str"/>
    </x:row>
    <x:row r="402">
      <x:c r="A402" s="8" t="str">
        <x:v>ext-crm-fail-041</x:v>
      </x:c>
      <x:c r="B402" s="8" t="str">
        <x:v>synthetic_crm</x:v>
      </x:c>
      <x:c r="C402" s="8" t="str">
        <x:v>data/synthetic/crm/policies.csv</x:v>
      </x:c>
      <x:c r="D402" s="8" t="str">
        <x:v>policy:TEST-HH-2026-1402</x:v>
      </x:c>
      <x:c r="E402" s="8" t="str"/>
      <x:c r="F402" s="10" t="str">
        <x:v>What is the annual premium of this policy?</x:v>
      </x:c>
      <x:c r="G402" s="10" t="str">
        <x:v>Customer: Hannah Vogel (hannah.vogel@example.test). Policy number: TEST-HH-2026-1402. Product type: Household Insurance. Coverage type: Standard Coverage. Status: Active. Start date: 2026-03-01. End date: 2027-02-28. Deductible: 200 EUR. Annual premium: 195 EUR.</x:v>
      </x:c>
      <x:c r="H402" s="10" t="str">
        <x:v>The annual premium is 684 EUR.</x:v>
      </x:c>
      <x:c r="I402" s="8" t="str">
        <x:v>household</x:v>
      </x:c>
      <x:c r="J402" s="8" t="str">
        <x:v>CALIBRATION</x:v>
      </x:c>
      <x:c r="K402" s="10" t="str"/>
      <x:c r="L402" s="12" t="str"/>
      <x:c r="M402" s="12" t="str"/>
      <x:c r="N402" s="12" t="str"/>
      <x:c r="O402" s="12" t="str"/>
      <x:c r="P402" s="12" t="str"/>
    </x:row>
    <x:row r="403">
      <x:c r="A403" s="8" t="str">
        <x:v>ext-crm-fail-042</x:v>
      </x:c>
      <x:c r="B403" s="8" t="str">
        <x:v>synthetic_crm</x:v>
      </x:c>
      <x:c r="C403" s="8" t="str">
        <x:v>data/synthetic/crm/policies.csv</x:v>
      </x:c>
      <x:c r="D403" s="8" t="str">
        <x:v>policy:TEST-RS-2026-1501</x:v>
      </x:c>
      <x:c r="E403" s="8" t="str"/>
      <x:c r="F403" s="10" t="str">
        <x:v>What is the annual premium of this policy?</x:v>
      </x:c>
      <x:c r="G403" s="10" t="str">
        <x:v>Customer: Jonas Richter (jonas.richter@example.test). Policy number: TEST-RS-2026-1501. Product type: Legal Protection. Coverage type: Standard Coverage. Status: Cancelled. Start date: 2026-01-01. End date: 2026-06-30. Deductible: 150 EUR. Annual premium: 260 EUR.</x:v>
      </x:c>
      <x:c r="H403" s="10" t="str">
        <x:v>The annual premium is 684 EUR.</x:v>
      </x:c>
      <x:c r="I403" s="8" t="str">
        <x:v>legal_protection</x:v>
      </x:c>
      <x:c r="J403" s="8" t="str">
        <x:v>CALIBRATION</x:v>
      </x:c>
      <x:c r="K403" s="10" t="str"/>
      <x:c r="L403" s="12" t="str"/>
      <x:c r="M403" s="12" t="str"/>
      <x:c r="N403" s="12" t="str"/>
      <x:c r="O403" s="12" t="str"/>
      <x:c r="P403" s="12" t="str"/>
    </x:row>
    <x:row r="404">
      <x:c r="A404" s="8" t="str">
        <x:v>ext-crm-fail-043</x:v>
      </x:c>
      <x:c r="B404" s="8" t="str">
        <x:v>synthetic_crm</x:v>
      </x:c>
      <x:c r="C404" s="8" t="str">
        <x:v>data/synthetic/crm/policies.csv</x:v>
      </x:c>
      <x:c r="D404" s="8" t="str">
        <x:v>policy:TEST-PHV-2026-1601</x:v>
      </x:c>
      <x:c r="E404" s="8" t="str"/>
      <x:c r="F404" s="10" t="str">
        <x:v>What is the annual premium of this policy?</x:v>
      </x:c>
      <x:c r="G404" s="10" t="str">
        <x:v>Customer: Amira Hoffmann (amira.hoffmann@example.test). Policy number: TEST-PHV-2026-1601. Product type: Personal Liability. Coverage type: Liability. Status: Active. Start date: 2026-04-01. End date: 2027-03-31. Deductible: 0 EUR. Annual premium: 102 EUR.</x:v>
      </x:c>
      <x:c r="H404" s="10" t="str">
        <x:v>The annual premium is 684 EUR.</x:v>
      </x:c>
      <x:c r="I404" s="8" t="str">
        <x:v>liability</x:v>
      </x:c>
      <x:c r="J404" s="8" t="str">
        <x:v>CALIBRATION</x:v>
      </x:c>
      <x:c r="K404" s="10" t="str"/>
      <x:c r="L404" s="12" t="str"/>
      <x:c r="M404" s="12" t="str"/>
      <x:c r="N404" s="12" t="str"/>
      <x:c r="O404" s="12" t="str"/>
      <x:c r="P404" s="12" t="str"/>
    </x:row>
    <x:row r="405">
      <x:c r="A405" s="8" t="str">
        <x:v>ext-crm-fail-044</x:v>
      </x:c>
      <x:c r="B405" s="8" t="str">
        <x:v>synthetic_crm</x:v>
      </x:c>
      <x:c r="C405" s="8" t="str">
        <x:v>data/synthetic/crm/policies.csv</x:v>
      </x:c>
      <x:c r="D405" s="8" t="str">
        <x:v>policy:TEST-KFZ-2026-1701</x:v>
      </x:c>
      <x:c r="E405" s="8" t="str"/>
      <x:c r="F405" s="10" t="str">
        <x:v>What is the annual premium of this policy?</x:v>
      </x:c>
      <x:c r="G405" s="10" t="str">
        <x:v>Customer: Noah Weber (noah.weber@example.test). Policy number: TEST-KFZ-2026-1701. Product type: Motor Insurance. Coverage type: Partial Coverage. Status: Active. Start date: 2026-05-01. End date: 2027-04-30. Deductible: 300 EUR. Annual premium: 735 EUR.</x:v>
      </x:c>
      <x:c r="H405" s="10" t="str">
        <x:v>The annual premium is 684 EUR.</x:v>
      </x:c>
      <x:c r="I405" s="8" t="str">
        <x:v>motor</x:v>
      </x:c>
      <x:c r="J405" s="8" t="str">
        <x:v>CALIBRATION</x:v>
      </x:c>
      <x:c r="K405" s="10" t="str"/>
      <x:c r="L405" s="12" t="str"/>
      <x:c r="M405" s="12" t="str"/>
      <x:c r="N405" s="12" t="str"/>
      <x:c r="O405" s="12" t="str"/>
      <x:c r="P405" s="12" t="str"/>
    </x:row>
    <x:row r="406">
      <x:c r="A406" s="8" t="str">
        <x:v>ext-crm-fail-045</x:v>
      </x:c>
      <x:c r="B406" s="8" t="str">
        <x:v>synthetic_crm</x:v>
      </x:c>
      <x:c r="C406" s="8" t="str">
        <x:v>data/synthetic/crm/policies.csv</x:v>
      </x:c>
      <x:c r="D406" s="8" t="str">
        <x:v>policy:TEST-RS-2026-1702</x:v>
      </x:c>
      <x:c r="E406" s="8" t="str"/>
      <x:c r="F406" s="10" t="str">
        <x:v>What is the annual premium of this policy?</x:v>
      </x:c>
      <x:c r="G406" s="10" t="str">
        <x:v>Customer: Noah Weber (noah.weber@example.test). Policy number: TEST-RS-2026-1702. Product type: Legal Protection. Coverage type: Standard Coverage. Status: Active. Start date: 2026-05-01. End date: 2027-04-30. Deductible: 200 EUR. Annual premium: 310 EUR.</x:v>
      </x:c>
      <x:c r="H406" s="10" t="str">
        <x:v>The annual premium is 684 EUR.</x:v>
      </x:c>
      <x:c r="I406" s="8" t="str">
        <x:v>legal_protection</x:v>
      </x:c>
      <x:c r="J406" s="8" t="str">
        <x:v>CALIBRATION</x:v>
      </x:c>
      <x:c r="K406" s="10" t="str"/>
      <x:c r="L406" s="12" t="str"/>
      <x:c r="M406" s="12" t="str"/>
      <x:c r="N406" s="12" t="str"/>
      <x:c r="O406" s="12" t="str"/>
      <x:c r="P406" s="12" t="str"/>
    </x:row>
    <x:row r="407">
      <x:c r="A407" s="8" t="str">
        <x:v>ext-crm-fail-046</x:v>
      </x:c>
      <x:c r="B407" s="8" t="str">
        <x:v>synthetic_crm</x:v>
      </x:c>
      <x:c r="C407" s="8" t="str">
        <x:v>data/synthetic/crm/policies.csv</x:v>
      </x:c>
      <x:c r="D407" s="8" t="str">
        <x:v>policy:TEST-HH-2026-1801</x:v>
      </x:c>
      <x:c r="E407" s="8" t="str"/>
      <x:c r="F407" s="10" t="str">
        <x:v>What is the annual premium of this policy?</x:v>
      </x:c>
      <x:c r="G407" s="10" t="str">
        <x:v>Customer: Mila Hartmann (mila.hartmann@example.test). Policy number: TEST-HH-2026-1801. Product type: Household Insurance. Coverage type: Standard Coverage. Status: Pending. Start date: 2026-09-01. End date: 2027-08-31. Deductible: 250 EUR. Annual premium: 225 EUR.</x:v>
      </x:c>
      <x:c r="H407" s="10" t="str">
        <x:v>The annual premium is 684 EUR.</x:v>
      </x:c>
      <x:c r="I407" s="8" t="str">
        <x:v>household</x:v>
      </x:c>
      <x:c r="J407" s="8" t="str">
        <x:v>CALIBRATION</x:v>
      </x:c>
      <x:c r="K407" s="10" t="str"/>
      <x:c r="L407" s="12" t="str"/>
      <x:c r="M407" s="12" t="str"/>
      <x:c r="N407" s="12" t="str"/>
      <x:c r="O407" s="12" t="str"/>
      <x:c r="P407" s="12" t="str"/>
    </x:row>
    <x:row r="408">
      <x:c r="A408" s="8" t="str">
        <x:v>ext-crm-fail-047</x:v>
      </x:c>
      <x:c r="B408" s="8" t="str">
        <x:v>synthetic_crm</x:v>
      </x:c>
      <x:c r="C408" s="8" t="str">
        <x:v>data/synthetic/crm/policies.csv</x:v>
      </x:c>
      <x:c r="D408" s="8" t="str">
        <x:v>policy:TEST-KFZ-2026-1901</x:v>
      </x:c>
      <x:c r="E408" s="8" t="str"/>
      <x:c r="F408" s="10" t="str">
        <x:v>What is the annual premium of this policy?</x:v>
      </x:c>
      <x:c r="G408" s="10" t="str">
        <x:v>Customer: Leon Becker (leon.becker@example.test). Policy number: TEST-KFZ-2026-1901. Product type: Motor Insurance. Coverage type: Comprehensive Coverage. Status: Active. Start date: 2026-06-01. End date: 2027-05-31. Deductible: 500 EUR. Annual premium: 1290 EUR.</x:v>
      </x:c>
      <x:c r="H408" s="10" t="str">
        <x:v>The annual premium is 684 EUR.</x:v>
      </x:c>
      <x:c r="I408" s="8" t="str">
        <x:v>motor</x:v>
      </x:c>
      <x:c r="J408" s="8" t="str">
        <x:v>CALIBRATION</x:v>
      </x:c>
      <x:c r="K408" s="10" t="str"/>
      <x:c r="L408" s="12" t="str"/>
      <x:c r="M408" s="12" t="str"/>
      <x:c r="N408" s="12" t="str"/>
      <x:c r="O408" s="12" t="str"/>
      <x:c r="P408" s="12" t="str"/>
    </x:row>
    <x:row r="409">
      <x:c r="A409" s="8" t="str">
        <x:v>ext-crm-fail-048</x:v>
      </x:c>
      <x:c r="B409" s="8" t="str">
        <x:v>synthetic_crm</x:v>
      </x:c>
      <x:c r="C409" s="8" t="str">
        <x:v>data/synthetic/crm/policies.csv</x:v>
      </x:c>
      <x:c r="D409" s="8" t="str">
        <x:v>policy:TEST-PHV-2026-1902</x:v>
      </x:c>
      <x:c r="E409" s="8" t="str"/>
      <x:c r="F409" s="10" t="str">
        <x:v>What is the annual premium of this policy?</x:v>
      </x:c>
      <x:c r="G409" s="10" t="str">
        <x:v>Customer: Leon Becker (leon.becker@example.test). Policy number: TEST-PHV-2026-1902. Product type: Personal Liability. Coverage type: Liability. Status: Active. Start date: 2026-06-01. End date: 2027-05-31. Deductible: 0 EUR. Annual premium: 108 EUR.</x:v>
      </x:c>
      <x:c r="H409" s="10" t="str">
        <x:v>The annual premium is 684 EUR.</x:v>
      </x:c>
      <x:c r="I409" s="8" t="str">
        <x:v>liability</x:v>
      </x:c>
      <x:c r="J409" s="8" t="str">
        <x:v>CALIBRATION</x:v>
      </x:c>
      <x:c r="K409" s="10" t="str"/>
      <x:c r="L409" s="12" t="str"/>
      <x:c r="M409" s="12" t="str"/>
      <x:c r="N409" s="12" t="str"/>
      <x:c r="O409" s="12" t="str"/>
      <x:c r="P409" s="12" t="str"/>
    </x:row>
    <x:row r="410">
      <x:c r="A410" s="8" t="str">
        <x:v>ext-crm-fail-049</x:v>
      </x:c>
      <x:c r="B410" s="8" t="str">
        <x:v>synthetic_crm</x:v>
      </x:c>
      <x:c r="C410" s="8" t="str">
        <x:v>data/synthetic/crm/policies.csv</x:v>
      </x:c>
      <x:c r="D410" s="8" t="str">
        <x:v>policy:TEST-KFZ-2026-1001</x:v>
      </x:c>
      <x:c r="E410" s="8" t="str"/>
      <x:c r="F410" s="10" t="str">
        <x:v>What is the annual premium of this policy?</x:v>
      </x:c>
      <x:c r="G410" s="10" t="str">
        <x:v>Customer: Lara Neumann (lara.neumann@example.test). Policy number: TEST-KFZ-2026-1001. Product type: Motor Insurance. Coverage type: Partial Coverage. Status: Active. Start date: 2026-01-01. End date: 2026-12-31. Deductible: 150 EUR. Annual premium: 684 EUR.</x:v>
      </x:c>
      <x:c r="H410" s="10" t="str">
        <x:v>The annual premium is 96 EUR.</x:v>
      </x:c>
      <x:c r="I410" s="8" t="str">
        <x:v>motor</x:v>
      </x:c>
      <x:c r="J410" s="8" t="str">
        <x:v>CALIBRATION</x:v>
      </x:c>
      <x:c r="K410" s="10" t="str"/>
      <x:c r="L410" s="12" t="str"/>
      <x:c r="M410" s="12" t="str"/>
      <x:c r="N410" s="12" t="str"/>
      <x:c r="O410" s="12" t="str"/>
      <x:c r="P410" s="12" t="str"/>
    </x:row>
    <x:row r="411">
      <x:c r="A411" s="8" t="str">
        <x:v>ext-crm-fail-050</x:v>
      </x:c>
      <x:c r="B411" s="8" t="str">
        <x:v>synthetic_crm</x:v>
      </x:c>
      <x:c r="C411" s="8" t="str">
        <x:v>data/synthetic/crm/policies.csv</x:v>
      </x:c>
      <x:c r="D411" s="8" t="str">
        <x:v>policy:TEST-PHV-2026-1002</x:v>
      </x:c>
      <x:c r="E411" s="8" t="str"/>
      <x:c r="F411" s="10" t="str">
        <x:v>What is the annual premium of this policy?</x:v>
      </x:c>
      <x:c r="G411" s="10" t="str">
        <x:v>Customer: Lara Neumann (lara.neumann@example.test). Policy number: TEST-PHV-2026-1002. Product type: Personal Liability. Coverage type: Liability. Status: Active. Start date: 2026-01-01. End date: 2026-12-31. Deductible: 0 EUR. Annual premium: 96 EUR.</x:v>
      </x:c>
      <x:c r="H411" s="10" t="str">
        <x:v>The annual premium is 684 EUR.</x:v>
      </x:c>
      <x:c r="I411" s="8" t="str">
        <x:v>liability</x:v>
      </x:c>
      <x:c r="J411" s="8" t="str">
        <x:v>CALIBRATION</x:v>
      </x:c>
      <x:c r="K411" s="10" t="str"/>
      <x:c r="L411" s="12" t="str"/>
      <x:c r="M411" s="12" t="str"/>
      <x:c r="N411" s="12" t="str"/>
      <x:c r="O411" s="12" t="str"/>
      <x:c r="P411" s="12" t="str"/>
    </x:row>
    <x:row r="412">
      <x:c r="A412" s="8" t="str">
        <x:v>ext-crm-fail-051</x:v>
      </x:c>
      <x:c r="B412" s="8" t="str">
        <x:v>synthetic_crm</x:v>
      </x:c>
      <x:c r="C412" s="8" t="str">
        <x:v>data/synthetic/crm/policies.csv</x:v>
      </x:c>
      <x:c r="D412" s="8" t="str">
        <x:v>policy:TEST-KFZ-2026-1003</x:v>
      </x:c>
      <x:c r="E412" s="8" t="str"/>
      <x:c r="F412" s="10" t="str">
        <x:v>What coverage type applies to this policy?</x:v>
      </x:c>
      <x:c r="G412" s="10" t="str">
        <x:v>Customer: Lara Neumann (lara.neumann@example.test). Policy number: TEST-KFZ-2026-1003. Product type: Motor Insurance. Coverage type: Partial Coverage. Status: Active. Start date: 2026-07-01. End date: 2027-06-30. Deductible: 300 EUR. Annual premium: 720 EUR.</x:v>
      </x:c>
      <x:c r="H412" s="10" t="str">
        <x:v>The coverage type is Liability.</x:v>
      </x:c>
      <x:c r="I412" s="8" t="str">
        <x:v>motor</x:v>
      </x:c>
      <x:c r="J412" s="8" t="str">
        <x:v>CALIBRATION</x:v>
      </x:c>
      <x:c r="K412" s="10" t="str"/>
      <x:c r="L412" s="12" t="str"/>
      <x:c r="M412" s="12" t="str"/>
      <x:c r="N412" s="12" t="str"/>
      <x:c r="O412" s="12" t="str"/>
      <x:c r="P412" s="12" t="str"/>
    </x:row>
    <x:row r="413">
      <x:c r="A413" s="8" t="str">
        <x:v>ext-crm-fail-052</x:v>
      </x:c>
      <x:c r="B413" s="8" t="str">
        <x:v>synthetic_crm</x:v>
      </x:c>
      <x:c r="C413" s="8" t="str">
        <x:v>data/synthetic/crm/policies.csv</x:v>
      </x:c>
      <x:c r="D413" s="8" t="str">
        <x:v>policy:TEST-KFZ-2026-1101</x:v>
      </x:c>
      <x:c r="E413" s="8" t="str"/>
      <x:c r="F413" s="10" t="str">
        <x:v>What coverage type applies to this policy?</x:v>
      </x:c>
      <x:c r="G413" s="10" t="str">
        <x:v>Customer: Oliver Brandt (oliver.brandt@example.test). Policy number: TEST-KFZ-2026-1101. Product type: Motor Insurance. Coverage type: Comprehensive Coverage. Status: Active. Start date: 2026-02-01. End date: 2027-01-31. Deductible: 300 EUR. Annual premium: 1120 EUR.</x:v>
      </x:c>
      <x:c r="H413" s="10" t="str">
        <x:v>The coverage type is Partial Coverage.</x:v>
      </x:c>
      <x:c r="I413" s="8" t="str">
        <x:v>motor</x:v>
      </x:c>
      <x:c r="J413" s="8" t="str">
        <x:v>CALIBRATION</x:v>
      </x:c>
      <x:c r="K413" s="10" t="str"/>
      <x:c r="L413" s="12" t="str"/>
      <x:c r="M413" s="12" t="str"/>
      <x:c r="N413" s="12" t="str"/>
      <x:c r="O413" s="12" t="str"/>
      <x:c r="P413" s="12" t="str"/>
    </x:row>
    <x:row r="414">
      <x:c r="A414" s="8" t="str">
        <x:v>ext-crm-fail-053</x:v>
      </x:c>
      <x:c r="B414" s="8" t="str">
        <x:v>synthetic_crm</x:v>
      </x:c>
      <x:c r="C414" s="8" t="str">
        <x:v>data/synthetic/crm/policies.csv</x:v>
      </x:c>
      <x:c r="D414" s="8" t="str">
        <x:v>policy:TEST-HH-2026-1201</x:v>
      </x:c>
      <x:c r="E414" s="8" t="str"/>
      <x:c r="F414" s="10" t="str">
        <x:v>What coverage type applies to this policy?</x:v>
      </x:c>
      <x:c r="G414" s="10" t="str">
        <x:v>Customer: Sophie Keller (sophie.keller@example.test). Policy number: TEST-HH-2026-1201. Product type: Household Insurance. Coverage type: Standard Coverage. Status: Active. Start date: 2026-01-15. End date: 2027-01-14. Deductible: 250 EUR. Annual premium: 210 EUR.</x:v>
      </x:c>
      <x:c r="H414" s="10" t="str">
        <x:v>The coverage type is Partial Coverage.</x:v>
      </x:c>
      <x:c r="I414" s="8" t="str">
        <x:v>household</x:v>
      </x:c>
      <x:c r="J414" s="8" t="str">
        <x:v>CALIBRATION</x:v>
      </x:c>
      <x:c r="K414" s="10" t="str"/>
      <x:c r="L414" s="12" t="str"/>
      <x:c r="M414" s="12" t="str"/>
      <x:c r="N414" s="12" t="str"/>
      <x:c r="O414" s="12" t="str"/>
      <x:c r="P414" s="12" t="str"/>
    </x:row>
    <x:row r="415">
      <x:c r="A415" s="8" t="str">
        <x:v>ext-crm-fail-054</x:v>
      </x:c>
      <x:c r="B415" s="8" t="str">
        <x:v>synthetic_crm</x:v>
      </x:c>
      <x:c r="C415" s="8" t="str">
        <x:v>data/synthetic/crm/policies.csv</x:v>
      </x:c>
      <x:c r="D415" s="8" t="str">
        <x:v>policy:TEST-RS-2026-1202</x:v>
      </x:c>
      <x:c r="E415" s="8" t="str"/>
      <x:c r="F415" s="10" t="str">
        <x:v>What coverage type applies to this policy?</x:v>
      </x:c>
      <x:c r="G415" s="10" t="str">
        <x:v>Customer: Sophie Keller (sophie.keller@example.test). Policy number: TEST-RS-2026-1202. Product type: Legal Protection. Coverage type: Standard Coverage. Status: Pending. Start date: 2026-08-01. End date: 2027-07-31. Deductible: 150 EUR. Annual premium: 280 EUR.</x:v>
      </x:c>
      <x:c r="H415" s="10" t="str">
        <x:v>The coverage type is Partial Coverage.</x:v>
      </x:c>
      <x:c r="I415" s="8" t="str">
        <x:v>legal_protection</x:v>
      </x:c>
      <x:c r="J415" s="8" t="str">
        <x:v>CALIBRATION</x:v>
      </x:c>
      <x:c r="K415" s="10" t="str"/>
      <x:c r="L415" s="12" t="str"/>
      <x:c r="M415" s="12" t="str"/>
      <x:c r="N415" s="12" t="str"/>
      <x:c r="O415" s="12" t="str"/>
      <x:c r="P415" s="12" t="str"/>
    </x:row>
    <x:row r="416">
      <x:c r="A416" s="8" t="str">
        <x:v>ext-crm-fail-055</x:v>
      </x:c>
      <x:c r="B416" s="8" t="str">
        <x:v>synthetic_crm</x:v>
      </x:c>
      <x:c r="C416" s="8" t="str">
        <x:v>data/synthetic/crm/policies.csv</x:v>
      </x:c>
      <x:c r="D416" s="8" t="str">
        <x:v>policy:TEST-PHV-2025-1301</x:v>
      </x:c>
      <x:c r="E416" s="8" t="str"/>
      <x:c r="F416" s="10" t="str">
        <x:v>What coverage type applies to this policy?</x:v>
      </x:c>
      <x:c r="G416" s="10" t="str">
        <x:v>Customer: Emil Fischer (emil.fischer@example.test). Policy number: TEST-PHV-2025-1301. Product type: Personal Liability. Coverage type: Liability. Status: Expired. Start date: 2025-01-01. End date: 2025-12-31. Deductible: 0 EUR. Annual premium: 84 EUR.</x:v>
      </x:c>
      <x:c r="H416" s="10" t="str">
        <x:v>The coverage type is Partial Coverage.</x:v>
      </x:c>
      <x:c r="I416" s="8" t="str">
        <x:v>liability</x:v>
      </x:c>
      <x:c r="J416" s="8" t="str">
        <x:v>CALIBRATION</x:v>
      </x:c>
      <x:c r="K416" s="10" t="str"/>
      <x:c r="L416" s="12" t="str"/>
      <x:c r="M416" s="12" t="str"/>
      <x:c r="N416" s="12" t="str"/>
      <x:c r="O416" s="12" t="str"/>
      <x:c r="P416" s="12" t="str"/>
    </x:row>
    <x:row r="417">
      <x:c r="A417" s="8" t="str">
        <x:v>ext-crm-fail-056</x:v>
      </x:c>
      <x:c r="B417" s="8" t="str">
        <x:v>synthetic_crm</x:v>
      </x:c>
      <x:c r="C417" s="8" t="str">
        <x:v>data/synthetic/crm/policies.csv</x:v>
      </x:c>
      <x:c r="D417" s="8" t="str">
        <x:v>policy:TEST-KFZ-2026-1401</x:v>
      </x:c>
      <x:c r="E417" s="8" t="str"/>
      <x:c r="F417" s="10" t="str">
        <x:v>What coverage type applies to this policy?</x:v>
      </x:c>
      <x:c r="G417" s="10" t="str">
        <x:v>Customer: Hannah Vogel (hannah.vogel@example.test). Policy number: TEST-KFZ-2026-1401. Product type: Motor Insurance. Coverage type: Liability. Status: Active. Start date: 2026-03-01. End date: 2027-02-28. Deductible: 500 EUR. Annual premium: 520 EUR.</x:v>
      </x:c>
      <x:c r="H417" s="10" t="str">
        <x:v>The coverage type is Partial Coverage.</x:v>
      </x:c>
      <x:c r="I417" s="8" t="str">
        <x:v>motor</x:v>
      </x:c>
      <x:c r="J417" s="8" t="str">
        <x:v>CALIBRATION</x:v>
      </x:c>
      <x:c r="K417" s="10" t="str"/>
      <x:c r="L417" s="12" t="str"/>
      <x:c r="M417" s="12" t="str"/>
      <x:c r="N417" s="12" t="str"/>
      <x:c r="O417" s="12" t="str"/>
      <x:c r="P417" s="12" t="str"/>
    </x:row>
    <x:row r="418">
      <x:c r="A418" s="8" t="str">
        <x:v>ext-crm-fail-057</x:v>
      </x:c>
      <x:c r="B418" s="8" t="str">
        <x:v>synthetic_crm</x:v>
      </x:c>
      <x:c r="C418" s="8" t="str">
        <x:v>data/synthetic/crm/policies.csv</x:v>
      </x:c>
      <x:c r="D418" s="8" t="str">
        <x:v>policy:TEST-HH-2026-1402</x:v>
      </x:c>
      <x:c r="E418" s="8" t="str"/>
      <x:c r="F418" s="10" t="str">
        <x:v>What coverage type applies to this policy?</x:v>
      </x:c>
      <x:c r="G418" s="10" t="str">
        <x:v>Customer: Hannah Vogel (hannah.vogel@example.test). Policy number: TEST-HH-2026-1402. Product type: Household Insurance. Coverage type: Standard Coverage. Status: Active. Start date: 2026-03-01. End date: 2027-02-28. Deductible: 200 EUR. Annual premium: 195 EUR.</x:v>
      </x:c>
      <x:c r="H418" s="10" t="str">
        <x:v>The coverage type is Partial Coverage.</x:v>
      </x:c>
      <x:c r="I418" s="8" t="str">
        <x:v>household</x:v>
      </x:c>
      <x:c r="J418" s="8" t="str">
        <x:v>CALIBRATION</x:v>
      </x:c>
      <x:c r="K418" s="10" t="str"/>
      <x:c r="L418" s="12" t="str"/>
      <x:c r="M418" s="12" t="str"/>
      <x:c r="N418" s="12" t="str"/>
      <x:c r="O418" s="12" t="str"/>
      <x:c r="P418" s="12" t="str"/>
    </x:row>
    <x:row r="419">
      <x:c r="A419" s="8" t="str">
        <x:v>ext-crm-fail-058</x:v>
      </x:c>
      <x:c r="B419" s="8" t="str">
        <x:v>synthetic_crm</x:v>
      </x:c>
      <x:c r="C419" s="8" t="str">
        <x:v>data/synthetic/crm/policies.csv</x:v>
      </x:c>
      <x:c r="D419" s="8" t="str">
        <x:v>policy:TEST-RS-2026-1501</x:v>
      </x:c>
      <x:c r="E419" s="8" t="str"/>
      <x:c r="F419" s="10" t="str">
        <x:v>What coverage type applies to this policy?</x:v>
      </x:c>
      <x:c r="G419" s="10" t="str">
        <x:v>Customer: Jonas Richter (jonas.richter@example.test). Policy number: TEST-RS-2026-1501. Product type: Legal Protection. Coverage type: Standard Coverage. Status: Cancelled. Start date: 2026-01-01. End date: 2026-06-30. Deductible: 150 EUR. Annual premium: 260 EUR.</x:v>
      </x:c>
      <x:c r="H419" s="10" t="str">
        <x:v>The coverage type is Partial Coverage.</x:v>
      </x:c>
      <x:c r="I419" s="8" t="str">
        <x:v>legal_protection</x:v>
      </x:c>
      <x:c r="J419" s="8" t="str">
        <x:v>CALIBRATION</x:v>
      </x:c>
      <x:c r="K419" s="10" t="str"/>
      <x:c r="L419" s="12" t="str"/>
      <x:c r="M419" s="12" t="str"/>
      <x:c r="N419" s="12" t="str"/>
      <x:c r="O419" s="12" t="str"/>
      <x:c r="P419" s="12" t="str"/>
    </x:row>
    <x:row r="420">
      <x:c r="A420" s="8" t="str">
        <x:v>ext-crm-fail-059</x:v>
      </x:c>
      <x:c r="B420" s="8" t="str">
        <x:v>synthetic_crm</x:v>
      </x:c>
      <x:c r="C420" s="8" t="str">
        <x:v>data/synthetic/crm/policies.csv</x:v>
      </x:c>
      <x:c r="D420" s="8" t="str">
        <x:v>policy:TEST-PHV-2026-1601</x:v>
      </x:c>
      <x:c r="E420" s="8" t="str"/>
      <x:c r="F420" s="10" t="str">
        <x:v>What coverage type applies to this policy?</x:v>
      </x:c>
      <x:c r="G420" s="10" t="str">
        <x:v>Customer: Amira Hoffmann (amira.hoffmann@example.test). Policy number: TEST-PHV-2026-1601. Product type: Personal Liability. Coverage type: Liability. Status: Active. Start date: 2026-04-01. End date: 2027-03-31. Deductible: 0 EUR. Annual premium: 102 EUR.</x:v>
      </x:c>
      <x:c r="H420" s="10" t="str">
        <x:v>The coverage type is Partial Coverage.</x:v>
      </x:c>
      <x:c r="I420" s="8" t="str">
        <x:v>liability</x:v>
      </x:c>
      <x:c r="J420" s="8" t="str">
        <x:v>CALIBRATION</x:v>
      </x:c>
      <x:c r="K420" s="10" t="str"/>
      <x:c r="L420" s="12" t="str"/>
      <x:c r="M420" s="12" t="str"/>
      <x:c r="N420" s="12" t="str"/>
      <x:c r="O420" s="12" t="str"/>
      <x:c r="P420" s="12" t="str"/>
    </x:row>
    <x:row r="421">
      <x:c r="A421" s="8" t="str">
        <x:v>ext-crm-fail-060</x:v>
      </x:c>
      <x:c r="B421" s="8" t="str">
        <x:v>synthetic_crm</x:v>
      </x:c>
      <x:c r="C421" s="8" t="str">
        <x:v>data/synthetic/crm/policies.csv</x:v>
      </x:c>
      <x:c r="D421" s="8" t="str">
        <x:v>policy:TEST-KFZ-2026-1701</x:v>
      </x:c>
      <x:c r="E421" s="8" t="str"/>
      <x:c r="F421" s="10" t="str">
        <x:v>What coverage type applies to this policy?</x:v>
      </x:c>
      <x:c r="G421" s="10" t="str">
        <x:v>Customer: Noah Weber (noah.weber@example.test). Policy number: TEST-KFZ-2026-1701. Product type: Motor Insurance. Coverage type: Partial Coverage. Status: Active. Start date: 2026-05-01. End date: 2027-04-30. Deductible: 300 EUR. Annual premium: 735 EUR.</x:v>
      </x:c>
      <x:c r="H421" s="10" t="str">
        <x:v>The coverage type is Liability.</x:v>
      </x:c>
      <x:c r="I421" s="8" t="str">
        <x:v>motor</x:v>
      </x:c>
      <x:c r="J421" s="8" t="str">
        <x:v>CALIBRATION</x:v>
      </x:c>
      <x:c r="K421" s="10" t="str"/>
      <x:c r="L421" s="12" t="str"/>
      <x:c r="M421" s="12" t="str"/>
      <x:c r="N421" s="12" t="str"/>
      <x:c r="O421" s="12" t="str"/>
      <x:c r="P421" s="12" t="str"/>
    </x:row>
    <x:row r="422">
      <x:c r="A422" s="8" t="str">
        <x:v>ext-crm-fail-061</x:v>
      </x:c>
      <x:c r="B422" s="8" t="str">
        <x:v>synthetic_crm</x:v>
      </x:c>
      <x:c r="C422" s="8" t="str">
        <x:v>data/synthetic/crm/policies.csv</x:v>
      </x:c>
      <x:c r="D422" s="8" t="str">
        <x:v>policy:TEST-RS-2026-1702</x:v>
      </x:c>
      <x:c r="E422" s="8" t="str"/>
      <x:c r="F422" s="10" t="str">
        <x:v>What are the start and end dates of this policy?</x:v>
      </x:c>
      <x:c r="G422" s="10" t="str">
        <x:v>Customer: Noah Weber (noah.weber@example.test). Policy number: TEST-RS-2026-1702. Product type: Legal Protection. Coverage type: Standard Coverage. Status: Active. Start date: 2026-05-01. End date: 2027-04-30. Deductible: 200 EUR. Annual premium: 310 EUR.</x:v>
      </x:c>
      <x:c r="H422" s="10" t="str">
        <x:v>The policy runs from 2026-01-01 through 2026-12-31.</x:v>
      </x:c>
      <x:c r="I422" s="8" t="str">
        <x:v>legal_protection</x:v>
      </x:c>
      <x:c r="J422" s="8" t="str">
        <x:v>CALIBRATION</x:v>
      </x:c>
      <x:c r="K422" s="10" t="str"/>
      <x:c r="L422" s="12" t="str"/>
      <x:c r="M422" s="12" t="str"/>
      <x:c r="N422" s="12" t="str"/>
      <x:c r="O422" s="12" t="str"/>
      <x:c r="P422" s="12" t="str"/>
    </x:row>
    <x:row r="423">
      <x:c r="A423" s="8" t="str">
        <x:v>ext-crm-fail-062</x:v>
      </x:c>
      <x:c r="B423" s="8" t="str">
        <x:v>synthetic_crm</x:v>
      </x:c>
      <x:c r="C423" s="8" t="str">
        <x:v>data/synthetic/crm/policies.csv</x:v>
      </x:c>
      <x:c r="D423" s="8" t="str">
        <x:v>policy:TEST-HH-2026-1801</x:v>
      </x:c>
      <x:c r="E423" s="8" t="str"/>
      <x:c r="F423" s="10" t="str">
        <x:v>What are the start and end dates of this policy?</x:v>
      </x:c>
      <x:c r="G423" s="10" t="str">
        <x:v>Customer: Mila Hartmann (mila.hartmann@example.test). Policy number: TEST-HH-2026-1801. Product type: Household Insurance. Coverage type: Standard Coverage. Status: Pending. Start date: 2026-09-01. End date: 2027-08-31. Deductible: 250 EUR. Annual premium: 225 EUR.</x:v>
      </x:c>
      <x:c r="H423" s="10" t="str">
        <x:v>The policy runs from 2026-01-01 through 2026-12-31.</x:v>
      </x:c>
      <x:c r="I423" s="8" t="str">
        <x:v>household</x:v>
      </x:c>
      <x:c r="J423" s="8" t="str">
        <x:v>CALIBRATION</x:v>
      </x:c>
      <x:c r="K423" s="10" t="str"/>
      <x:c r="L423" s="12" t="str"/>
      <x:c r="M423" s="12" t="str"/>
      <x:c r="N423" s="12" t="str"/>
      <x:c r="O423" s="12" t="str"/>
      <x:c r="P423" s="12" t="str"/>
    </x:row>
    <x:row r="424">
      <x:c r="A424" s="8" t="str">
        <x:v>ext-crm-fail-063</x:v>
      </x:c>
      <x:c r="B424" s="8" t="str">
        <x:v>synthetic_crm</x:v>
      </x:c>
      <x:c r="C424" s="8" t="str">
        <x:v>data/synthetic/crm/policies.csv</x:v>
      </x:c>
      <x:c r="D424" s="8" t="str">
        <x:v>policy:TEST-KFZ-2026-1901</x:v>
      </x:c>
      <x:c r="E424" s="8" t="str"/>
      <x:c r="F424" s="10" t="str">
        <x:v>What are the start and end dates of this policy?</x:v>
      </x:c>
      <x:c r="G424" s="10" t="str">
        <x:v>Customer: Leon Becker (leon.becker@example.test). Policy number: TEST-KFZ-2026-1901. Product type: Motor Insurance. Coverage type: Comprehensive Coverage. Status: Active. Start date: 2026-06-01. End date: 2027-05-31. Deductible: 500 EUR. Annual premium: 1290 EUR.</x:v>
      </x:c>
      <x:c r="H424" s="10" t="str">
        <x:v>The policy runs from 2026-01-01 through 2026-12-31.</x:v>
      </x:c>
      <x:c r="I424" s="8" t="str">
        <x:v>motor</x:v>
      </x:c>
      <x:c r="J424" s="8" t="str">
        <x:v>CALIBRATION</x:v>
      </x:c>
      <x:c r="K424" s="10" t="str"/>
      <x:c r="L424" s="12" t="str"/>
      <x:c r="M424" s="12" t="str"/>
      <x:c r="N424" s="12" t="str"/>
      <x:c r="O424" s="12" t="str"/>
      <x:c r="P424" s="12" t="str"/>
    </x:row>
    <x:row r="425">
      <x:c r="A425" s="8" t="str">
        <x:v>ext-crm-fail-064</x:v>
      </x:c>
      <x:c r="B425" s="8" t="str">
        <x:v>synthetic_crm</x:v>
      </x:c>
      <x:c r="C425" s="8" t="str">
        <x:v>data/synthetic/crm/policies.csv</x:v>
      </x:c>
      <x:c r="D425" s="8" t="str">
        <x:v>policy:TEST-PHV-2026-1902</x:v>
      </x:c>
      <x:c r="E425" s="8" t="str"/>
      <x:c r="F425" s="10" t="str">
        <x:v>What are the start and end dates of this policy?</x:v>
      </x:c>
      <x:c r="G425" s="10" t="str">
        <x:v>Customer: Leon Becker (leon.becker@example.test). Policy number: TEST-PHV-2026-1902. Product type: Personal Liability. Coverage type: Liability. Status: Active. Start date: 2026-06-01. End date: 2027-05-31. Deductible: 0 EUR. Annual premium: 108 EUR.</x:v>
      </x:c>
      <x:c r="H425" s="10" t="str">
        <x:v>The policy runs from 2026-01-01 through 2026-12-31.</x:v>
      </x:c>
      <x:c r="I425" s="8" t="str">
        <x:v>liability</x:v>
      </x:c>
      <x:c r="J425" s="8" t="str">
        <x:v>CALIBRATION</x:v>
      </x:c>
      <x:c r="K425" s="10" t="str"/>
      <x:c r="L425" s="12" t="str"/>
      <x:c r="M425" s="12" t="str"/>
      <x:c r="N425" s="12" t="str"/>
      <x:c r="O425" s="12" t="str"/>
      <x:c r="P425" s="12" t="str"/>
    </x:row>
    <x:row r="426">
      <x:c r="A426" s="8" t="str">
        <x:v>ext-crm-fail-065</x:v>
      </x:c>
      <x:c r="B426" s="8" t="str">
        <x:v>synthetic_crm</x:v>
      </x:c>
      <x:c r="C426" s="8" t="str">
        <x:v>data/synthetic/crm/policies.csv</x:v>
      </x:c>
      <x:c r="D426" s="8" t="str">
        <x:v>policy:TEST-KFZ-2026-1001</x:v>
      </x:c>
      <x:c r="E426" s="8" t="str"/>
      <x:c r="F426" s="10" t="str">
        <x:v>What are the start and end dates of this policy?</x:v>
      </x:c>
      <x:c r="G426" s="10" t="str">
        <x:v>Customer: Lara Neumann (lara.neumann@example.test). Policy number: TEST-KFZ-2026-1001. Product type: Motor Insurance. Coverage type: Partial Coverage. Status: Active. Start date: 2026-01-01. End date: 2026-12-31. Deductible: 150 EUR. Annual premium: 684 EUR.</x:v>
      </x:c>
      <x:c r="H426" s="10" t="str">
        <x:v>The policy runs from 2026-07-01 through 2027-06-30.</x:v>
      </x:c>
      <x:c r="I426" s="8" t="str">
        <x:v>motor</x:v>
      </x:c>
      <x:c r="J426" s="8" t="str">
        <x:v>CALIBRATION</x:v>
      </x:c>
      <x:c r="K426" s="10" t="str"/>
      <x:c r="L426" s="12" t="str"/>
      <x:c r="M426" s="12" t="str"/>
      <x:c r="N426" s="12" t="str"/>
      <x:c r="O426" s="12" t="str"/>
      <x:c r="P426" s="12" t="str"/>
    </x:row>
    <x:row r="427">
      <x:c r="A427" s="8" t="str">
        <x:v>ext-crm-fail-066</x:v>
      </x:c>
      <x:c r="B427" s="8" t="str">
        <x:v>synthetic_crm</x:v>
      </x:c>
      <x:c r="C427" s="8" t="str">
        <x:v>data/synthetic/crm/policies.csv</x:v>
      </x:c>
      <x:c r="D427" s="8" t="str">
        <x:v>policy:TEST-PHV-2026-1002</x:v>
      </x:c>
      <x:c r="E427" s="8" t="str"/>
      <x:c r="F427" s="10" t="str">
        <x:v>What are the start and end dates of this policy?</x:v>
      </x:c>
      <x:c r="G427" s="10" t="str">
        <x:v>Customer: Lara Neumann (lara.neumann@example.test). Policy number: TEST-PHV-2026-1002. Product type: Personal Liability. Coverage type: Liability. Status: Active. Start date: 2026-01-01. End date: 2026-12-31. Deductible: 0 EUR. Annual premium: 96 EUR.</x:v>
      </x:c>
      <x:c r="H427" s="10" t="str">
        <x:v>The policy runs from 2026-07-01 through 2027-06-30.</x:v>
      </x:c>
      <x:c r="I427" s="8" t="str">
        <x:v>liability</x:v>
      </x:c>
      <x:c r="J427" s="8" t="str">
        <x:v>CALIBRATION</x:v>
      </x:c>
      <x:c r="K427" s="10" t="str"/>
      <x:c r="L427" s="12" t="str"/>
      <x:c r="M427" s="12" t="str"/>
      <x:c r="N427" s="12" t="str"/>
      <x:c r="O427" s="12" t="str"/>
      <x:c r="P427" s="12" t="str"/>
    </x:row>
    <x:row r="428">
      <x:c r="A428" s="8" t="str">
        <x:v>ext-crm-fail-067</x:v>
      </x:c>
      <x:c r="B428" s="8" t="str">
        <x:v>synthetic_crm</x:v>
      </x:c>
      <x:c r="C428" s="8" t="str">
        <x:v>data/synthetic/crm/policies.csv</x:v>
      </x:c>
      <x:c r="D428" s="8" t="str">
        <x:v>policy:TEST-KFZ-2026-1003</x:v>
      </x:c>
      <x:c r="E428" s="8" t="str"/>
      <x:c r="F428" s="10" t="str">
        <x:v>What are the start and end dates of this policy?</x:v>
      </x:c>
      <x:c r="G428" s="10" t="str">
        <x:v>Customer: Lara Neumann (lara.neumann@example.test). Policy number: TEST-KFZ-2026-1003. Product type: Motor Insurance. Coverage type: Partial Coverage. Status: Active. Start date: 2026-07-01. End date: 2027-06-30. Deductible: 300 EUR. Annual premium: 720 EUR.</x:v>
      </x:c>
      <x:c r="H428" s="10" t="str">
        <x:v>The policy runs from 2026-01-01 through 2026-12-31.</x:v>
      </x:c>
      <x:c r="I428" s="8" t="str">
        <x:v>motor</x:v>
      </x:c>
      <x:c r="J428" s="8" t="str">
        <x:v>CALIBRATION</x:v>
      </x:c>
      <x:c r="K428" s="10" t="str"/>
      <x:c r="L428" s="12" t="str"/>
      <x:c r="M428" s="12" t="str"/>
      <x:c r="N428" s="12" t="str"/>
      <x:c r="O428" s="12" t="str"/>
      <x:c r="P428" s="12" t="str"/>
    </x:row>
    <x:row r="429">
      <x:c r="A429" s="8" t="str">
        <x:v>ext-crm-fail-068</x:v>
      </x:c>
      <x:c r="B429" s="8" t="str">
        <x:v>synthetic_crm</x:v>
      </x:c>
      <x:c r="C429" s="8" t="str">
        <x:v>data/synthetic/crm/policies.csv</x:v>
      </x:c>
      <x:c r="D429" s="8" t="str">
        <x:v>policy:TEST-KFZ-2026-1101</x:v>
      </x:c>
      <x:c r="E429" s="8" t="str"/>
      <x:c r="F429" s="10" t="str">
        <x:v>What are the start and end dates of this policy?</x:v>
      </x:c>
      <x:c r="G429" s="10" t="str">
        <x:v>Customer: Oliver Brandt (oliver.brandt@example.test). Policy number: TEST-KFZ-2026-1101. Product type: Motor Insurance. Coverage type: Comprehensive Coverage. Status: Active. Start date: 2026-02-01. End date: 2027-01-31. Deductible: 300 EUR. Annual premium: 1120 EUR.</x:v>
      </x:c>
      <x:c r="H429" s="10" t="str">
        <x:v>The policy runs from 2026-01-01 through 2026-12-31.</x:v>
      </x:c>
      <x:c r="I429" s="8" t="str">
        <x:v>motor</x:v>
      </x:c>
      <x:c r="J429" s="8" t="str">
        <x:v>CALIBRATION</x:v>
      </x:c>
      <x:c r="K429" s="10" t="str"/>
      <x:c r="L429" s="12" t="str"/>
      <x:c r="M429" s="12" t="str"/>
      <x:c r="N429" s="12" t="str"/>
      <x:c r="O429" s="12" t="str"/>
      <x:c r="P429" s="12" t="str"/>
    </x:row>
    <x:row r="430">
      <x:c r="A430" s="8" t="str">
        <x:v>ext-crm-fail-069</x:v>
      </x:c>
      <x:c r="B430" s="8" t="str">
        <x:v>synthetic_crm</x:v>
      </x:c>
      <x:c r="C430" s="8" t="str">
        <x:v>data/synthetic/crm/policies.csv</x:v>
      </x:c>
      <x:c r="D430" s="8" t="str">
        <x:v>policy:TEST-HH-2026-1201</x:v>
      </x:c>
      <x:c r="E430" s="8" t="str"/>
      <x:c r="F430" s="10" t="str">
        <x:v>What are the start and end dates of this policy?</x:v>
      </x:c>
      <x:c r="G430" s="10" t="str">
        <x:v>Customer: Sophie Keller (sophie.keller@example.test). Policy number: TEST-HH-2026-1201. Product type: Household Insurance. Coverage type: Standard Coverage. Status: Active. Start date: 2026-01-15. End date: 2027-01-14. Deductible: 250 EUR. Annual premium: 210 EUR.</x:v>
      </x:c>
      <x:c r="H430" s="10" t="str">
        <x:v>The policy runs from 2026-01-01 through 2026-12-31.</x:v>
      </x:c>
      <x:c r="I430" s="8" t="str">
        <x:v>household</x:v>
      </x:c>
      <x:c r="J430" s="8" t="str">
        <x:v>CALIBRATION</x:v>
      </x:c>
      <x:c r="K430" s="10" t="str"/>
      <x:c r="L430" s="12" t="str"/>
      <x:c r="M430" s="12" t="str"/>
      <x:c r="N430" s="12" t="str"/>
      <x:c r="O430" s="12" t="str"/>
      <x:c r="P430" s="12" t="str"/>
    </x:row>
    <x:row r="431">
      <x:c r="A431" s="8" t="str">
        <x:v>ext-crm-fail-070</x:v>
      </x:c>
      <x:c r="B431" s="8" t="str">
        <x:v>synthetic_crm</x:v>
      </x:c>
      <x:c r="C431" s="8" t="str">
        <x:v>data/synthetic/crm/policies.csv</x:v>
      </x:c>
      <x:c r="D431" s="8" t="str">
        <x:v>policy:TEST-RS-2026-1202</x:v>
      </x:c>
      <x:c r="E431" s="8" t="str"/>
      <x:c r="F431" s="10" t="str">
        <x:v>What are the start and end dates of this policy?</x:v>
      </x:c>
      <x:c r="G431" s="10" t="str">
        <x:v>Customer: Sophie Keller (sophie.keller@example.test). Policy number: TEST-RS-2026-1202. Product type: Legal Protection. Coverage type: Standard Coverage. Status: Pending. Start date: 2026-08-01. End date: 2027-07-31. Deductible: 150 EUR. Annual premium: 280 EUR.</x:v>
      </x:c>
      <x:c r="H431" s="10" t="str">
        <x:v>The policy runs from 2026-01-01 through 2026-12-31.</x:v>
      </x:c>
      <x:c r="I431" s="8" t="str">
        <x:v>legal_protection</x:v>
      </x:c>
      <x:c r="J431" s="8" t="str">
        <x:v>CALIBRATION</x:v>
      </x:c>
      <x:c r="K431" s="10" t="str"/>
      <x:c r="L431" s="12" t="str"/>
      <x:c r="M431" s="12" t="str"/>
      <x:c r="N431" s="12" t="str"/>
      <x:c r="O431" s="12" t="str"/>
      <x:c r="P431" s="12" t="str"/>
    </x:row>
    <x:row r="432">
      <x:c r="A432" s="8" t="str">
        <x:v>ext-crm-fail-071</x:v>
      </x:c>
      <x:c r="B432" s="8" t="str">
        <x:v>synthetic_crm</x:v>
      </x:c>
      <x:c r="C432" s="8" t="str">
        <x:v>data/synthetic/crm/policies.csv</x:v>
      </x:c>
      <x:c r="D432" s="8" t="str">
        <x:v>policy:TEST-PHV-2025-1301</x:v>
      </x:c>
      <x:c r="E432" s="8" t="str"/>
      <x:c r="F432" s="10" t="str">
        <x:v>Who holds this policy and what is its annual premium?</x:v>
      </x:c>
      <x:c r="G432" s="10" t="str">
        <x:v>Customer: Emil Fischer (emil.fischer@example.test). Policy number: TEST-PHV-2025-1301. Product type: Personal Liability. Coverage type: Liability. Status: Expired. Start date: 2025-01-01. End date: 2025-12-31. Deductible: 0 EUR. Annual premium: 84 EUR.</x:v>
      </x:c>
      <x:c r="H432" s="10" t="str">
        <x:v>Lara Neumann holds it, and the annual premium is 84 EUR.</x:v>
      </x:c>
      <x:c r="I432" s="8" t="str">
        <x:v>liability</x:v>
      </x:c>
      <x:c r="J432" s="8" t="str">
        <x:v>CALIBRATION</x:v>
      </x:c>
      <x:c r="K432" s="10" t="str"/>
      <x:c r="L432" s="12" t="str"/>
      <x:c r="M432" s="12" t="str"/>
      <x:c r="N432" s="12" t="str"/>
      <x:c r="O432" s="12" t="str"/>
      <x:c r="P432" s="12" t="str"/>
    </x:row>
    <x:row r="433">
      <x:c r="A433" s="8" t="str">
        <x:v>ext-crm-fail-072</x:v>
      </x:c>
      <x:c r="B433" s="8" t="str">
        <x:v>synthetic_crm</x:v>
      </x:c>
      <x:c r="C433" s="8" t="str">
        <x:v>data/synthetic/crm/policies.csv</x:v>
      </x:c>
      <x:c r="D433" s="8" t="str">
        <x:v>policy:TEST-KFZ-2026-1401</x:v>
      </x:c>
      <x:c r="E433" s="8" t="str"/>
      <x:c r="F433" s="10" t="str">
        <x:v>Who holds this policy and what is its annual premium?</x:v>
      </x:c>
      <x:c r="G433" s="10" t="str">
        <x:v>Customer: Hannah Vogel (hannah.vogel@example.test). Policy number: TEST-KFZ-2026-1401. Product type: Motor Insurance. Coverage type: Liability. Status: Active. Start date: 2026-03-01. End date: 2027-02-28. Deductible: 500 EUR. Annual premium: 520 EUR.</x:v>
      </x:c>
      <x:c r="H433" s="10" t="str">
        <x:v>Lara Neumann holds it, and the annual premium is 520 EUR.</x:v>
      </x:c>
      <x:c r="I433" s="8" t="str">
        <x:v>motor</x:v>
      </x:c>
      <x:c r="J433" s="8" t="str">
        <x:v>CALIBRATION</x:v>
      </x:c>
      <x:c r="K433" s="10" t="str"/>
      <x:c r="L433" s="12" t="str"/>
      <x:c r="M433" s="12" t="str"/>
      <x:c r="N433" s="12" t="str"/>
      <x:c r="O433" s="12" t="str"/>
      <x:c r="P433" s="12" t="str"/>
    </x:row>
    <x:row r="434">
      <x:c r="A434" s="8" t="str">
        <x:v>ext-crm-fail-073</x:v>
      </x:c>
      <x:c r="B434" s="8" t="str">
        <x:v>synthetic_crm</x:v>
      </x:c>
      <x:c r="C434" s="8" t="str">
        <x:v>data/synthetic/crm/policies.csv</x:v>
      </x:c>
      <x:c r="D434" s="8" t="str">
        <x:v>policy:TEST-HH-2026-1402</x:v>
      </x:c>
      <x:c r="E434" s="8" t="str"/>
      <x:c r="F434" s="10" t="str">
        <x:v>Who holds this policy and what is its annual premium?</x:v>
      </x:c>
      <x:c r="G434" s="10" t="str">
        <x:v>Customer: Hannah Vogel (hannah.vogel@example.test). Policy number: TEST-HH-2026-1402. Product type: Household Insurance. Coverage type: Standard Coverage. Status: Active. Start date: 2026-03-01. End date: 2027-02-28. Deductible: 200 EUR. Annual premium: 195 EUR.</x:v>
      </x:c>
      <x:c r="H434" s="10" t="str">
        <x:v>Lara Neumann holds it, and the annual premium is 195 EUR.</x:v>
      </x:c>
      <x:c r="I434" s="8" t="str">
        <x:v>household</x:v>
      </x:c>
      <x:c r="J434" s="8" t="str">
        <x:v>CALIBRATION</x:v>
      </x:c>
      <x:c r="K434" s="10" t="str"/>
      <x:c r="L434" s="12" t="str"/>
      <x:c r="M434" s="12" t="str"/>
      <x:c r="N434" s="12" t="str"/>
      <x:c r="O434" s="12" t="str"/>
      <x:c r="P434" s="12" t="str"/>
    </x:row>
    <x:row r="435">
      <x:c r="A435" s="8" t="str">
        <x:v>ext-crm-fail-074</x:v>
      </x:c>
      <x:c r="B435" s="8" t="str">
        <x:v>synthetic_crm</x:v>
      </x:c>
      <x:c r="C435" s="8" t="str">
        <x:v>data/synthetic/crm/policies.csv</x:v>
      </x:c>
      <x:c r="D435" s="8" t="str">
        <x:v>policy:TEST-RS-2026-1501</x:v>
      </x:c>
      <x:c r="E435" s="8" t="str"/>
      <x:c r="F435" s="10" t="str">
        <x:v>Who holds this policy and what is its annual premium?</x:v>
      </x:c>
      <x:c r="G435" s="10" t="str">
        <x:v>Customer: Jonas Richter (jonas.richter@example.test). Policy number: TEST-RS-2026-1501. Product type: Legal Protection. Coverage type: Standard Coverage. Status: Cancelled. Start date: 2026-01-01. End date: 2026-06-30. Deductible: 150 EUR. Annual premium: 260 EUR.</x:v>
      </x:c>
      <x:c r="H435" s="10" t="str">
        <x:v>Lara Neumann holds it, and the annual premium is 260 EUR.</x:v>
      </x:c>
      <x:c r="I435" s="8" t="str">
        <x:v>legal_protection</x:v>
      </x:c>
      <x:c r="J435" s="8" t="str">
        <x:v>CALIBRATION</x:v>
      </x:c>
      <x:c r="K435" s="10" t="str"/>
      <x:c r="L435" s="12" t="str"/>
      <x:c r="M435" s="12" t="str"/>
      <x:c r="N435" s="12" t="str"/>
      <x:c r="O435" s="12" t="str"/>
      <x:c r="P435" s="12" t="str"/>
    </x:row>
    <x:row r="436">
      <x:c r="A436" s="8" t="str">
        <x:v>ext-crm-fail-075</x:v>
      </x:c>
      <x:c r="B436" s="8" t="str">
        <x:v>synthetic_crm</x:v>
      </x:c>
      <x:c r="C436" s="8" t="str">
        <x:v>data/synthetic/crm/policies.csv</x:v>
      </x:c>
      <x:c r="D436" s="8" t="str">
        <x:v>policy:TEST-PHV-2026-1601</x:v>
      </x:c>
      <x:c r="E436" s="8" t="str"/>
      <x:c r="F436" s="10" t="str">
        <x:v>Who holds this policy and what is its annual premium?</x:v>
      </x:c>
      <x:c r="G436" s="10" t="str">
        <x:v>Customer: Amira Hoffmann (amira.hoffmann@example.test). Policy number: TEST-PHV-2026-1601. Product type: Personal Liability. Coverage type: Liability. Status: Active. Start date: 2026-04-01. End date: 2027-03-31. Deductible: 0 EUR. Annual premium: 102 EUR.</x:v>
      </x:c>
      <x:c r="H436" s="10" t="str">
        <x:v>Lara Neumann holds it, and the annual premium is 102 EUR.</x:v>
      </x:c>
      <x:c r="I436" s="8" t="str">
        <x:v>liability</x:v>
      </x:c>
      <x:c r="J436" s="8" t="str">
        <x:v>CALIBRATION</x:v>
      </x:c>
      <x:c r="K436" s="10" t="str"/>
      <x:c r="L436" s="12" t="str"/>
      <x:c r="M436" s="12" t="str"/>
      <x:c r="N436" s="12" t="str"/>
      <x:c r="O436" s="12" t="str"/>
      <x:c r="P436" s="12" t="str"/>
    </x:row>
    <x:row r="437">
      <x:c r="A437" s="8" t="str">
        <x:v>ext-crm-fail-076</x:v>
      </x:c>
      <x:c r="B437" s="8" t="str">
        <x:v>synthetic_crm</x:v>
      </x:c>
      <x:c r="C437" s="8" t="str">
        <x:v>data/synthetic/crm/policies.csv</x:v>
      </x:c>
      <x:c r="D437" s="8" t="str">
        <x:v>policy:TEST-KFZ-2026-1701</x:v>
      </x:c>
      <x:c r="E437" s="8" t="str"/>
      <x:c r="F437" s="10" t="str">
        <x:v>Who holds this policy and what is its annual premium?</x:v>
      </x:c>
      <x:c r="G437" s="10" t="str">
        <x:v>Customer: Noah Weber (noah.weber@example.test). Policy number: TEST-KFZ-2026-1701. Product type: Motor Insurance. Coverage type: Partial Coverage. Status: Active. Start date: 2026-05-01. End date: 2027-04-30. Deductible: 300 EUR. Annual premium: 735 EUR.</x:v>
      </x:c>
      <x:c r="H437" s="10" t="str">
        <x:v>Lara Neumann holds it, and the annual premium is 735 EUR.</x:v>
      </x:c>
      <x:c r="I437" s="8" t="str">
        <x:v>motor</x:v>
      </x:c>
      <x:c r="J437" s="8" t="str">
        <x:v>CALIBRATION</x:v>
      </x:c>
      <x:c r="K437" s="10" t="str"/>
      <x:c r="L437" s="12" t="str"/>
      <x:c r="M437" s="12" t="str"/>
      <x:c r="N437" s="12" t="str"/>
      <x:c r="O437" s="12" t="str"/>
      <x:c r="P437" s="12" t="str"/>
    </x:row>
    <x:row r="438">
      <x:c r="A438" s="8" t="str">
        <x:v>ext-crm-fail-077</x:v>
      </x:c>
      <x:c r="B438" s="8" t="str">
        <x:v>synthetic_crm</x:v>
      </x:c>
      <x:c r="C438" s="8" t="str">
        <x:v>data/synthetic/crm/policies.csv</x:v>
      </x:c>
      <x:c r="D438" s="8" t="str">
        <x:v>policy:TEST-RS-2026-1702</x:v>
      </x:c>
      <x:c r="E438" s="8" t="str"/>
      <x:c r="F438" s="10" t="str">
        <x:v>Who holds this policy and what is its annual premium?</x:v>
      </x:c>
      <x:c r="G438" s="10" t="str">
        <x:v>Customer: Noah Weber (noah.weber@example.test). Policy number: TEST-RS-2026-1702. Product type: Legal Protection. Coverage type: Standard Coverage. Status: Active. Start date: 2026-05-01. End date: 2027-04-30. Deductible: 200 EUR. Annual premium: 310 EUR.</x:v>
      </x:c>
      <x:c r="H438" s="10" t="str">
        <x:v>Lara Neumann holds it, and the annual premium is 310 EUR.</x:v>
      </x:c>
      <x:c r="I438" s="8" t="str">
        <x:v>legal_protection</x:v>
      </x:c>
      <x:c r="J438" s="8" t="str">
        <x:v>CALIBRATION</x:v>
      </x:c>
      <x:c r="K438" s="10" t="str"/>
      <x:c r="L438" s="12" t="str"/>
      <x:c r="M438" s="12" t="str"/>
      <x:c r="N438" s="12" t="str"/>
      <x:c r="O438" s="12" t="str"/>
      <x:c r="P438" s="12" t="str"/>
    </x:row>
    <x:row r="439">
      <x:c r="A439" s="8" t="str">
        <x:v>ext-crm-fail-078</x:v>
      </x:c>
      <x:c r="B439" s="8" t="str">
        <x:v>synthetic_crm</x:v>
      </x:c>
      <x:c r="C439" s="8" t="str">
        <x:v>data/synthetic/crm/policies.csv</x:v>
      </x:c>
      <x:c r="D439" s="8" t="str">
        <x:v>policy:TEST-HH-2026-1801</x:v>
      </x:c>
      <x:c r="E439" s="8" t="str"/>
      <x:c r="F439" s="10" t="str">
        <x:v>Who holds this policy and what is its annual premium?</x:v>
      </x:c>
      <x:c r="G439" s="10" t="str">
        <x:v>Customer: Mila Hartmann (mila.hartmann@example.test). Policy number: TEST-HH-2026-1801. Product type: Household Insurance. Coverage type: Standard Coverage. Status: Pending. Start date: 2026-09-01. End date: 2027-08-31. Deductible: 250 EUR. Annual premium: 225 EUR.</x:v>
      </x:c>
      <x:c r="H439" s="10" t="str">
        <x:v>Lara Neumann holds it, and the annual premium is 225 EUR.</x:v>
      </x:c>
      <x:c r="I439" s="8" t="str">
        <x:v>household</x:v>
      </x:c>
      <x:c r="J439" s="8" t="str">
        <x:v>CALIBRATION</x:v>
      </x:c>
      <x:c r="K439" s="10" t="str"/>
      <x:c r="L439" s="12" t="str"/>
      <x:c r="M439" s="12" t="str"/>
      <x:c r="N439" s="12" t="str"/>
      <x:c r="O439" s="12" t="str"/>
      <x:c r="P439" s="12" t="str"/>
    </x:row>
    <x:row r="440">
      <x:c r="A440" s="8" t="str">
        <x:v>ext-crm-fail-079</x:v>
      </x:c>
      <x:c r="B440" s="8" t="str">
        <x:v>synthetic_crm</x:v>
      </x:c>
      <x:c r="C440" s="8" t="str">
        <x:v>data/synthetic/crm/policies.csv</x:v>
      </x:c>
      <x:c r="D440" s="8" t="str">
        <x:v>policy:TEST-KFZ-2026-1901</x:v>
      </x:c>
      <x:c r="E440" s="8" t="str"/>
      <x:c r="F440" s="10" t="str">
        <x:v>Who holds this policy and what is its annual premium?</x:v>
      </x:c>
      <x:c r="G440" s="10" t="str">
        <x:v>Customer: Leon Becker (leon.becker@example.test). Policy number: TEST-KFZ-2026-1901. Product type: Motor Insurance. Coverage type: Comprehensive Coverage. Status: Active. Start date: 2026-06-01. End date: 2027-05-31. Deductible: 500 EUR. Annual premium: 1290 EUR.</x:v>
      </x:c>
      <x:c r="H440" s="10" t="str">
        <x:v>Lara Neumann holds it, and the annual premium is 1290 EUR.</x:v>
      </x:c>
      <x:c r="I440" s="8" t="str">
        <x:v>motor</x:v>
      </x:c>
      <x:c r="J440" s="8" t="str">
        <x:v>CALIBRATION</x:v>
      </x:c>
      <x:c r="K440" s="10" t="str"/>
      <x:c r="L440" s="12" t="str"/>
      <x:c r="M440" s="12" t="str"/>
      <x:c r="N440" s="12" t="str"/>
      <x:c r="O440" s="12" t="str"/>
      <x:c r="P440" s="12" t="str"/>
    </x:row>
    <x:row r="441">
      <x:c r="A441" s="8" t="str">
        <x:v>ext-crm-fail-080</x:v>
      </x:c>
      <x:c r="B441" s="8" t="str">
        <x:v>synthetic_crm</x:v>
      </x:c>
      <x:c r="C441" s="8" t="str">
        <x:v>data/synthetic/crm/policies.csv</x:v>
      </x:c>
      <x:c r="D441" s="8" t="str">
        <x:v>policy:TEST-PHV-2026-1902</x:v>
      </x:c>
      <x:c r="E441" s="8" t="str"/>
      <x:c r="F441" s="10" t="str">
        <x:v>Who holds this policy and what is its annual premium?</x:v>
      </x:c>
      <x:c r="G441" s="10" t="str">
        <x:v>Customer: Leon Becker (leon.becker@example.test). Policy number: TEST-PHV-2026-1902. Product type: Personal Liability. Coverage type: Liability. Status: Active. Start date: 2026-06-01. End date: 2027-05-31. Deductible: 0 EUR. Annual premium: 108 EUR.</x:v>
      </x:c>
      <x:c r="H441" s="10" t="str">
        <x:v>Lara Neumann holds it, and the annual premium is 108 EUR.</x:v>
      </x:c>
      <x:c r="I441" s="8" t="str">
        <x:v>liability</x:v>
      </x:c>
      <x:c r="J441" s="8" t="str">
        <x:v>CALIBRATION</x:v>
      </x:c>
      <x:c r="K441" s="10" t="str"/>
      <x:c r="L441" s="12" t="str"/>
      <x:c r="M441" s="12" t="str"/>
      <x:c r="N441" s="12" t="str"/>
      <x:c r="O441" s="12" t="str"/>
      <x:c r="P441" s="12" t="str"/>
    </x:row>
    <x:row r="442">
      <x:c r="A442" s="8" t="str">
        <x:v>ext-crm-fail-081</x:v>
      </x:c>
      <x:c r="B442" s="8" t="str">
        <x:v>synthetic_crm</x:v>
      </x:c>
      <x:c r="C442" s="8" t="str">
        <x:v>data/synthetic/crm/policies.csv</x:v>
      </x:c>
      <x:c r="D442" s="8" t="str">
        <x:v>policy:TEST-KFZ-2026-1001</x:v>
      </x:c>
      <x:c r="E442" s="8" t="str"/>
      <x:c r="F442" s="10" t="str">
        <x:v>Which policy has the annual premium shown in the context?</x:v>
      </x:c>
      <x:c r="G442" s="10" t="str">
        <x:v>Customer: Lara Neumann (lara.neumann@example.test). Policy number: TEST-KFZ-2026-1001. Product type: Motor Insurance. Coverage type: Partial Coverage. Status: Active. Start date: 2026-01-01. End date: 2026-12-31. Deductible: 150 EUR. Annual premium: 684 EUR.</x:v>
      </x:c>
      <x:c r="H442" s="10" t="str">
        <x:v>The annual premium of 684 EUR belongs to policy TEST-PHV-2026-1002.</x:v>
      </x:c>
      <x:c r="I442" s="8" t="str">
        <x:v>motor</x:v>
      </x:c>
      <x:c r="J442" s="8" t="str">
        <x:v>CALIBRATION</x:v>
      </x:c>
      <x:c r="K442" s="10" t="str"/>
      <x:c r="L442" s="12" t="str"/>
      <x:c r="M442" s="12" t="str"/>
      <x:c r="N442" s="12" t="str"/>
      <x:c r="O442" s="12" t="str"/>
      <x:c r="P442" s="12" t="str"/>
    </x:row>
    <x:row r="443">
      <x:c r="A443" s="8" t="str">
        <x:v>ext-crm-fail-082</x:v>
      </x:c>
      <x:c r="B443" s="8" t="str">
        <x:v>synthetic_crm</x:v>
      </x:c>
      <x:c r="C443" s="8" t="str">
        <x:v>data/synthetic/crm/policies.csv</x:v>
      </x:c>
      <x:c r="D443" s="8" t="str">
        <x:v>policy:TEST-PHV-2026-1002</x:v>
      </x:c>
      <x:c r="E443" s="8" t="str"/>
      <x:c r="F443" s="10" t="str">
        <x:v>Which policy has the annual premium shown in the context?</x:v>
      </x:c>
      <x:c r="G443" s="10" t="str">
        <x:v>Customer: Lara Neumann (lara.neumann@example.test). Policy number: TEST-PHV-2026-1002. Product type: Personal Liability. Coverage type: Liability. Status: Active. Start date: 2026-01-01. End date: 2026-12-31. Deductible: 0 EUR. Annual premium: 96 EUR.</x:v>
      </x:c>
      <x:c r="H443" s="10" t="str">
        <x:v>The annual premium of 96 EUR belongs to policy TEST-KFZ-2026-1001.</x:v>
      </x:c>
      <x:c r="I443" s="8" t="str">
        <x:v>liability</x:v>
      </x:c>
      <x:c r="J443" s="8" t="str">
        <x:v>CALIBRATION</x:v>
      </x:c>
      <x:c r="K443" s="10" t="str"/>
      <x:c r="L443" s="12" t="str"/>
      <x:c r="M443" s="12" t="str"/>
      <x:c r="N443" s="12" t="str"/>
      <x:c r="O443" s="12" t="str"/>
      <x:c r="P443" s="12" t="str"/>
    </x:row>
    <x:row r="444">
      <x:c r="A444" s="8" t="str">
        <x:v>ext-crm-fail-083</x:v>
      </x:c>
      <x:c r="B444" s="8" t="str">
        <x:v>synthetic_crm</x:v>
      </x:c>
      <x:c r="C444" s="8" t="str">
        <x:v>data/synthetic/crm/policies.csv</x:v>
      </x:c>
      <x:c r="D444" s="8" t="str">
        <x:v>policy:TEST-KFZ-2026-1003</x:v>
      </x:c>
      <x:c r="E444" s="8" t="str"/>
      <x:c r="F444" s="10" t="str">
        <x:v>Which policy has the annual premium shown in the context?</x:v>
      </x:c>
      <x:c r="G444" s="10" t="str">
        <x:v>Customer: Lara Neumann (lara.neumann@example.test). Policy number: TEST-KFZ-2026-1003. Product type: Motor Insurance. Coverage type: Partial Coverage. Status: Active. Start date: 2026-07-01. End date: 2027-06-30. Deductible: 300 EUR. Annual premium: 720 EUR.</x:v>
      </x:c>
      <x:c r="H444" s="10" t="str">
        <x:v>The annual premium of 720 EUR belongs to policy TEST-KFZ-2026-1001.</x:v>
      </x:c>
      <x:c r="I444" s="8" t="str">
        <x:v>motor</x:v>
      </x:c>
      <x:c r="J444" s="8" t="str">
        <x:v>CALIBRATION</x:v>
      </x:c>
      <x:c r="K444" s="10" t="str"/>
      <x:c r="L444" s="12" t="str"/>
      <x:c r="M444" s="12" t="str"/>
      <x:c r="N444" s="12" t="str"/>
      <x:c r="O444" s="12" t="str"/>
      <x:c r="P444" s="12" t="str"/>
    </x:row>
    <x:row r="445">
      <x:c r="A445" s="8" t="str">
        <x:v>ext-crm-fail-084</x:v>
      </x:c>
      <x:c r="B445" s="8" t="str">
        <x:v>synthetic_crm</x:v>
      </x:c>
      <x:c r="C445" s="8" t="str">
        <x:v>data/synthetic/crm/policies.csv</x:v>
      </x:c>
      <x:c r="D445" s="8" t="str">
        <x:v>policy:TEST-KFZ-2026-1101</x:v>
      </x:c>
      <x:c r="E445" s="8" t="str"/>
      <x:c r="F445" s="10" t="str">
        <x:v>Which policy has the annual premium shown in the context?</x:v>
      </x:c>
      <x:c r="G445" s="10" t="str">
        <x:v>Customer: Oliver Brandt (oliver.brandt@example.test). Policy number: TEST-KFZ-2026-1101. Product type: Motor Insurance. Coverage type: Comprehensive Coverage. Status: Active. Start date: 2026-02-01. End date: 2027-01-31. Deductible: 300 EUR. Annual premium: 1120 EUR.</x:v>
      </x:c>
      <x:c r="H445" s="10" t="str">
        <x:v>The annual premium of 1120 EUR belongs to policy TEST-KFZ-2026-1001.</x:v>
      </x:c>
      <x:c r="I445" s="8" t="str">
        <x:v>motor</x:v>
      </x:c>
      <x:c r="J445" s="8" t="str">
        <x:v>CALIBRATION</x:v>
      </x:c>
      <x:c r="K445" s="10" t="str"/>
      <x:c r="L445" s="12" t="str"/>
      <x:c r="M445" s="12" t="str"/>
      <x:c r="N445" s="12" t="str"/>
      <x:c r="O445" s="12" t="str"/>
      <x:c r="P445" s="12" t="str"/>
    </x:row>
    <x:row r="446">
      <x:c r="A446" s="8" t="str">
        <x:v>ext-crm-fail-085</x:v>
      </x:c>
      <x:c r="B446" s="8" t="str">
        <x:v>synthetic_crm</x:v>
      </x:c>
      <x:c r="C446" s="8" t="str">
        <x:v>data/synthetic/crm/policies.csv</x:v>
      </x:c>
      <x:c r="D446" s="8" t="str">
        <x:v>policy:TEST-HH-2026-1201</x:v>
      </x:c>
      <x:c r="E446" s="8" t="str"/>
      <x:c r="F446" s="10" t="str">
        <x:v>Which policy has the annual premium shown in the context?</x:v>
      </x:c>
      <x:c r="G446" s="10" t="str">
        <x:v>Customer: Sophie Keller (sophie.keller@example.test). Policy number: TEST-HH-2026-1201. Product type: Household Insurance. Coverage type: Standard Coverage. Status: Active. Start date: 2026-01-15. End date: 2027-01-14. Deductible: 250 EUR. Annual premium: 210 EUR.</x:v>
      </x:c>
      <x:c r="H446" s="10" t="str">
        <x:v>The annual premium of 210 EUR belongs to policy TEST-KFZ-2026-1001.</x:v>
      </x:c>
      <x:c r="I446" s="8" t="str">
        <x:v>household</x:v>
      </x:c>
      <x:c r="J446" s="8" t="str">
        <x:v>CALIBRATION</x:v>
      </x:c>
      <x:c r="K446" s="10" t="str"/>
      <x:c r="L446" s="12" t="str"/>
      <x:c r="M446" s="12" t="str"/>
      <x:c r="N446" s="12" t="str"/>
      <x:c r="O446" s="12" t="str"/>
      <x:c r="P446" s="12" t="str"/>
    </x:row>
    <x:row r="447">
      <x:c r="A447" s="8" t="str">
        <x:v>ext-crm-fail-086</x:v>
      </x:c>
      <x:c r="B447" s="8" t="str">
        <x:v>synthetic_crm</x:v>
      </x:c>
      <x:c r="C447" s="8" t="str">
        <x:v>data/synthetic/crm/policies.csv</x:v>
      </x:c>
      <x:c r="D447" s="8" t="str">
        <x:v>policy:TEST-RS-2026-1202</x:v>
      </x:c>
      <x:c r="E447" s="8" t="str"/>
      <x:c r="F447" s="10" t="str">
        <x:v>Which policy has the annual premium shown in the context?</x:v>
      </x:c>
      <x:c r="G447" s="10" t="str">
        <x:v>Customer: Sophie Keller (sophie.keller@example.test). Policy number: TEST-RS-2026-1202. Product type: Legal Protection. Coverage type: Standard Coverage. Status: Pending. Start date: 2026-08-01. End date: 2027-07-31. Deductible: 150 EUR. Annual premium: 280 EUR.</x:v>
      </x:c>
      <x:c r="H447" s="10" t="str">
        <x:v>The annual premium of 280 EUR belongs to policy TEST-KFZ-2026-1001.</x:v>
      </x:c>
      <x:c r="I447" s="8" t="str">
        <x:v>legal_protection</x:v>
      </x:c>
      <x:c r="J447" s="8" t="str">
        <x:v>CALIBRATION</x:v>
      </x:c>
      <x:c r="K447" s="10" t="str"/>
      <x:c r="L447" s="12" t="str"/>
      <x:c r="M447" s="12" t="str"/>
      <x:c r="N447" s="12" t="str"/>
      <x:c r="O447" s="12" t="str"/>
      <x:c r="P447" s="12" t="str"/>
    </x:row>
    <x:row r="448">
      <x:c r="A448" s="8" t="str">
        <x:v>ext-crm-fail-087</x:v>
      </x:c>
      <x:c r="B448" s="8" t="str">
        <x:v>synthetic_crm</x:v>
      </x:c>
      <x:c r="C448" s="8" t="str">
        <x:v>data/synthetic/crm/policies.csv</x:v>
      </x:c>
      <x:c r="D448" s="8" t="str">
        <x:v>policy:TEST-PHV-2025-1301</x:v>
      </x:c>
      <x:c r="E448" s="8" t="str"/>
      <x:c r="F448" s="10" t="str">
        <x:v>Which policy has the annual premium shown in the context?</x:v>
      </x:c>
      <x:c r="G448" s="10" t="str">
        <x:v>Customer: Emil Fischer (emil.fischer@example.test). Policy number: TEST-PHV-2025-1301. Product type: Personal Liability. Coverage type: Liability. Status: Expired. Start date: 2025-01-01. End date: 2025-12-31. Deductible: 0 EUR. Annual premium: 84 EUR.</x:v>
      </x:c>
      <x:c r="H448" s="10" t="str">
        <x:v>The annual premium of 84 EUR belongs to policy TEST-KFZ-2026-1001.</x:v>
      </x:c>
      <x:c r="I448" s="8" t="str">
        <x:v>liability</x:v>
      </x:c>
      <x:c r="J448" s="8" t="str">
        <x:v>CALIBRATION</x:v>
      </x:c>
      <x:c r="K448" s="10" t="str"/>
      <x:c r="L448" s="12" t="str"/>
      <x:c r="M448" s="12" t="str"/>
      <x:c r="N448" s="12" t="str"/>
      <x:c r="O448" s="12" t="str"/>
      <x:c r="P448" s="12" t="str"/>
    </x:row>
    <x:row r="449">
      <x:c r="A449" s="8" t="str">
        <x:v>ext-crm-fail-088</x:v>
      </x:c>
      <x:c r="B449" s="8" t="str">
        <x:v>synthetic_crm</x:v>
      </x:c>
      <x:c r="C449" s="8" t="str">
        <x:v>data/synthetic/crm/policies.csv</x:v>
      </x:c>
      <x:c r="D449" s="8" t="str">
        <x:v>policy:TEST-KFZ-2026-1401</x:v>
      </x:c>
      <x:c r="E449" s="8" t="str"/>
      <x:c r="F449" s="10" t="str">
        <x:v>Which policy has the annual premium shown in the context?</x:v>
      </x:c>
      <x:c r="G449" s="10" t="str">
        <x:v>Customer: Hannah Vogel (hannah.vogel@example.test). Policy number: TEST-KFZ-2026-1401. Product type: Motor Insurance. Coverage type: Liability. Status: Active. Start date: 2026-03-01. End date: 2027-02-28. Deductible: 500 EUR. Annual premium: 520 EUR.</x:v>
      </x:c>
      <x:c r="H449" s="10" t="str">
        <x:v>The annual premium of 520 EUR belongs to policy TEST-KFZ-2026-1001.</x:v>
      </x:c>
      <x:c r="I449" s="8" t="str">
        <x:v>motor</x:v>
      </x:c>
      <x:c r="J449" s="8" t="str">
        <x:v>CALIBRATION</x:v>
      </x:c>
      <x:c r="K449" s="10" t="str"/>
      <x:c r="L449" s="12" t="str"/>
      <x:c r="M449" s="12" t="str"/>
      <x:c r="N449" s="12" t="str"/>
      <x:c r="O449" s="12" t="str"/>
      <x:c r="P449" s="12" t="str"/>
    </x:row>
    <x:row r="450">
      <x:c r="A450" s="8" t="str">
        <x:v>ext-crm-fail-089</x:v>
      </x:c>
      <x:c r="B450" s="8" t="str">
        <x:v>synthetic_crm</x:v>
      </x:c>
      <x:c r="C450" s="8" t="str">
        <x:v>data/synthetic/crm/policies.csv</x:v>
      </x:c>
      <x:c r="D450" s="8" t="str">
        <x:v>policy:TEST-HH-2026-1402</x:v>
      </x:c>
      <x:c r="E450" s="8" t="str"/>
      <x:c r="F450" s="10" t="str">
        <x:v>Which policy has the annual premium shown in the context?</x:v>
      </x:c>
      <x:c r="G450" s="10" t="str">
        <x:v>Customer: Hannah Vogel (hannah.vogel@example.test). Policy number: TEST-HH-2026-1402. Product type: Household Insurance. Coverage type: Standard Coverage. Status: Active. Start date: 2026-03-01. End date: 2027-02-28. Deductible: 200 EUR. Annual premium: 195 EUR.</x:v>
      </x:c>
      <x:c r="H450" s="10" t="str">
        <x:v>The annual premium of 195 EUR belongs to policy TEST-KFZ-2026-1001.</x:v>
      </x:c>
      <x:c r="I450" s="8" t="str">
        <x:v>household</x:v>
      </x:c>
      <x:c r="J450" s="8" t="str">
        <x:v>CALIBRATION</x:v>
      </x:c>
      <x:c r="K450" s="10" t="str"/>
      <x:c r="L450" s="12" t="str"/>
      <x:c r="M450" s="12" t="str"/>
      <x:c r="N450" s="12" t="str"/>
      <x:c r="O450" s="12" t="str"/>
      <x:c r="P450" s="12" t="str"/>
    </x:row>
    <x:row r="451">
      <x:c r="A451" s="8" t="str">
        <x:v>ext-crm-fail-090</x:v>
      </x:c>
      <x:c r="B451" s="8" t="str">
        <x:v>synthetic_crm</x:v>
      </x:c>
      <x:c r="C451" s="8" t="str">
        <x:v>data/synthetic/crm/policies.csv</x:v>
      </x:c>
      <x:c r="D451" s="8" t="str">
        <x:v>policy:TEST-RS-2026-1501</x:v>
      </x:c>
      <x:c r="E451" s="8" t="str"/>
      <x:c r="F451" s="10" t="str">
        <x:v>Which policy has the annual premium shown in the context?</x:v>
      </x:c>
      <x:c r="G451" s="10" t="str">
        <x:v>Customer: Jonas Richter (jonas.richter@example.test). Policy number: TEST-RS-2026-1501. Product type: Legal Protection. Coverage type: Standard Coverage. Status: Cancelled. Start date: 2026-01-01. End date: 2026-06-30. Deductible: 150 EUR. Annual premium: 260 EUR.</x:v>
      </x:c>
      <x:c r="H451" s="10" t="str">
        <x:v>The annual premium of 260 EUR belongs to policy TEST-KFZ-2026-1001.</x:v>
      </x:c>
      <x:c r="I451" s="8" t="str">
        <x:v>legal_protection</x:v>
      </x:c>
      <x:c r="J451" s="8" t="str">
        <x:v>CALIBRATION</x:v>
      </x:c>
      <x:c r="K451" s="10" t="str"/>
      <x:c r="L451" s="12" t="str"/>
      <x:c r="M451" s="12" t="str"/>
      <x:c r="N451" s="12" t="str"/>
      <x:c r="O451" s="12" t="str"/>
      <x:c r="P451" s="12" t="str"/>
    </x:row>
    <x:row r="452">
      <x:c r="A452" s="8" t="str">
        <x:v>ext-crm-fail-091</x:v>
      </x:c>
      <x:c r="B452" s="8" t="str">
        <x:v>synthetic_crm</x:v>
      </x:c>
      <x:c r="C452" s="8" t="str">
        <x:v>data/synthetic/crm/policies.csv</x:v>
      </x:c>
      <x:c r="D452" s="8" t="str">
        <x:v>customer:lara.neumann@example.test</x:v>
      </x:c>
      <x:c r="E452" s="8" t="str"/>
      <x:c r="F452" s="10" t="str">
        <x:v>As of 2026-08-01, what is Lara Neumann's current motor policy and its applicable details?</x:v>
      </x:c>
      <x:c r="G452"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2" s="10" t="str">
        <x:v>Lara Neumann's current motor policy is TEST-KFZ-2026-1001 with a 150 EUR deductible and a 684 EUR annual premium.</x:v>
      </x:c>
      <x:c r="I452" s="8" t="str">
        <x:v>motor</x:v>
      </x:c>
      <x:c r="J452" s="8" t="str">
        <x:v>CALIBRATION</x:v>
      </x:c>
      <x:c r="K452" s="10" t="str">
        <x:v>exact_duplicate_triplet</x:v>
      </x:c>
      <x:c r="L452" s="12" t="str"/>
      <x:c r="M452" s="12" t="str"/>
      <x:c r="N452" s="12" t="str"/>
      <x:c r="O452" s="12" t="str"/>
      <x:c r="P452" s="12" t="str"/>
    </x:row>
    <x:row r="453">
      <x:c r="A453" s="8" t="str">
        <x:v>ext-crm-fail-092</x:v>
      </x:c>
      <x:c r="B453" s="8" t="str">
        <x:v>synthetic_crm</x:v>
      </x:c>
      <x:c r="C453" s="8" t="str">
        <x:v>data/synthetic/crm/policies.csv</x:v>
      </x:c>
      <x:c r="D453" s="8" t="str">
        <x:v>customer:lara.neumann@example.test</x:v>
      </x:c>
      <x:c r="E453" s="8" t="str"/>
      <x:c r="F453" s="10" t="str">
        <x:v>As of 2026-08-01, what is Lara Neumann's current motor policy and its applicable details?</x:v>
      </x:c>
      <x:c r="G453"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3" s="10" t="str">
        <x:v>The current motor contract is TEST-KFZ-2026-1001.</x:v>
      </x:c>
      <x:c r="I453" s="8" t="str">
        <x:v>motor</x:v>
      </x:c>
      <x:c r="J453" s="8" t="str">
        <x:v>CALIBRATION</x:v>
      </x:c>
      <x:c r="K453" s="10" t="str">
        <x:v>exact_duplicate_triplet</x:v>
      </x:c>
      <x:c r="L453" s="12" t="str"/>
      <x:c r="M453" s="12" t="str"/>
      <x:c r="N453" s="12" t="str"/>
      <x:c r="O453" s="12" t="str"/>
      <x:c r="P453" s="12" t="str"/>
    </x:row>
    <x:row r="454">
      <x:c r="A454" s="8" t="str">
        <x:v>ext-crm-fail-093</x:v>
      </x:c>
      <x:c r="B454" s="8" t="str">
        <x:v>synthetic_crm</x:v>
      </x:c>
      <x:c r="C454" s="8" t="str">
        <x:v>data/synthetic/crm/policies.csv</x:v>
      </x:c>
      <x:c r="D454" s="8" t="str">
        <x:v>customer:lara.neumann@example.test</x:v>
      </x:c>
      <x:c r="E454" s="8" t="str"/>
      <x:c r="F454" s="10" t="str">
        <x:v>As of 2026-08-01, what is Lara Neumann's current motor policy and its applicable details?</x:v>
      </x:c>
      <x:c r="G454"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4" s="10" t="str">
        <x:v>The deductible of Lara Neumann's current motor policy is 150 EUR.</x:v>
      </x:c>
      <x:c r="I454" s="8" t="str">
        <x:v>motor</x:v>
      </x:c>
      <x:c r="J454" s="8" t="str">
        <x:v>CALIBRATION</x:v>
      </x:c>
      <x:c r="K454" s="10" t="str">
        <x:v>exact_duplicate_triplet</x:v>
      </x:c>
      <x:c r="L454" s="12" t="str"/>
      <x:c r="M454" s="12" t="str"/>
      <x:c r="N454" s="12" t="str"/>
      <x:c r="O454" s="12" t="str"/>
      <x:c r="P454" s="12" t="str"/>
    </x:row>
    <x:row r="455">
      <x:c r="A455" s="8" t="str">
        <x:v>ext-crm-fail-094</x:v>
      </x:c>
      <x:c r="B455" s="8" t="str">
        <x:v>synthetic_crm</x:v>
      </x:c>
      <x:c r="C455" s="8" t="str">
        <x:v>data/synthetic/crm/policies.csv</x:v>
      </x:c>
      <x:c r="D455" s="8" t="str">
        <x:v>customer:lara.neumann@example.test</x:v>
      </x:c>
      <x:c r="E455" s="8" t="str"/>
      <x:c r="F455" s="10" t="str">
        <x:v>As of 2026-08-01, what is Lara Neumann's current motor policy and its applicable details?</x:v>
      </x:c>
      <x:c r="G455"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5" s="10" t="str">
        <x:v>The annual premium of Lara Neumann's current motor policy is 684 EUR.</x:v>
      </x:c>
      <x:c r="I455" s="8" t="str">
        <x:v>motor</x:v>
      </x:c>
      <x:c r="J455" s="8" t="str">
        <x:v>CALIBRATION</x:v>
      </x:c>
      <x:c r="K455" s="10" t="str">
        <x:v>exact_duplicate_triplet</x:v>
      </x:c>
      <x:c r="L455" s="12" t="str"/>
      <x:c r="M455" s="12" t="str"/>
      <x:c r="N455" s="12" t="str"/>
      <x:c r="O455" s="12" t="str"/>
      <x:c r="P455" s="12" t="str"/>
    </x:row>
    <x:row r="456">
      <x:c r="A456" s="8" t="str">
        <x:v>ext-crm-fail-095</x:v>
      </x:c>
      <x:c r="B456" s="8" t="str">
        <x:v>synthetic_crm</x:v>
      </x:c>
      <x:c r="C456" s="8" t="str">
        <x:v>data/synthetic/crm/policies.csv</x:v>
      </x:c>
      <x:c r="D456" s="8" t="str">
        <x:v>customer:lara.neumann@example.test</x:v>
      </x:c>
      <x:c r="E456" s="8" t="str"/>
      <x:c r="F456" s="10" t="str">
        <x:v>As of 2026-08-01, what is Lara Neumann's current motor policy and its applicable details?</x:v>
      </x:c>
      <x:c r="G456"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6" s="10" t="str">
        <x:v>As of 2026-08-01, policy TEST-KFZ-2026-1001 is the current motor policy.</x:v>
      </x:c>
      <x:c r="I456" s="8" t="str">
        <x:v>motor</x:v>
      </x:c>
      <x:c r="J456" s="8" t="str">
        <x:v>CALIBRATION</x:v>
      </x:c>
      <x:c r="K456" s="10" t="str">
        <x:v>exact_duplicate_triplet</x:v>
      </x:c>
      <x:c r="L456" s="12" t="str"/>
      <x:c r="M456" s="12" t="str"/>
      <x:c r="N456" s="12" t="str"/>
      <x:c r="O456" s="12" t="str"/>
      <x:c r="P456" s="12" t="str"/>
    </x:row>
    <x:row r="457">
      <x:c r="A457" s="8" t="str">
        <x:v>ext-crm-fail-096</x:v>
      </x:c>
      <x:c r="B457" s="8" t="str">
        <x:v>synthetic_crm</x:v>
      </x:c>
      <x:c r="C457" s="8" t="str">
        <x:v>data/synthetic/crm/policies.csv</x:v>
      </x:c>
      <x:c r="D457" s="8" t="str">
        <x:v>customer:lara.neumann@example.test</x:v>
      </x:c>
      <x:c r="E457" s="8" t="str"/>
      <x:c r="F457" s="10" t="str">
        <x:v>As of 2026-08-01, what is Lara Neumann's current motor policy and its applicable details?</x:v>
      </x:c>
      <x:c r="G457"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7" s="10" t="str">
        <x:v>Lara Neumann's current motor policy is TEST-KFZ-2026-1001 with a 150 EUR deductible and a 684 EUR annual premium.</x:v>
      </x:c>
      <x:c r="I457" s="8" t="str">
        <x:v>motor</x:v>
      </x:c>
      <x:c r="J457" s="8" t="str">
        <x:v>CALIBRATION</x:v>
      </x:c>
      <x:c r="K457" s="10" t="str">
        <x:v>exact_duplicate_triplet</x:v>
      </x:c>
      <x:c r="L457" s="12" t="str"/>
      <x:c r="M457" s="12" t="str"/>
      <x:c r="N457" s="12" t="str"/>
      <x:c r="O457" s="12" t="str"/>
      <x:c r="P457" s="12" t="str"/>
    </x:row>
    <x:row r="458">
      <x:c r="A458" s="8" t="str">
        <x:v>ext-crm-fail-097</x:v>
      </x:c>
      <x:c r="B458" s="8" t="str">
        <x:v>synthetic_crm</x:v>
      </x:c>
      <x:c r="C458" s="8" t="str">
        <x:v>data/synthetic/crm/policies.csv</x:v>
      </x:c>
      <x:c r="D458" s="8" t="str">
        <x:v>customer:lara.neumann@example.test</x:v>
      </x:c>
      <x:c r="E458" s="8" t="str"/>
      <x:c r="F458" s="10" t="str">
        <x:v>As of 2026-08-01, what is Lara Neumann's current motor policy and its applicable details?</x:v>
      </x:c>
      <x:c r="G458"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8" s="10" t="str">
        <x:v>The current motor contract is TEST-KFZ-2026-1001.</x:v>
      </x:c>
      <x:c r="I458" s="8" t="str">
        <x:v>motor</x:v>
      </x:c>
      <x:c r="J458" s="8" t="str">
        <x:v>CALIBRATION</x:v>
      </x:c>
      <x:c r="K458" s="10" t="str">
        <x:v>exact_duplicate_triplet</x:v>
      </x:c>
      <x:c r="L458" s="12" t="str"/>
      <x:c r="M458" s="12" t="str"/>
      <x:c r="N458" s="12" t="str"/>
      <x:c r="O458" s="12" t="str"/>
      <x:c r="P458" s="12" t="str"/>
    </x:row>
    <x:row r="459">
      <x:c r="A459" s="8" t="str">
        <x:v>ext-crm-fail-098</x:v>
      </x:c>
      <x:c r="B459" s="8" t="str">
        <x:v>synthetic_crm</x:v>
      </x:c>
      <x:c r="C459" s="8" t="str">
        <x:v>data/synthetic/crm/policies.csv</x:v>
      </x:c>
      <x:c r="D459" s="8" t="str">
        <x:v>customer:lara.neumann@example.test</x:v>
      </x:c>
      <x:c r="E459" s="8" t="str"/>
      <x:c r="F459" s="10" t="str">
        <x:v>As of 2026-08-01, what is Lara Neumann's current motor policy and its applicable details?</x:v>
      </x:c>
      <x:c r="G459"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9" s="10" t="str">
        <x:v>The deductible of Lara Neumann's current motor policy is 150 EUR.</x:v>
      </x:c>
      <x:c r="I459" s="8" t="str">
        <x:v>motor</x:v>
      </x:c>
      <x:c r="J459" s="8" t="str">
        <x:v>CALIBRATION</x:v>
      </x:c>
      <x:c r="K459" s="10" t="str">
        <x:v>exact_duplicate_triplet</x:v>
      </x:c>
      <x:c r="L459" s="12" t="str"/>
      <x:c r="M459" s="12" t="str"/>
      <x:c r="N459" s="12" t="str"/>
      <x:c r="O459" s="12" t="str"/>
      <x:c r="P459" s="12" t="str"/>
    </x:row>
    <x:row r="460">
      <x:c r="A460" s="8" t="str">
        <x:v>ext-crm-fail-099</x:v>
      </x:c>
      <x:c r="B460" s="8" t="str">
        <x:v>synthetic_crm</x:v>
      </x:c>
      <x:c r="C460" s="8" t="str">
        <x:v>data/synthetic/crm/policies.csv</x:v>
      </x:c>
      <x:c r="D460" s="8" t="str">
        <x:v>customer:lara.neumann@example.test</x:v>
      </x:c>
      <x:c r="E460" s="8" t="str"/>
      <x:c r="F460" s="10" t="str">
        <x:v>As of 2026-08-01, what is Lara Neumann's current motor policy and its applicable details?</x:v>
      </x:c>
      <x:c r="G460"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60" s="10" t="str">
        <x:v>The annual premium of Lara Neumann's current motor policy is 684 EUR.</x:v>
      </x:c>
      <x:c r="I460" s="8" t="str">
        <x:v>motor</x:v>
      </x:c>
      <x:c r="J460" s="8" t="str">
        <x:v>CALIBRATION</x:v>
      </x:c>
      <x:c r="K460" s="10" t="str">
        <x:v>exact_duplicate_triplet</x:v>
      </x:c>
      <x:c r="L460" s="12" t="str"/>
      <x:c r="M460" s="12" t="str"/>
      <x:c r="N460" s="12" t="str"/>
      <x:c r="O460" s="12" t="str"/>
      <x:c r="P460" s="12" t="str"/>
    </x:row>
    <x:row r="461">
      <x:c r="A461" s="8" t="str">
        <x:v>ext-crm-fail-100</x:v>
      </x:c>
      <x:c r="B461" s="8" t="str">
        <x:v>synthetic_crm</x:v>
      </x:c>
      <x:c r="C461" s="8" t="str">
        <x:v>data/synthetic/crm/policies.csv</x:v>
      </x:c>
      <x:c r="D461" s="8" t="str">
        <x:v>customer:lara.neumann@example.test</x:v>
      </x:c>
      <x:c r="E461" s="8" t="str"/>
      <x:c r="F461" s="10" t="str">
        <x:v>As of 2026-08-01, what is Lara Neumann's current motor policy and its applicable details?</x:v>
      </x:c>
      <x:c r="G461"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61" s="10" t="str">
        <x:v>As of 2026-08-01, policy TEST-KFZ-2026-1001 is the current motor policy.</x:v>
      </x:c>
      <x:c r="I461" s="8" t="str">
        <x:v>motor</x:v>
      </x:c>
      <x:c r="J461" s="8" t="str">
        <x:v>CALIBRATION</x:v>
      </x:c>
      <x:c r="K461" s="10" t="str">
        <x:v>exact_duplicate_triplet</x:v>
      </x:c>
      <x:c r="L461" s="12" t="str"/>
      <x:c r="M461" s="12" t="str"/>
      <x:c r="N461" s="12" t="str"/>
      <x:c r="O461" s="12" t="str"/>
      <x:c r="P461" s="12" t="str"/>
    </x:row>
    <x:row r="462">
      <x:c r="A462" s="8" t="str">
        <x:v>ext-crm-fail-101</x:v>
      </x:c>
      <x:c r="B462" s="8" t="str">
        <x:v>synthetic_crm</x:v>
      </x:c>
      <x:c r="C462" s="8" t="str">
        <x:v>data/synthetic/crm/claims.csv</x:v>
      </x:c>
      <x:c r="D462" s="8" t="str">
        <x:v>claim:TEST-CLM-2026-2001</x:v>
      </x:c>
      <x:c r="E462" s="8" t="str"/>
      <x:c r="F462" s="10" t="str">
        <x:v>Has this claim been approved or rejected according to the stored claim record?</x:v>
      </x:c>
      <x:c r="G462" s="10" t="str">
        <x:v>Customer: Lara Neumann. Claim number: TEST-CLM-2026-2001. Policy number: TEST-KFZ-2026-1001. Damage type: Glass Damage. Claimed amount: 780 EUR. Current status: Under Review.</x:v>
      </x:c>
      <x:c r="H462" s="10" t="str">
        <x:v>The claim decision is Approved.</x:v>
      </x:c>
      <x:c r="I462" s="8" t="str">
        <x:v>motor</x:v>
      </x:c>
      <x:c r="J462" s="8" t="str">
        <x:v>CALIBRATION</x:v>
      </x:c>
      <x:c r="K462" s="10" t="str">
        <x:v>exact_duplicate_triplet</x:v>
      </x:c>
      <x:c r="L462" s="12" t="str"/>
      <x:c r="M462" s="12" t="str"/>
      <x:c r="N462" s="12" t="str"/>
      <x:c r="O462" s="12" t="str"/>
      <x:c r="P462" s="12" t="str"/>
    </x:row>
    <x:row r="463">
      <x:c r="A463" s="8" t="str">
        <x:v>ext-crm-fail-102</x:v>
      </x:c>
      <x:c r="B463" s="8" t="str">
        <x:v>synthetic_crm</x:v>
      </x:c>
      <x:c r="C463" s="8" t="str">
        <x:v>data/synthetic/crm/claims.csv</x:v>
      </x:c>
      <x:c r="D463" s="8" t="str">
        <x:v>claim:TEST-CLM-2026-2101</x:v>
      </x:c>
      <x:c r="E463" s="8" t="str"/>
      <x:c r="F463" s="10" t="str">
        <x:v>Has this claim been approved or rejected according to the stored claim record?</x:v>
      </x:c>
      <x:c r="G463" s="10" t="str">
        <x:v>Customer: Oliver Brandt. Claim number: TEST-CLM-2026-2101. Policy number: TEST-KFZ-2026-1101. Damage type: Parking Damage. Claimed amount: 2350 EUR. Current status: Approved.</x:v>
      </x:c>
      <x:c r="H463" s="10" t="str">
        <x:v>The claim decision is Rejected.</x:v>
      </x:c>
      <x:c r="I463" s="8" t="str">
        <x:v>motor</x:v>
      </x:c>
      <x:c r="J463" s="8" t="str">
        <x:v>CALIBRATION</x:v>
      </x:c>
      <x:c r="K463" s="10" t="str">
        <x:v>exact_duplicate_triplet</x:v>
      </x:c>
      <x:c r="L463" s="12" t="str"/>
      <x:c r="M463" s="12" t="str"/>
      <x:c r="N463" s="12" t="str"/>
      <x:c r="O463" s="12" t="str"/>
      <x:c r="P463" s="12" t="str"/>
    </x:row>
    <x:row r="464">
      <x:c r="A464" s="8" t="str">
        <x:v>ext-crm-fail-103</x:v>
      </x:c>
      <x:c r="B464" s="8" t="str">
        <x:v>synthetic_crm</x:v>
      </x:c>
      <x:c r="C464" s="8" t="str">
        <x:v>data/synthetic/crm/claims.csv</x:v>
      </x:c>
      <x:c r="D464" s="8" t="str">
        <x:v>claim:TEST-CLM-2026-2201</x:v>
      </x:c>
      <x:c r="E464" s="8" t="str"/>
      <x:c r="F464" s="10" t="str">
        <x:v>Has this claim been approved or rejected according to the stored claim record?</x:v>
      </x:c>
      <x:c r="G464" s="10" t="str">
        <x:v>Customer: Sophie Keller. Claim number: TEST-CLM-2026-2201. Policy number: TEST-HH-2026-1201. Damage type: Water Damage. Claimed amount: 1800 EUR. Current status: Paid.</x:v>
      </x:c>
      <x:c r="H464" s="10" t="str">
        <x:v>The claim decision is Approved.</x:v>
      </x:c>
      <x:c r="I464" s="8" t="str">
        <x:v>household</x:v>
      </x:c>
      <x:c r="J464" s="8" t="str">
        <x:v>CALIBRATION</x:v>
      </x:c>
      <x:c r="K464" s="10" t="str"/>
      <x:c r="L464" s="12" t="str"/>
      <x:c r="M464" s="12" t="str"/>
      <x:c r="N464" s="12" t="str"/>
      <x:c r="O464" s="12" t="str"/>
      <x:c r="P464" s="12" t="str"/>
    </x:row>
    <x:row r="465">
      <x:c r="A465" s="8" t="str">
        <x:v>ext-crm-fail-104</x:v>
      </x:c>
      <x:c r="B465" s="8" t="str">
        <x:v>synthetic_crm</x:v>
      </x:c>
      <x:c r="C465" s="8" t="str">
        <x:v>data/synthetic/crm/claims.csv</x:v>
      </x:c>
      <x:c r="D465" s="8" t="str">
        <x:v>claim:TEST-CLM-2026-2301</x:v>
      </x:c>
      <x:c r="E465" s="8" t="str"/>
      <x:c r="F465" s="10" t="str">
        <x:v>Has this claim been approved or rejected according to the stored claim record?</x:v>
      </x:c>
      <x:c r="G465" s="10" t="str">
        <x:v>Customer: Hannah Vogel. Claim number: TEST-CLM-2026-2301. Policy number: TEST-KFZ-2026-1401. Damage type: Liability Damage. Claimed amount: 4100 EUR. Current status: Open.</x:v>
      </x:c>
      <x:c r="H465" s="10" t="str">
        <x:v>The claim decision is Approved.</x:v>
      </x:c>
      <x:c r="I465" s="8" t="str">
        <x:v>motor</x:v>
      </x:c>
      <x:c r="J465" s="8" t="str">
        <x:v>CALIBRATION</x:v>
      </x:c>
      <x:c r="K465" s="10" t="str"/>
      <x:c r="L465" s="12" t="str"/>
      <x:c r="M465" s="12" t="str"/>
      <x:c r="N465" s="12" t="str"/>
      <x:c r="O465" s="12" t="str"/>
      <x:c r="P465" s="12" t="str"/>
    </x:row>
    <x:row r="466">
      <x:c r="A466" s="8" t="str">
        <x:v>ext-crm-fail-105</x:v>
      </x:c>
      <x:c r="B466" s="8" t="str">
        <x:v>synthetic_crm</x:v>
      </x:c>
      <x:c r="C466" s="8" t="str">
        <x:v>data/synthetic/crm/claims.csv</x:v>
      </x:c>
      <x:c r="D466" s="8" t="str">
        <x:v>claim:TEST-CLM-2026-2401</x:v>
      </x:c>
      <x:c r="E466" s="8" t="str"/>
      <x:c r="F466" s="10" t="str">
        <x:v>Has this claim been approved or rejected according to the stored claim record?</x:v>
      </x:c>
      <x:c r="G466" s="10" t="str">
        <x:v>Customer: Amira Hoffmann. Claim number: TEST-CLM-2026-2401. Policy number: TEST-PHV-2026-1601. Damage type: Personal Liability. Claimed amount: 640 EUR. Current status: Rejected.</x:v>
      </x:c>
      <x:c r="H466" s="10" t="str">
        <x:v>The claim decision is Approved.</x:v>
      </x:c>
      <x:c r="I466" s="8" t="str">
        <x:v>liability</x:v>
      </x:c>
      <x:c r="J466" s="8" t="str">
        <x:v>CALIBRATION</x:v>
      </x:c>
      <x:c r="K466" s="10" t="str"/>
      <x:c r="L466" s="12" t="str"/>
      <x:c r="M466" s="12" t="str"/>
      <x:c r="N466" s="12" t="str"/>
      <x:c r="O466" s="12" t="str"/>
      <x:c r="P466" s="12" t="str"/>
    </x:row>
    <x:row r="467">
      <x:c r="A467" s="8" t="str">
        <x:v>ext-crm-fail-106</x:v>
      </x:c>
      <x:c r="B467" s="8" t="str">
        <x:v>synthetic_crm</x:v>
      </x:c>
      <x:c r="C467" s="8" t="str">
        <x:v>data/synthetic/crm/claims.csv</x:v>
      </x:c>
      <x:c r="D467" s="8" t="str">
        <x:v>claim:TEST-CLM-2026-2501</x:v>
      </x:c>
      <x:c r="E467" s="8" t="str"/>
      <x:c r="F467" s="10" t="str">
        <x:v>Has this claim been approved or rejected according to the stored claim record?</x:v>
      </x:c>
      <x:c r="G467" s="10" t="str">
        <x:v>Customer: Noah Weber. Claim number: TEST-CLM-2026-2501. Policy number: TEST-KFZ-2026-1701. Damage type: Theft. Claimed amount: 9200 EUR. Current status: Under Review.</x:v>
      </x:c>
      <x:c r="H467" s="10" t="str">
        <x:v>The claim decision is Approved.</x:v>
      </x:c>
      <x:c r="I467" s="8" t="str">
        <x:v>motor</x:v>
      </x:c>
      <x:c r="J467" s="8" t="str">
        <x:v>CALIBRATION</x:v>
      </x:c>
      <x:c r="K467" s="10" t="str"/>
      <x:c r="L467" s="12" t="str"/>
      <x:c r="M467" s="12" t="str"/>
      <x:c r="N467" s="12" t="str"/>
      <x:c r="O467" s="12" t="str"/>
      <x:c r="P467" s="12" t="str"/>
    </x:row>
    <x:row r="468">
      <x:c r="A468" s="8" t="str">
        <x:v>ext-crm-fail-107</x:v>
      </x:c>
      <x:c r="B468" s="8" t="str">
        <x:v>synthetic_crm</x:v>
      </x:c>
      <x:c r="C468" s="8" t="str">
        <x:v>data/synthetic/crm/claims.csv</x:v>
      </x:c>
      <x:c r="D468" s="8" t="str">
        <x:v>claim:TEST-CLM-2026-2601</x:v>
      </x:c>
      <x:c r="E468" s="8" t="str"/>
      <x:c r="F468" s="10" t="str">
        <x:v>Has this claim been approved or rejected according to the stored claim record?</x:v>
      </x:c>
      <x:c r="G468" s="10" t="str">
        <x:v>Customer: Leon Becker. Claim number: TEST-CLM-2026-2601. Policy number: TEST-KFZ-2026-1901. Damage type: Collision. Claimed amount: 6700 EUR. Current status: Approved.</x:v>
      </x:c>
      <x:c r="H468" s="10" t="str">
        <x:v>The claim decision is Rejected.</x:v>
      </x:c>
      <x:c r="I468" s="8" t="str">
        <x:v>motor</x:v>
      </x:c>
      <x:c r="J468" s="8" t="str">
        <x:v>CALIBRATION</x:v>
      </x:c>
      <x:c r="K468" s="10" t="str"/>
      <x:c r="L468" s="12" t="str"/>
      <x:c r="M468" s="12" t="str"/>
      <x:c r="N468" s="12" t="str"/>
      <x:c r="O468" s="12" t="str"/>
      <x:c r="P468" s="12" t="str"/>
    </x:row>
    <x:row r="469">
      <x:c r="A469" s="8" t="str">
        <x:v>ext-crm-fail-108</x:v>
      </x:c>
      <x:c r="B469" s="8" t="str">
        <x:v>synthetic_crm</x:v>
      </x:c>
      <x:c r="C469" s="8" t="str">
        <x:v>data/synthetic/crm/claims.csv</x:v>
      </x:c>
      <x:c r="D469" s="8" t="str">
        <x:v>claim:TEST-CLM-2026-2602</x:v>
      </x:c>
      <x:c r="E469" s="8" t="str"/>
      <x:c r="F469" s="10" t="str">
        <x:v>Has this claim been approved or rejected according to the stored claim record?</x:v>
      </x:c>
      <x:c r="G469" s="10" t="str">
        <x:v>Customer: Leon Becker. Claim number: TEST-CLM-2026-2602. Policy number: TEST-PHV-2026-1902. Damage type: Property Damage. Claimed amount: 950 EUR. Current status: Closed.</x:v>
      </x:c>
      <x:c r="H469" s="10" t="str">
        <x:v>The claim decision is Approved.</x:v>
      </x:c>
      <x:c r="I469" s="8" t="str">
        <x:v>liability</x:v>
      </x:c>
      <x:c r="J469" s="8" t="str">
        <x:v>CALIBRATION</x:v>
      </x:c>
      <x:c r="K469" s="10" t="str"/>
      <x:c r="L469" s="12" t="str"/>
      <x:c r="M469" s="12" t="str"/>
      <x:c r="N469" s="12" t="str"/>
      <x:c r="O469" s="12" t="str"/>
      <x:c r="P469" s="12" t="str"/>
    </x:row>
    <x:row r="470">
      <x:c r="A470" s="8" t="str">
        <x:v>ext-crm-fail-109</x:v>
      </x:c>
      <x:c r="B470" s="8" t="str">
        <x:v>synthetic_crm</x:v>
      </x:c>
      <x:c r="C470" s="8" t="str">
        <x:v>data/synthetic/crm/claims.csv</x:v>
      </x:c>
      <x:c r="D470" s="8" t="str">
        <x:v>claim:TEST-CLM-2026-2001</x:v>
      </x:c>
      <x:c r="E470" s="8" t="str"/>
      <x:c r="F470" s="10" t="str">
        <x:v>Has this claim been approved or rejected according to the stored claim record?</x:v>
      </x:c>
      <x:c r="G470" s="10" t="str">
        <x:v>Customer: Lara Neumann. Claim number: TEST-CLM-2026-2001. Policy number: TEST-KFZ-2026-1001. Damage type: Glass Damage. Claimed amount: 780 EUR. Current status: Under Review.</x:v>
      </x:c>
      <x:c r="H470" s="10" t="str">
        <x:v>The claim decision is Approved.</x:v>
      </x:c>
      <x:c r="I470" s="8" t="str">
        <x:v>motor</x:v>
      </x:c>
      <x:c r="J470" s="8" t="str">
        <x:v>CALIBRATION</x:v>
      </x:c>
      <x:c r="K470" s="10" t="str">
        <x:v>exact_duplicate_triplet</x:v>
      </x:c>
      <x:c r="L470" s="12" t="str"/>
      <x:c r="M470" s="12" t="str"/>
      <x:c r="N470" s="12" t="str"/>
      <x:c r="O470" s="12" t="str"/>
      <x:c r="P470" s="12" t="str"/>
    </x:row>
    <x:row r="471">
      <x:c r="A471" s="8" t="str">
        <x:v>ext-crm-fail-110</x:v>
      </x:c>
      <x:c r="B471" s="8" t="str">
        <x:v>synthetic_crm</x:v>
      </x:c>
      <x:c r="C471" s="8" t="str">
        <x:v>data/synthetic/crm/claims.csv</x:v>
      </x:c>
      <x:c r="D471" s="8" t="str">
        <x:v>claim:TEST-CLM-2026-2101</x:v>
      </x:c>
      <x:c r="E471" s="8" t="str"/>
      <x:c r="F471" s="10" t="str">
        <x:v>Has this claim been approved or rejected according to the stored claim record?</x:v>
      </x:c>
      <x:c r="G471" s="10" t="str">
        <x:v>Customer: Oliver Brandt. Claim number: TEST-CLM-2026-2101. Policy number: TEST-KFZ-2026-1101. Damage type: Parking Damage. Claimed amount: 2350 EUR. Current status: Approved.</x:v>
      </x:c>
      <x:c r="H471" s="10" t="str">
        <x:v>The claim decision is Rejected.</x:v>
      </x:c>
      <x:c r="I471" s="8" t="str">
        <x:v>motor</x:v>
      </x:c>
      <x:c r="J471" s="8" t="str">
        <x:v>CALIBRATION</x:v>
      </x:c>
      <x:c r="K471" s="10" t="str">
        <x:v>exact_duplicate_triplet</x:v>
      </x:c>
      <x:c r="L471" s="12" t="str"/>
      <x:c r="M471" s="12" t="str"/>
      <x:c r="N471" s="12" t="str"/>
      <x:c r="O471" s="12" t="str"/>
      <x:c r="P471" s="12" t="str"/>
    </x:row>
    <x:row r="472">
      <x:c r="A472" s="8" t="str">
        <x:v>ext-legacy-001</x:v>
      </x:c>
      <x:c r="B472" s="8" t="str">
        <x:v>legacy_synthetic</x:v>
      </x:c>
      <x:c r="C472" s="8" t="str">
        <x:v>tests/fixtures/groundedness_calibration_cases.json</x:v>
      </x:c>
      <x:c r="D472" s="8" t="str">
        <x:v>legacy:supported_motor_full_answer</x:v>
      </x:c>
      <x:c r="E472" s="8" t="str"/>
      <x:c r="F472" s="10" t="str">
        <x:v>Is windshield damage covered, what deductible applies, and which motor contract is relevant?</x:v>
      </x:c>
      <x:c r="G472" s="10" t="str">
        <x:v>Motor insurance contract TEST-KFZ-2026-1001 covers windshield glass damage under partial comprehensive insurance. A deductible of EUR 150 applies per claim.</x:v>
      </x:c>
      <x:c r="H472" s="10" t="str">
        <x:v>Windshield glass damage is covered under partial comprehensive insurance. The deductible is EUR 150 per claim under motor contract TEST-KFZ-2026-1001.</x:v>
      </x:c>
      <x:c r="I472" s="8" t="str">
        <x:v>motor</x:v>
      </x:c>
      <x:c r="J472" s="8" t="str">
        <x:v>VALIDATION</x:v>
      </x:c>
      <x:c r="K472" s="10" t="str"/>
      <x:c r="L472" s="12" t="str"/>
      <x:c r="M472" s="12" t="str"/>
      <x:c r="N472" s="12" t="str"/>
      <x:c r="O472" s="12" t="str"/>
      <x:c r="P472" s="12" t="str"/>
    </x:row>
    <x:row r="473">
      <x:c r="A473" s="8" t="str">
        <x:v>ext-legacy-002</x:v>
      </x:c>
      <x:c r="B473" s="8" t="str">
        <x:v>legacy_synthetic</x:v>
      </x:c>
      <x:c r="C473" s="8" t="str">
        <x:v>tests/fixtures/groundedness_calibration_cases.json</x:v>
      </x:c>
      <x:c r="D473" s="8" t="str">
        <x:v>legacy:supported_motor_paraphrase</x:v>
      </x:c>
      <x:c r="E473" s="8" t="str"/>
      <x:c r="F473" s="10" t="str">
        <x:v>Does the policy pay for windscreen glass damage?</x:v>
      </x:c>
      <x:c r="G473" s="10" t="str">
        <x:v>The motor policy provides partial comprehensive coverage for windshield glass damage. The policyholder pays EUR 150 per claim.</x:v>
      </x:c>
      <x:c r="H473" s="10" t="str">
        <x:v>The partial comprehensive cover includes damage to the windscreen, subject to a 150 euro deductible for each claim.</x:v>
      </x:c>
      <x:c r="I473" s="8" t="str">
        <x:v>motor</x:v>
      </x:c>
      <x:c r="J473" s="8" t="str">
        <x:v>LOCKED_HOLDOUT_CANDIDATE</x:v>
      </x:c>
      <x:c r="K473" s="10" t="str"/>
      <x:c r="L473" s="12" t="str"/>
      <x:c r="M473" s="12" t="str"/>
      <x:c r="N473" s="12" t="str"/>
      <x:c r="O473" s="12" t="str"/>
      <x:c r="P473" s="12" t="str"/>
    </x:row>
    <x:row r="474">
      <x:c r="A474" s="8" t="str">
        <x:v>ext-legacy-003</x:v>
      </x:c>
      <x:c r="B474" s="8" t="str">
        <x:v>legacy_synthetic</x:v>
      </x:c>
      <x:c r="C474" s="8" t="str">
        <x:v>tests/fixtures/groundedness_calibration_cases.json</x:v>
      </x:c>
      <x:c r="D474" s="8" t="str">
        <x:v>legacy:supported_contract_identifier</x:v>
      </x:c>
      <x:c r="E474" s="8" t="str"/>
      <x:c r="F474" s="10" t="str">
        <x:v>Which contract applies?</x:v>
      </x:c>
      <x:c r="G474" s="10" t="str">
        <x:v>Applicable motor insurance contract number: TEST-KFZ-2026-1001.</x:v>
      </x:c>
      <x:c r="H474" s="10" t="str">
        <x:v>The applicable contract number is TEST-KFZ-2026-1001.</x:v>
      </x:c>
      <x:c r="I474" s="8" t="str">
        <x:v>general_insurance</x:v>
      </x:c>
      <x:c r="J474" s="8" t="str">
        <x:v>CALIBRATION</x:v>
      </x:c>
      <x:c r="K474" s="10" t="str"/>
      <x:c r="L474" s="12" t="str"/>
      <x:c r="M474" s="12" t="str"/>
      <x:c r="N474" s="12" t="str"/>
      <x:c r="O474" s="12" t="str"/>
      <x:c r="P474" s="12" t="str"/>
    </x:row>
    <x:row r="475">
      <x:c r="A475" s="8" t="str">
        <x:v>ext-legacy-004</x:v>
      </x:c>
      <x:c r="B475" s="8" t="str">
        <x:v>legacy_synthetic</x:v>
      </x:c>
      <x:c r="C475" s="8" t="str">
        <x:v>tests/fixtures/groundedness_calibration_cases.json</x:v>
      </x:c>
      <x:c r="D475" s="8" t="str">
        <x:v>legacy:supported_deductible</x:v>
      </x:c>
      <x:c r="E475" s="8" t="str"/>
      <x:c r="F475" s="10" t="str">
        <x:v>What is the glass deductible?</x:v>
      </x:c>
      <x:c r="G475" s="10" t="str">
        <x:v>For insured glass damage, the deductible is 150 euros for each claim.</x:v>
      </x:c>
      <x:c r="H475" s="10" t="str">
        <x:v>A deductible of EUR 150 applies per glass claim.</x:v>
      </x:c>
      <x:c r="I475" s="8" t="str">
        <x:v>general_insurance</x:v>
      </x:c>
      <x:c r="J475" s="8" t="str">
        <x:v>CALIBRATION</x:v>
      </x:c>
      <x:c r="K475" s="10" t="str"/>
      <x:c r="L475" s="12" t="str"/>
      <x:c r="M475" s="12" t="str"/>
      <x:c r="N475" s="12" t="str"/>
      <x:c r="O475" s="12" t="str"/>
      <x:c r="P475" s="12" t="str"/>
    </x:row>
    <x:row r="476">
      <x:c r="A476" s="8" t="str">
        <x:v>ext-legacy-005</x:v>
      </x:c>
      <x:c r="B476" s="8" t="str">
        <x:v>legacy_synthetic</x:v>
      </x:c>
      <x:c r="C476" s="8" t="str">
        <x:v>tests/fixtures/groundedness_calibration_cases.json</x:v>
      </x:c>
      <x:c r="D476" s="8" t="str">
        <x:v>legacy:supported_exclusion</x:v>
      </x:c>
      <x:c r="E476" s="8" t="str"/>
      <x:c r="F476" s="10" t="str">
        <x:v>Is intentional vehicle damage covered?</x:v>
      </x:c>
      <x:c r="G476" s="10" t="str">
        <x:v>Intentional damage to the insured vehicle is excluded and is not covered by the policy.</x:v>
      </x:c>
      <x:c r="H476" s="10" t="str">
        <x:v>No. Intentionally caused vehicle damage is not covered.</x:v>
      </x:c>
      <x:c r="I476" s="8" t="str">
        <x:v>motor</x:v>
      </x:c>
      <x:c r="J476" s="8" t="str">
        <x:v>CALIBRATION</x:v>
      </x:c>
      <x:c r="K476" s="10" t="str"/>
      <x:c r="L476" s="12" t="str"/>
      <x:c r="M476" s="12" t="str"/>
      <x:c r="N476" s="12" t="str"/>
      <x:c r="O476" s="12" t="str"/>
      <x:c r="P476" s="12" t="str"/>
    </x:row>
    <x:row r="477">
      <x:c r="A477" s="8" t="str">
        <x:v>ext-legacy-006</x:v>
      </x:c>
      <x:c r="B477" s="8" t="str">
        <x:v>legacy_synthetic</x:v>
      </x:c>
      <x:c r="C477" s="8" t="str">
        <x:v>tests/fixtures/groundedness_calibration_cases.json</x:v>
      </x:c>
      <x:c r="D477" s="8" t="str">
        <x:v>legacy:supported_liability</x:v>
      </x:c>
      <x:c r="E477" s="8" t="str"/>
      <x:c r="F477" s="10" t="str">
        <x:v>What does personal liability cover?</x:v>
      </x:c>
      <x:c r="G477" s="10" t="str">
        <x:v>Personal liability contract TEST-PHV-2026-2001 covers valid claims for damage caused to third parties.</x:v>
      </x:c>
      <x:c r="H477" s="10" t="str">
        <x:v>Personal liability insurance covers valid third-party damage claims.</x:v>
      </x:c>
      <x:c r="I477" s="8" t="str">
        <x:v>liability</x:v>
      </x:c>
      <x:c r="J477" s="8" t="str">
        <x:v>VALIDATION</x:v>
      </x:c>
      <x:c r="K477" s="10" t="str"/>
      <x:c r="L477" s="12" t="str"/>
      <x:c r="M477" s="12" t="str"/>
      <x:c r="N477" s="12" t="str"/>
      <x:c r="O477" s="12" t="str"/>
      <x:c r="P477" s="12" t="str"/>
    </x:row>
    <x:row r="478">
      <x:c r="A478" s="8" t="str">
        <x:v>ext-legacy-007</x:v>
      </x:c>
      <x:c r="B478" s="8" t="str">
        <x:v>legacy_synthetic</x:v>
      </x:c>
      <x:c r="C478" s="8" t="str">
        <x:v>tests/fixtures/groundedness_calibration_cases.json</x:v>
      </x:c>
      <x:c r="D478" s="8" t="str">
        <x:v>legacy:supported_coverage_dates</x:v>
      </x:c>
      <x:c r="E478" s="8" t="str"/>
      <x:c r="F478" s="10" t="str">
        <x:v>When is the motor policy active?</x:v>
      </x:c>
      <x:c r="G478" s="10" t="str">
        <x:v>Motor policy period: 2026-01-01 to 2026-12-31. Status: active.</x:v>
      </x:c>
      <x:c r="H478" s="10" t="str">
        <x:v>The policy is active from 2026-01-01 through 2026-12-31.</x:v>
      </x:c>
      <x:c r="I478" s="8" t="str">
        <x:v>motor</x:v>
      </x:c>
      <x:c r="J478" s="8" t="str">
        <x:v>CALIBRATION</x:v>
      </x:c>
      <x:c r="K478" s="10" t="str"/>
      <x:c r="L478" s="12" t="str"/>
      <x:c r="M478" s="12" t="str"/>
      <x:c r="N478" s="12" t="str"/>
      <x:c r="O478" s="12" t="str"/>
      <x:c r="P478" s="12" t="str"/>
    </x:row>
    <x:row r="479">
      <x:c r="A479" s="8" t="str">
        <x:v>ext-legacy-008</x:v>
      </x:c>
      <x:c r="B479" s="8" t="str">
        <x:v>legacy_synthetic</x:v>
      </x:c>
      <x:c r="C479" s="8" t="str">
        <x:v>tests/fixtures/groundedness_calibration_cases.json</x:v>
      </x:c>
      <x:c r="D479" s="8" t="str">
        <x:v>legacy:supported_home_deductible</x:v>
      </x:c>
      <x:c r="E479" s="8" t="str"/>
      <x:c r="F479" s="10" t="str">
        <x:v>What applies to insured water damage?</x:v>
      </x:c>
      <x:c r="G479" s="10" t="str">
        <x:v>Home insurance covers escape-of-water damage with a deductible of EUR 500 per claim.</x:v>
      </x:c>
      <x:c r="H479" s="10" t="str">
        <x:v>Insured water damage has a EUR 500 deductible per claim.</x:v>
      </x:c>
      <x:c r="I479" s="8" t="str">
        <x:v>general_insurance</x:v>
      </x:c>
      <x:c r="J479" s="8" t="str">
        <x:v>CALIBRATION</x:v>
      </x:c>
      <x:c r="K479" s="10" t="str"/>
      <x:c r="L479" s="12" t="str"/>
      <x:c r="M479" s="12" t="str"/>
      <x:c r="N479" s="12" t="str"/>
      <x:c r="O479" s="12" t="str"/>
      <x:c r="P479" s="12" t="str"/>
    </x:row>
    <x:row r="480">
      <x:c r="A480" s="8" t="str">
        <x:v>ext-legacy-009</x:v>
      </x:c>
      <x:c r="B480" s="8" t="str">
        <x:v>legacy_synthetic</x:v>
      </x:c>
      <x:c r="C480" s="8" t="str">
        <x:v>tests/fixtures/groundedness_calibration_cases.json</x:v>
      </x:c>
      <x:c r="D480" s="8" t="str">
        <x:v>legacy:supported_travel_limit</x:v>
      </x:c>
      <x:c r="E480" s="8" t="str"/>
      <x:c r="F480" s="10" t="str">
        <x:v>What is the baggage limit?</x:v>
      </x:c>
      <x:c r="G480" s="10" t="str">
        <x:v>The travel policy covers lost baggage up to a maximum of EUR 2,000.</x:v>
      </x:c>
      <x:c r="H480" s="10" t="str">
        <x:v>Travel baggage is covered up to EUR 2,000.</x:v>
      </x:c>
      <x:c r="I480" s="8" t="str">
        <x:v>travel_assistance</x:v>
      </x:c>
      <x:c r="J480" s="8" t="str">
        <x:v>CALIBRATION</x:v>
      </x:c>
      <x:c r="K480" s="10" t="str"/>
      <x:c r="L480" s="12" t="str"/>
      <x:c r="M480" s="12" t="str"/>
      <x:c r="N480" s="12" t="str"/>
      <x:c r="O480" s="12" t="str"/>
      <x:c r="P480" s="12" t="str"/>
    </x:row>
    <x:row r="481">
      <x:c r="A481" s="8" t="str">
        <x:v>ext-legacy-010</x:v>
      </x:c>
      <x:c r="B481" s="8" t="str">
        <x:v>legacy_synthetic</x:v>
      </x:c>
      <x:c r="C481" s="8" t="str">
        <x:v>tests/fixtures/groundedness_calibration_cases.json</x:v>
      </x:c>
      <x:c r="D481" s="8" t="str">
        <x:v>legacy:supported_dental_percentage</x:v>
      </x:c>
      <x:c r="E481" s="8" t="str"/>
      <x:c r="F481" s="10" t="str">
        <x:v>How much dental treatment is reimbursed?</x:v>
      </x:c>
      <x:c r="G481" s="10" t="str">
        <x:v>Eligible dental treatment costs are reimbursed at 80 percent under the health plan.</x:v>
      </x:c>
      <x:c r="H481" s="10" t="str">
        <x:v>The plan reimburses 80 percent of eligible dental treatment costs.</x:v>
      </x:c>
      <x:c r="I481" s="8" t="str">
        <x:v>health</x:v>
      </x:c>
      <x:c r="J481" s="8" t="str">
        <x:v>LOCKED_HOLDOUT_CANDIDATE</x:v>
      </x:c>
      <x:c r="K481" s="10" t="str"/>
      <x:c r="L481" s="12" t="str"/>
      <x:c r="M481" s="12" t="str"/>
      <x:c r="N481" s="12" t="str"/>
      <x:c r="O481" s="12" t="str"/>
      <x:c r="P481" s="12" t="str"/>
    </x:row>
    <x:row r="482">
      <x:c r="A482" s="8" t="str">
        <x:v>ext-legacy-011</x:v>
      </x:c>
      <x:c r="B482" s="8" t="str">
        <x:v>legacy_synthetic</x:v>
      </x:c>
      <x:c r="C482" s="8" t="str">
        <x:v>tests/fixtures/groundedness_calibration_cases.json</x:v>
      </x:c>
      <x:c r="D482" s="8" t="str">
        <x:v>legacy:supported_two_claims_with_citation</x:v>
      </x:c>
      <x:c r="E482" s="8" t="str"/>
      <x:c r="F482" s="10" t="str">
        <x:v>Summarize the motor glass benefit.</x:v>
      </x:c>
      <x:c r="G482" s="10" t="str">
        <x:v>Partial comprehensive motor insurance covers glass damage. The deductible for each glass claim is EUR 150.</x:v>
      </x:c>
      <x:c r="H482" s="10" t="str">
        <x:v>Glass damage is covered by partial comprehensive insurance [motor_policy:1]. The deductible is EUR 150 per claim [motor_policy:1].</x:v>
      </x:c>
      <x:c r="I482" s="8" t="str">
        <x:v>motor</x:v>
      </x:c>
      <x:c r="J482" s="8" t="str">
        <x:v>CALIBRATION</x:v>
      </x:c>
      <x:c r="K482" s="10" t="str"/>
      <x:c r="L482" s="12" t="str"/>
      <x:c r="M482" s="12" t="str"/>
      <x:c r="N482" s="12" t="str"/>
      <x:c r="O482" s="12" t="str"/>
      <x:c r="P482" s="12" t="str"/>
    </x:row>
    <x:row r="483">
      <x:c r="A483" s="8" t="str">
        <x:v>ext-legacy-012</x:v>
      </x:c>
      <x:c r="B483" s="8" t="str">
        <x:v>legacy_synthetic</x:v>
      </x:c>
      <x:c r="C483" s="8" t="str">
        <x:v>tests/fixtures/groundedness_calibration_cases.json</x:v>
      </x:c>
      <x:c r="D483" s="8" t="str">
        <x:v>legacy:supported_short_numeric_answer</x:v>
      </x:c>
      <x:c r="E483" s="8" t="str"/>
      <x:c r="F483" s="10" t="str">
        <x:v>How much is the deductible per claim?</x:v>
      </x:c>
      <x:c r="G483" s="10" t="str">
        <x:v>Deductible: EUR 150 per claim.</x:v>
      </x:c>
      <x:c r="H483" s="10" t="str">
        <x:v>EUR 150 per claim.</x:v>
      </x:c>
      <x:c r="I483" s="8" t="str">
        <x:v>general_insurance</x:v>
      </x:c>
      <x:c r="J483" s="8" t="str">
        <x:v>LOCKED_HOLDOUT_CANDIDATE</x:v>
      </x:c>
      <x:c r="K483" s="10" t="str"/>
      <x:c r="L483" s="12" t="str"/>
      <x:c r="M483" s="12" t="str"/>
      <x:c r="N483" s="12" t="str"/>
      <x:c r="O483" s="12" t="str"/>
      <x:c r="P483" s="12" t="str"/>
    </x:row>
    <x:row r="484">
      <x:c r="A484" s="8" t="str">
        <x:v>ext-legacy-013</x:v>
      </x:c>
      <x:c r="B484" s="8" t="str">
        <x:v>legacy_synthetic</x:v>
      </x:c>
      <x:c r="C484" s="8" t="str">
        <x:v>tests/fixtures/groundedness_calibration_cases.json</x:v>
      </x:c>
      <x:c r="D484" s="8" t="str">
        <x:v>legacy:unsupported_wrong_motor_deductible</x:v>
      </x:c>
      <x:c r="E484" s="8" t="str"/>
      <x:c r="F484" s="10" t="str">
        <x:v>What is the glass deductible?</x:v>
      </x:c>
      <x:c r="G484" s="10" t="str">
        <x:v>The motor glass deductible is EUR 150 per claim.</x:v>
      </x:c>
      <x:c r="H484" s="10" t="str">
        <x:v>The glass deductible is EUR 500 per claim.</x:v>
      </x:c>
      <x:c r="I484" s="8" t="str">
        <x:v>general_insurance</x:v>
      </x:c>
      <x:c r="J484" s="8" t="str">
        <x:v>LOCKED_HOLDOUT_CANDIDATE</x:v>
      </x:c>
      <x:c r="K484" s="10" t="str"/>
      <x:c r="L484" s="12" t="str"/>
      <x:c r="M484" s="12" t="str"/>
      <x:c r="N484" s="12" t="str"/>
      <x:c r="O484" s="12" t="str"/>
      <x:c r="P484" s="12" t="str"/>
    </x:row>
    <x:row r="485">
      <x:c r="A485" s="8" t="str">
        <x:v>ext-legacy-014</x:v>
      </x:c>
      <x:c r="B485" s="8" t="str">
        <x:v>legacy_synthetic</x:v>
      </x:c>
      <x:c r="C485" s="8" t="str">
        <x:v>tests/fixtures/groundedness_calibration_cases.json</x:v>
      </x:c>
      <x:c r="D485" s="8" t="str">
        <x:v>legacy:unsupported_wrong_contract_identifier</x:v>
      </x:c>
      <x:c r="E485" s="8" t="str"/>
      <x:c r="F485" s="10" t="str">
        <x:v>Which motor contract applies?</x:v>
      </x:c>
      <x:c r="G485" s="10" t="str">
        <x:v>The applicable motor contract is TEST-KFZ-2026-1001.</x:v>
      </x:c>
      <x:c r="H485" s="10" t="str">
        <x:v>The applicable motor contract is TEST-KFZ-2026-9999.</x:v>
      </x:c>
      <x:c r="I485" s="8" t="str">
        <x:v>motor</x:v>
      </x:c>
      <x:c r="J485" s="8" t="str">
        <x:v>VALIDATION</x:v>
      </x:c>
      <x:c r="K485" s="10" t="str"/>
      <x:c r="L485" s="12" t="str"/>
      <x:c r="M485" s="12" t="str"/>
      <x:c r="N485" s="12" t="str"/>
      <x:c r="O485" s="12" t="str"/>
      <x:c r="P485" s="12" t="str"/>
    </x:row>
    <x:row r="486">
      <x:c r="A486" s="8" t="str">
        <x:v>ext-legacy-015</x:v>
      </x:c>
      <x:c r="B486" s="8" t="str">
        <x:v>legacy_synthetic</x:v>
      </x:c>
      <x:c r="C486" s="8" t="str">
        <x:v>tests/fixtures/groundedness_calibration_cases.json</x:v>
      </x:c>
      <x:c r="D486" s="8" t="str">
        <x:v>legacy:unsupported_wrong_coverage_type</x:v>
      </x:c>
      <x:c r="E486" s="8" t="str"/>
      <x:c r="F486" s="10" t="str">
        <x:v>Which coverage includes windshield damage?</x:v>
      </x:c>
      <x:c r="G486" s="10" t="str">
        <x:v>Windshield damage is covered under partial comprehensive insurance.</x:v>
      </x:c>
      <x:c r="H486" s="10" t="str">
        <x:v>Windshield damage is covered under fully comprehensive insurance.</x:v>
      </x:c>
      <x:c r="I486" s="8" t="str">
        <x:v>motor</x:v>
      </x:c>
      <x:c r="J486" s="8" t="str">
        <x:v>VALIDATION</x:v>
      </x:c>
      <x:c r="K486" s="10" t="str"/>
      <x:c r="L486" s="12" t="str"/>
      <x:c r="M486" s="12" t="str"/>
      <x:c r="N486" s="12" t="str"/>
      <x:c r="O486" s="12" t="str"/>
      <x:c r="P486" s="12" t="str"/>
    </x:row>
    <x:row r="487">
      <x:c r="A487" s="8" t="str">
        <x:v>ext-legacy-016</x:v>
      </x:c>
      <x:c r="B487" s="8" t="str">
        <x:v>legacy_synthetic</x:v>
      </x:c>
      <x:c r="C487" s="8" t="str">
        <x:v>tests/fixtures/groundedness_calibration_cases.json</x:v>
      </x:c>
      <x:c r="D487" s="8" t="str">
        <x:v>legacy:unsupported_reversed_coverage</x:v>
      </x:c>
      <x:c r="E487" s="8" t="str"/>
      <x:c r="F487" s="10" t="str">
        <x:v>Is windshield glass damage covered?</x:v>
      </x:c>
      <x:c r="G487" s="10" t="str">
        <x:v>The motor policy covers windshield glass damage under partial comprehensive coverage.</x:v>
      </x:c>
      <x:c r="H487" s="10" t="str">
        <x:v>Windshield glass damage is not covered by the motor policy.</x:v>
      </x:c>
      <x:c r="I487" s="8" t="str">
        <x:v>motor</x:v>
      </x:c>
      <x:c r="J487" s="8" t="str">
        <x:v>LOCKED_HOLDOUT_CANDIDATE</x:v>
      </x:c>
      <x:c r="K487" s="10" t="str"/>
      <x:c r="L487" s="12" t="str"/>
      <x:c r="M487" s="12" t="str"/>
      <x:c r="N487" s="12" t="str"/>
      <x:c r="O487" s="12" t="str"/>
      <x:c r="P487" s="12" t="str"/>
    </x:row>
    <x:row r="488">
      <x:c r="A488" s="8" t="str">
        <x:v>ext-legacy-017</x:v>
      </x:c>
      <x:c r="B488" s="8" t="str">
        <x:v>legacy_synthetic</x:v>
      </x:c>
      <x:c r="C488" s="8" t="str">
        <x:v>tests/fixtures/groundedness_calibration_cases.json</x:v>
      </x:c>
      <x:c r="D488" s="8" t="str">
        <x:v>legacy:unsupported_zero_deductible</x:v>
      </x:c>
      <x:c r="E488" s="8" t="str"/>
      <x:c r="F488" s="10" t="str">
        <x:v>Does a deductible apply?</x:v>
      </x:c>
      <x:c r="G488" s="10" t="str">
        <x:v>A deductible of EUR 150 applies to every insured glass claim.</x:v>
      </x:c>
      <x:c r="H488" s="10" t="str">
        <x:v>No deductible applies to a glass claim.</x:v>
      </x:c>
      <x:c r="I488" s="8" t="str">
        <x:v>general_insurance</x:v>
      </x:c>
      <x:c r="J488" s="8" t="str">
        <x:v>VALIDATION</x:v>
      </x:c>
      <x:c r="K488" s="10" t="str"/>
      <x:c r="L488" s="12" t="str"/>
      <x:c r="M488" s="12" t="str"/>
      <x:c r="N488" s="12" t="str"/>
      <x:c r="O488" s="12" t="str"/>
      <x:c r="P488" s="12" t="str"/>
    </x:row>
    <x:row r="489">
      <x:c r="A489" s="8" t="str">
        <x:v>ext-legacy-018</x:v>
      </x:c>
      <x:c r="B489" s="8" t="str">
        <x:v>legacy_synthetic</x:v>
      </x:c>
      <x:c r="C489" s="8" t="str">
        <x:v>tests/fixtures/groundedness_calibration_cases.json</x:v>
      </x:c>
      <x:c r="D489" s="8" t="str">
        <x:v>legacy:unsupported_rental_car_extension</x:v>
      </x:c>
      <x:c r="E489" s="8" t="str"/>
      <x:c r="F489" s="10" t="str">
        <x:v>Summarize the glass benefit.</x:v>
      </x:c>
      <x:c r="G489" s="10" t="str">
        <x:v>Partial comprehensive insurance covers windshield glass damage with a EUR 150 deductible.</x:v>
      </x:c>
      <x:c r="H489" s="10" t="str">
        <x:v>Glass damage is covered and a free rental car is provided for fourteen days.</x:v>
      </x:c>
      <x:c r="I489" s="8" t="str">
        <x:v>general_insurance</x:v>
      </x:c>
      <x:c r="J489" s="8" t="str">
        <x:v>LOCKED_HOLDOUT_CANDIDATE</x:v>
      </x:c>
      <x:c r="K489" s="10" t="str"/>
      <x:c r="L489" s="12" t="str"/>
      <x:c r="M489" s="12" t="str"/>
      <x:c r="N489" s="12" t="str"/>
      <x:c r="O489" s="12" t="str"/>
      <x:c r="P489" s="12" t="str"/>
    </x:row>
    <x:row r="490">
      <x:c r="A490" s="8" t="str">
        <x:v>ext-legacy-019</x:v>
      </x:c>
      <x:c r="B490" s="8" t="str">
        <x:v>legacy_synthetic</x:v>
      </x:c>
      <x:c r="C490" s="8" t="str">
        <x:v>tests/fixtures/groundedness_calibration_cases.json</x:v>
      </x:c>
      <x:c r="D490" s="8" t="str">
        <x:v>legacy:unsupported_wrong_policy_dates</x:v>
      </x:c>
      <x:c r="E490" s="8" t="str"/>
      <x:c r="F490" s="10" t="str">
        <x:v>When is the policy active?</x:v>
      </x:c>
      <x:c r="G490" s="10" t="str">
        <x:v>The policy is active from 2026-01-01 through 2026-12-31.</x:v>
      </x:c>
      <x:c r="H490" s="10" t="str">
        <x:v>The policy is active from 2025-01-01 through 2025-12-31.</x:v>
      </x:c>
      <x:c r="I490" s="8" t="str">
        <x:v>general_insurance</x:v>
      </x:c>
      <x:c r="J490" s="8" t="str">
        <x:v>VALIDATION</x:v>
      </x:c>
      <x:c r="K490" s="10" t="str"/>
      <x:c r="L490" s="12" t="str"/>
      <x:c r="M490" s="12" t="str"/>
      <x:c r="N490" s="12" t="str"/>
      <x:c r="O490" s="12" t="str"/>
      <x:c r="P490" s="12" t="str"/>
    </x:row>
    <x:row r="491">
      <x:c r="A491" s="8" t="str">
        <x:v>ext-legacy-020</x:v>
      </x:c>
      <x:c r="B491" s="8" t="str">
        <x:v>legacy_synthetic</x:v>
      </x:c>
      <x:c r="C491" s="8" t="str">
        <x:v>tests/fixtures/groundedness_calibration_cases.json</x:v>
      </x:c>
      <x:c r="D491" s="8" t="str">
        <x:v>legacy:unsupported_wrong_home_deductible</x:v>
      </x:c>
      <x:c r="E491" s="8" t="str"/>
      <x:c r="F491" s="10" t="str">
        <x:v>What is the water damage deductible?</x:v>
      </x:c>
      <x:c r="G491" s="10" t="str">
        <x:v>The water damage deductible is EUR 500 per claim.</x:v>
      </x:c>
      <x:c r="H491" s="10" t="str">
        <x:v>The water damage deductible is EUR 250 per claim.</x:v>
      </x:c>
      <x:c r="I491" s="8" t="str">
        <x:v>general_insurance</x:v>
      </x:c>
      <x:c r="J491" s="8" t="str">
        <x:v>LOCKED_HOLDOUT_CANDIDATE</x:v>
      </x:c>
      <x:c r="K491" s="10" t="str"/>
      <x:c r="L491" s="12" t="str"/>
      <x:c r="M491" s="12" t="str"/>
      <x:c r="N491" s="12" t="str"/>
      <x:c r="O491" s="12" t="str"/>
      <x:c r="P491" s="12" t="str"/>
    </x:row>
    <x:row r="492">
      <x:c r="A492" s="8" t="str">
        <x:v>ext-legacy-021</x:v>
      </x:c>
      <x:c r="B492" s="8" t="str">
        <x:v>legacy_synthetic</x:v>
      </x:c>
      <x:c r="C492" s="8" t="str">
        <x:v>tests/fixtures/groundedness_calibration_cases.json</x:v>
      </x:c>
      <x:c r="D492" s="8" t="str">
        <x:v>legacy:unsupported_wrong_baggage_limit</x:v>
      </x:c>
      <x:c r="E492" s="8" t="str"/>
      <x:c r="F492" s="10" t="str">
        <x:v>What is the baggage limit?</x:v>
      </x:c>
      <x:c r="G492" s="10" t="str">
        <x:v>Baggage is covered up to EUR 2,000 under the travel policy.</x:v>
      </x:c>
      <x:c r="H492" s="10" t="str">
        <x:v>Baggage is covered up to EUR 5,000.</x:v>
      </x:c>
      <x:c r="I492" s="8" t="str">
        <x:v>travel_assistance</x:v>
      </x:c>
      <x:c r="J492" s="8" t="str">
        <x:v>LOCKED_HOLDOUT_CANDIDATE</x:v>
      </x:c>
      <x:c r="K492" s="10" t="str"/>
      <x:c r="L492" s="12" t="str"/>
      <x:c r="M492" s="12" t="str"/>
      <x:c r="N492" s="12" t="str"/>
      <x:c r="O492" s="12" t="str"/>
      <x:c r="P492" s="12" t="str"/>
    </x:row>
    <x:row r="493">
      <x:c r="A493" s="8" t="str">
        <x:v>ext-legacy-022</x:v>
      </x:c>
      <x:c r="B493" s="8" t="str">
        <x:v>legacy_synthetic</x:v>
      </x:c>
      <x:c r="C493" s="8" t="str">
        <x:v>tests/fixtures/groundedness_calibration_cases.json</x:v>
      </x:c>
      <x:c r="D493" s="8" t="str">
        <x:v>legacy:unsupported_wrong_dental_percentage</x:v>
      </x:c>
      <x:c r="E493" s="8" t="str"/>
      <x:c r="F493" s="10" t="str">
        <x:v>How much dental treatment is reimbursed?</x:v>
      </x:c>
      <x:c r="G493" s="10" t="str">
        <x:v>The plan reimburses 80 percent of eligible dental treatment costs.</x:v>
      </x:c>
      <x:c r="H493" s="10" t="str">
        <x:v>The plan reimburses 100 percent of dental treatment costs.</x:v>
      </x:c>
      <x:c r="I493" s="8" t="str">
        <x:v>health</x:v>
      </x:c>
      <x:c r="J493" s="8" t="str">
        <x:v>LOCKED_HOLDOUT_CANDIDATE</x:v>
      </x:c>
      <x:c r="K493" s="10" t="str"/>
      <x:c r="L493" s="12" t="str"/>
      <x:c r="M493" s="12" t="str"/>
      <x:c r="N493" s="12" t="str"/>
      <x:c r="O493" s="12" t="str"/>
      <x:c r="P493" s="12" t="str"/>
    </x:row>
    <x:row r="494">
      <x:c r="A494" s="8" t="str">
        <x:v>ext-legacy-023</x:v>
      </x:c>
      <x:c r="B494" s="8" t="str">
        <x:v>legacy_synthetic</x:v>
      </x:c>
      <x:c r="C494" s="8" t="str">
        <x:v>tests/fixtures/groundedness_calibration_cases.json</x:v>
      </x:c>
      <x:c r="D494" s="8" t="str">
        <x:v>legacy:unsupported_mixed_extra_claim</x:v>
      </x:c>
      <x:c r="E494" s="8" t="str"/>
      <x:c r="F494" s="10" t="str">
        <x:v>Summarize the motor glass benefit.</x:v>
      </x:c>
      <x:c r="G494" s="10" t="str">
        <x:v>The motor policy covers windshield glass damage under partial comprehensive coverage.</x:v>
      </x:c>
      <x:c r="H494" s="10" t="str">
        <x:v>Windshield glass damage is covered. The policy also provides unlimited towing anywhere in Europe.</x:v>
      </x:c>
      <x:c r="I494" s="8" t="str">
        <x:v>motor</x:v>
      </x:c>
      <x:c r="J494" s="8" t="str">
        <x:v>VALIDATION</x:v>
      </x:c>
      <x:c r="K494" s="10" t="str"/>
      <x:c r="L494" s="12" t="str"/>
      <x:c r="M494" s="12" t="str"/>
      <x:c r="N494" s="12" t="str"/>
      <x:c r="O494" s="12" t="str"/>
      <x:c r="P494" s="12" t="str"/>
    </x:row>
    <x:row r="495">
      <x:c r="A495" s="8" t="str">
        <x:v>ext-legacy-024</x:v>
      </x:c>
      <x:c r="B495" s="8" t="str">
        <x:v>legacy_synthetic</x:v>
      </x:c>
      <x:c r="C495" s="8" t="str">
        <x:v>tests/fixtures/groundedness_calibration_cases.json</x:v>
      </x:c>
      <x:c r="D495" s="8" t="str">
        <x:v>legacy:unsupported_cancellation_claim</x:v>
      </x:c>
      <x:c r="E495" s="8" t="str"/>
      <x:c r="F495" s="10" t="str">
        <x:v>What is the status of the contract?</x:v>
      </x:c>
      <x:c r="G495" s="10" t="str">
        <x:v>Contract TEST-KFZ-2026-1001 is active from 2026-01-01 through 2026-12-31.</x:v>
      </x:c>
      <x:c r="H495" s="10" t="str">
        <x:v>Contract TEST-KFZ-2026-1001 was cancelled on 2026-06-30.</x:v>
      </x:c>
      <x:c r="I495" s="8" t="str">
        <x:v>general_insurance</x:v>
      </x:c>
      <x:c r="J495" s="8" t="str">
        <x:v>VALIDATION</x:v>
      </x:c>
      <x:c r="K495" s="10" t="str"/>
      <x:c r="L495" s="12" t="str"/>
      <x:c r="M495" s="12" t="str"/>
      <x:c r="N495" s="12" t="str"/>
      <x:c r="O495" s="12" t="str"/>
      <x:c r="P495" s="12" t="str"/>
    </x:row>
    <x:row r="496">
      <x:c r="A496" s="8" t="str">
        <x:v>ext-legacy-025</x:v>
      </x:c>
      <x:c r="B496" s="8" t="str">
        <x:v>legacy_synthetic</x:v>
      </x:c>
      <x:c r="C496" s="8" t="str">
        <x:v>tests/fixtures/groundedness_calibration_cases.json</x:v>
      </x:c>
      <x:c r="D496" s="8" t="str">
        <x:v>legacy:supported_customer_association</x:v>
      </x:c>
      <x:c r="E496" s="8" t="str"/>
      <x:c r="F496" s="10" t="str">
        <x:v>Whose insured vehicle has glass coverage?</x:v>
      </x:c>
      <x:c r="G496" s="10" t="str">
        <x:v>Insured person: Lara Neumann. Her insured vehicle has windshield glass coverage.</x:v>
      </x:c>
      <x:c r="H496" s="10" t="str">
        <x:v>The covered insured vehicle belongs to Lara Neumann.</x:v>
      </x:c>
      <x:c r="I496" s="8" t="str">
        <x:v>motor</x:v>
      </x:c>
      <x:c r="J496" s="8" t="str">
        <x:v>CALIBRATION</x:v>
      </x:c>
      <x:c r="K496" s="10" t="str"/>
      <x:c r="L496" s="12" t="str"/>
      <x:c r="M496" s="12" t="str"/>
      <x:c r="N496" s="12" t="str"/>
      <x:c r="O496" s="12" t="str"/>
      <x:c r="P496" s="12" t="str"/>
    </x:row>
    <x:row r="497">
      <x:c r="A497" s="8" t="str">
        <x:v>ext-legacy-026</x:v>
      </x:c>
      <x:c r="B497" s="8" t="str">
        <x:v>legacy_synthetic</x:v>
      </x:c>
      <x:c r="C497" s="8" t="str">
        <x:v>tests/fixtures/groundedness_calibration_cases.json</x:v>
      </x:c>
      <x:c r="D497" s="8" t="str">
        <x:v>legacy:supported_concise_coverage</x:v>
      </x:c>
      <x:c r="E497" s="8" t="str"/>
      <x:c r="F497" s="10" t="str">
        <x:v>Is the windshield covered?</x:v>
      </x:c>
      <x:c r="G497" s="10" t="str">
        <x:v>Windshield glass damage is covered by the motor policy.</x:v>
      </x:c>
      <x:c r="H497" s="10" t="str">
        <x:v>Yes, windshield glass damage is covered.</x:v>
      </x:c>
      <x:c r="I497" s="8" t="str">
        <x:v>motor</x:v>
      </x:c>
      <x:c r="J497" s="8" t="str">
        <x:v>CALIBRATION</x:v>
      </x:c>
      <x:c r="K497" s="10" t="str"/>
      <x:c r="L497" s="12" t="str"/>
      <x:c r="M497" s="12" t="str"/>
      <x:c r="N497" s="12" t="str"/>
      <x:c r="O497" s="12" t="str"/>
      <x:c r="P497" s="12" t="str"/>
    </x:row>
    <x:row r="498">
      <x:c r="A498" s="8" t="str">
        <x:v>ext-legacy-027</x:v>
      </x:c>
      <x:c r="B498" s="8" t="str">
        <x:v>legacy_synthetic</x:v>
      </x:c>
      <x:c r="C498" s="8" t="str">
        <x:v>tests/fixtures/groundedness_calibration_cases.json</x:v>
      </x:c>
      <x:c r="D498" s="8" t="str">
        <x:v>legacy:unsupported_liability_distractor_answer</x:v>
      </x:c>
      <x:c r="E498" s="8" t="str"/>
      <x:c r="F498" s="10" t="str">
        <x:v>Which motor coverage and contract cover windshield damage?</x:v>
      </x:c>
      <x:c r="G498" s="10" t="str">
        <x:v>Motor contract TEST-KFZ-2026-1001 covers windshield damage under partial comprehensive insurance with a EUR 150 deductible.
---
Personal liability contract TEST-PHV-2026-2001 does not cover windshield damage to the insured person's own vehicle and has no general deductible.</x:v>
      </x:c>
      <x:c r="H498" s="10" t="str">
        <x:v>Personal liability contract TEST-PHV-2026-2001 covers the windshield damage with no deductible.</x:v>
      </x:c>
      <x:c r="I498" s="8" t="str">
        <x:v>motor</x:v>
      </x:c>
      <x:c r="J498" s="8" t="str">
        <x:v>VALIDATION</x:v>
      </x:c>
      <x:c r="K498" s="10" t="str"/>
      <x:c r="L498" s="12" t="str"/>
      <x:c r="M498" s="12" t="str"/>
      <x:c r="N498" s="12" t="str"/>
      <x:c r="O498" s="12" t="str"/>
      <x:c r="P498" s="12" t="str"/>
    </x:row>
    <x:row r="499">
      <x:c r="A499" s="9" t="str">
        <x:v>ext-legacy-028</x:v>
      </x:c>
      <x:c r="B499" s="9" t="str">
        <x:v>legacy_synthetic</x:v>
      </x:c>
      <x:c r="C499" s="9" t="str">
        <x:v>tests/fixtures/groundedness_calibration_cases.json</x:v>
      </x:c>
      <x:c r="D499" s="9" t="str">
        <x:v>legacy:unsupported_information_missing</x:v>
      </x:c>
      <x:c r="E499" s="9" t="str"/>
      <x:c r="F499" s="11" t="str">
        <x:v>Is windshield damage covered and what deductible applies?</x:v>
      </x:c>
      <x:c r="G499" s="11" t="str">
        <x:v>Windshield glass damage is covered under partial comprehensive insurance. The deductible is EUR 150 per claim.</x:v>
      </x:c>
      <x:c r="H499" s="11" t="str">
        <x:v>The available documents do not state whether windshield damage is covered or whether a deductible applies.</x:v>
      </x:c>
      <x:c r="I499" s="9" t="str">
        <x:v>motor</x:v>
      </x:c>
      <x:c r="J499" s="9" t="str">
        <x:v>VALIDATION</x:v>
      </x:c>
      <x:c r="K499" s="11" t="str"/>
      <x:c r="L499" s="13" t="str"/>
      <x:c r="M499" s="13" t="str"/>
      <x:c r="N499" s="13" t="str"/>
      <x:c r="O499" s="13" t="str"/>
      <x:c r="P499" s="13" t="str"/>
    </x:row>
  </x:sheetData>
  <x:dataValidations count="4">
    <x:dataValidation type="list" sqref="L2:L499">
      <x:formula1>"PASS,FAIL,AMBIGUOUS,EXCLUDE"</x:formula1>
    </x:dataValidation>
    <x:dataValidation type="list" sqref="M2:M499">
      <x:formula1>Data_Dictionary!$H$2:$H$25</x:formula1>
    </x:dataValidation>
    <x:dataValidation type="list" sqref="N2:N499">
      <x:formula1>"CRITICAL,NON_CRITICAL,REVIEW_REQUIRED"</x:formula1>
    </x:dataValidation>
    <x:dataValidation type="whole" operator="between" sqref="O2:O499">
      <x:formula1>1</x:formula1>
      <x:formula2>5</x:formula2>
    </x:dataValidation>
  </x:dataValidations>
  <x:pageMargins left="0.7" right="0.7" top="0.75" bottom="0.75" header="0.3" footer="0.3"/>
  <x:tableParts count="1">
    <x:tablePart xmlns:r="http://schemas.openxmlformats.org/officeDocument/2006/relationships" r:id="R5d9532c4a444400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20" hidden="0" customWidth="1"/>
    <x:col min="3" max="3" width="34" hidden="0" customWidth="1"/>
    <x:col min="4" max="4" width="34" hidden="0" customWidth="1"/>
    <x:col min="5" max="5" width="10" hidden="0" customWidth="1"/>
    <x:col min="6" max="6" width="43" hidden="0" customWidth="1"/>
    <x:col min="7" max="7" width="64" hidden="0" customWidth="1"/>
    <x:col min="8" max="8" width="64" hidden="0" customWidth="1"/>
    <x:col min="9" max="9" width="21" hidden="0" customWidth="1"/>
    <x:col min="10" max="10" width="21" hidden="0" customWidth="1"/>
    <x:col min="11" max="11" width="28" hidden="0" customWidth="1"/>
    <x:col min="12" max="12" width="22" hidden="0" customWidth="1"/>
    <x:col min="13" max="13" width="22" hidden="0" customWidth="1"/>
    <x:col min="14" max="14" width="22" hidden="0" customWidth="1"/>
    <x:col min="15" max="15" width="22" hidden="0" customWidth="1"/>
    <x:col min="16" max="16" width="45" hidden="0" customWidth="1"/>
  </x:cols>
  <x:sheetData>
    <x:row r="1" ht="34" customHeight="1">
      <x:c r="A1" s="5" t="str">
        <x:v>case_id</x:v>
      </x:c>
      <x:c r="B1" s="5" t="str">
        <x:v>source_type</x:v>
      </x:c>
      <x:c r="C1" s="5" t="str">
        <x:v>source_file</x:v>
      </x:c>
      <x:c r="D1" s="5" t="str">
        <x:v>source_document_id</x:v>
      </x:c>
      <x:c r="E1" s="5" t="str">
        <x:v>source_page</x:v>
      </x:c>
      <x:c r="F1" s="5" t="str">
        <x:v>question</x:v>
      </x:c>
      <x:c r="G1" s="5" t="str">
        <x:v>context</x:v>
      </x:c>
      <x:c r="H1" s="5" t="str">
        <x:v>candidate_answer</x:v>
      </x:c>
      <x:c r="I1" s="5" t="str">
        <x:v>product_group</x:v>
      </x:c>
      <x:c r="J1" s="5" t="str">
        <x:v>split</x:v>
      </x:c>
      <x:c r="K1" s="5" t="str">
        <x:v>quality_flags</x:v>
      </x:c>
      <x:c r="L1" s="5" t="str">
        <x:v>reviewer_2_label</x:v>
      </x:c>
      <x:c r="M1" s="5" t="str">
        <x:v>reviewer_2_error_category</x:v>
      </x:c>
      <x:c r="N1" s="5" t="str">
        <x:v>reviewer_2_criticality</x:v>
      </x:c>
      <x:c r="O1" s="5" t="str">
        <x:v>reviewer_2_confidence</x:v>
      </x:c>
      <x:c r="P1" s="5" t="str">
        <x:v>reviewer_2_notes</x:v>
      </x:c>
    </x:row>
    <x:row r="2">
      <x:c r="A2" s="8" t="str">
        <x:v>ext-iqa-pass-001</x:v>
      </x:c>
      <x:c r="B2" s="8" t="str">
        <x:v>insuranceqa</x:v>
      </x:c>
      <x:c r="C2" s="8" t="str">
        <x:v>data/benchmarks/qa/insuranceqa/data_insuranceqa_1000.jsonl</x:v>
      </x:c>
      <x:c r="D2" s="8" t="str">
        <x:v>insuranceqa:917</x:v>
      </x:c>
      <x:c r="E2" s="8" t="str"/>
      <x:c r="F2" s="10" t="str">
        <x:v>Does Home Insurance Cover Flood?</x:v>
      </x:c>
      <x:c r="G2" s="10" t="str">
        <x:v>Question: Does Home Insurance Cover Flood?
Answer: The short and direct answer is no , a Homeowners ' Insurance policy does noit cover for a flood . Flood Insurance must be obtained separately . FEMA administers the plans and they can be written through a number of different insurance companies . Check their website and look for Flood Certified Agents who would be happy to answer your questions and help you through the process .</x:v>
      </x:c>
      <x:c r="H2" s="10" t="str">
        <x:v>The short and direct answer is no , a Homeowners ' Insurance policy does noit cover for a flood . Flood Insurance must be obtained separately . FEMA administers the plans and they can be written through a number of different insurance companies . Check their website and look for Flood Certified Agents who would be happy to answer your questions and help you through the process .</x:v>
      </x:c>
      <x:c r="I2" s="8" t="str">
        <x:v>household</x:v>
      </x:c>
      <x:c r="J2" s="8" t="str">
        <x:v>LOCKED_HOLDOUT_CANDIDATE</x:v>
      </x:c>
      <x:c r="K2" s="10" t="str"/>
      <x:c r="L2" s="12" t="str"/>
      <x:c r="M2" s="12" t="str"/>
      <x:c r="N2" s="12" t="str"/>
      <x:c r="O2" s="12" t="str"/>
      <x:c r="P2" s="12" t="str"/>
    </x:row>
    <x:row r="3">
      <x:c r="A3" s="8" t="str">
        <x:v>ext-iqa-pass-002</x:v>
      </x:c>
      <x:c r="B3" s="8" t="str">
        <x:v>insuranceqa</x:v>
      </x:c>
      <x:c r="C3" s="8" t="str">
        <x:v>data/benchmarks/qa/insuranceqa/data_insuranceqa_1000.jsonl</x:v>
      </x:c>
      <x:c r="D3" s="8" t="str">
        <x:v>insuranceqa:512</x:v>
      </x:c>
      <x:c r="E3" s="8" t="str"/>
      <x:c r="F3" s="10" t="str">
        <x:v>When Can I Enroll In Medicare Part A?</x:v>
      </x:c>
      <x:c r="G3" s="10" t="str">
        <x:v>Question: When Can I Enroll In Medicare Part A?
Answer: You will automatically be enrolled in Medicare when you reach age 65 provided you have worked long enough and paid into the system . You will have the choice to opt out of part B of Medicare , but I do not recommend it unless you are still working and in a group . You will also get Medicare if you are on Social Security Disability . There is about a two year wait when you get disability before you are eligible .</x:v>
      </x:c>
      <x:c r="H3" s="10" t="str">
        <x:v>You will automatically be enrolled in Medicare when you reach age 65 provided you have worked long enough and paid into the system . You will have the choice to opt out of part B of Medicare , but I do not recommend it unless you are still working and in a group . You will also get Medicare if you are on Social Security Disability . There is about a two year wait when you get disability before you are eligible .</x:v>
      </x:c>
      <x:c r="I3" s="8" t="str">
        <x:v>health</x:v>
      </x:c>
      <x:c r="J3" s="8" t="str">
        <x:v>LOCKED_HOLDOUT_CANDIDATE</x:v>
      </x:c>
      <x:c r="K3" s="10" t="str"/>
      <x:c r="L3" s="12" t="str"/>
      <x:c r="M3" s="12" t="str"/>
      <x:c r="N3" s="12" t="str"/>
      <x:c r="O3" s="12" t="str"/>
      <x:c r="P3" s="12" t="str"/>
    </x:row>
    <x:row r="4">
      <x:c r="A4" s="8" t="str">
        <x:v>ext-iqa-pass-003</x:v>
      </x:c>
      <x:c r="B4" s="8" t="str">
        <x:v>insuranceqa</x:v>
      </x:c>
      <x:c r="C4" s="8" t="str">
        <x:v>data/benchmarks/qa/insuranceqa/data_insuranceqa_1000.jsonl</x:v>
      </x:c>
      <x:c r="D4" s="8" t="str">
        <x:v>insuranceqa:97</x:v>
      </x:c>
      <x:c r="E4" s="8" t="str"/>
      <x:c r="F4" s="10" t="str">
        <x:v>Do I Need Home Insurance For A Condo?</x:v>
      </x:c>
      <x:c r="G4" s="10" t="str">
        <x:v>Question: Do I Need Home Insurance For A Condo?
Answer: Condominium coverage requires a different form from the standard homeowners package . However , it provides many of the same coverages . The chief difference is that the structure itself is generally insured under a blanket condominium association policy , not the condominium form . The owner of each unit is normally not responsible for the structure , its maintenance or insurance . The owner of a unit is not responsible for the general areas such as gardens and walkways surrounding the condominium . The owners responsibility is for property contained within the structure , to include internal walls , and paint . When a person purchases a condominium they generally secure a mortgage . The mortgage companies will require the owner to purchase a policy to protect the lenders interest in the property . They want coverage for what they loaned you money to purchase . The amount of coverage under a condominium policy includes the amount required to restore the condominium in the event of a covered loss . At the same time the condominium policy provides a way for the homeowner to insure their own personal property -LRB- furniture , decorations , appliances and other property . -RRB-</x:v>
      </x:c>
      <x:c r="H4" s="10" t="str">
        <x:v>Condominium coverage requires a different form from the standard homeowners package . However , it provides many of the same coverages . The chief difference is that the structure itself is generally insured under a blanket condominium association policy , not the condominium form . The owner of each unit is normally not responsible for the structure , its maintenance or insurance . The owner of a unit is not responsible for the general areas such as gardens and walkways surrounding the condominium . The owners responsibility is for property contained within the structure , to include internal walls , and paint . When a person purchases a condominium they generally secure a mortgage . The mortgage companies will require the owner to purchase a policy to protect the lenders interest in the property . They want coverage for what they loaned you money to purchase . The amount of coverage under a condominium policy includes the amount required to restore the condominium in the event of a covered loss . At the same time the condominium policy provides a way for the homeowner to insure their own personal property -LRB- furniture , decorations , appliances and other property . -RRB-</x:v>
      </x:c>
      <x:c r="I4" s="8" t="str">
        <x:v>household</x:v>
      </x:c>
      <x:c r="J4" s="8" t="str">
        <x:v>VALIDATION</x:v>
      </x:c>
      <x:c r="K4" s="10" t="str"/>
      <x:c r="L4" s="12" t="str"/>
      <x:c r="M4" s="12" t="str"/>
      <x:c r="N4" s="12" t="str"/>
      <x:c r="O4" s="12" t="str"/>
      <x:c r="P4" s="12" t="str"/>
    </x:row>
    <x:row r="5">
      <x:c r="A5" s="8" t="str">
        <x:v>ext-iqa-pass-004</x:v>
      </x:c>
      <x:c r="B5" s="8" t="str">
        <x:v>insuranceqa</x:v>
      </x:c>
      <x:c r="C5" s="8" t="str">
        <x:v>data/benchmarks/qa/insuranceqa/data_insuranceqa_1000.jsonl</x:v>
      </x:c>
      <x:c r="D5" s="8" t="str">
        <x:v>insuranceqa:163</x:v>
      </x:c>
      <x:c r="E5" s="8" t="str"/>
      <x:c r="F5" s="10" t="str">
        <x:v>How Much Does Car Insurance Increase After DUI?</x:v>
      </x:c>
      <x:c r="G5" s="10" t="str">
        <x:v>Question: How Much Does Car Insurance Increase After DUI?
Answer: Car insurance rates typically increase after a DUI ... although the amount of the increase will vary depending on the company you are insured with . There are other costs associated with getting a DUI , including possible reinstatement of your driver 's license and purchase of a Bond , as required by the state . Question answered by E. Harris ... Car insurance broker since 1980 with top-rated website .</x:v>
      </x:c>
      <x:c r="H5" s="10" t="str">
        <x:v>Car insurance rates typically increase after a DUI ... although the amount of the increase will vary depending on the company you are insured with . There are other costs associated with getting a DUI , including possible reinstatement of your driver 's license and purchase of a Bond , as required by the state . Question answered by E. Harris ... Car insurance broker since 1980 with top-rated website .</x:v>
      </x:c>
      <x:c r="I5" s="8" t="str">
        <x:v>motor</x:v>
      </x:c>
      <x:c r="J5" s="8" t="str">
        <x:v>CALIBRATION</x:v>
      </x:c>
      <x:c r="K5" s="10" t="str"/>
      <x:c r="L5" s="12" t="str"/>
      <x:c r="M5" s="12" t="str"/>
      <x:c r="N5" s="12" t="str"/>
      <x:c r="O5" s="12" t="str"/>
      <x:c r="P5" s="12" t="str"/>
    </x:row>
    <x:row r="6">
      <x:c r="A6" s="8" t="str">
        <x:v>ext-iqa-pass-005</x:v>
      </x:c>
      <x:c r="B6" s="8" t="str">
        <x:v>insuranceqa</x:v>
      </x:c>
      <x:c r="C6" s="8" t="str">
        <x:v>data/benchmarks/qa/insuranceqa/data_insuranceqa_1000.jsonl</x:v>
      </x:c>
      <x:c r="D6" s="8" t="str">
        <x:v>insuranceqa:49</x:v>
      </x:c>
      <x:c r="E6" s="8" t="str"/>
      <x:c r="F6" s="10" t="str">
        <x:v>Does Home Owners Insurance Cover Asbestos Removal?</x:v>
      </x:c>
      <x:c r="G6" s="10" t="str">
        <x:v>Question: Does Home Owners Insurance Cover Asbestos Removal?
Answer: Generally the answer to that would be no . Your Homeowners is not designed to cover this type of renovation . If your home is damaged by a covered peril then the removal of asbestos would be covered as part of the repairs , but otherwise you will have to pay .</x:v>
      </x:c>
      <x:c r="H6" s="10" t="str">
        <x:v>Generally the answer to that would be no . Your Homeowners is not designed to cover this type of renovation . If your home is damaged by a covered peril then the removal of asbestos would be covered as part of the repairs , but otherwise you will have to pay .</x:v>
      </x:c>
      <x:c r="I6" s="8" t="str">
        <x:v>household</x:v>
      </x:c>
      <x:c r="J6" s="8" t="str">
        <x:v>CALIBRATION</x:v>
      </x:c>
      <x:c r="K6" s="10" t="str"/>
      <x:c r="L6" s="12" t="str"/>
      <x:c r="M6" s="12" t="str"/>
      <x:c r="N6" s="12" t="str"/>
      <x:c r="O6" s="12" t="str"/>
      <x:c r="P6" s="12" t="str"/>
    </x:row>
    <x:row r="7">
      <x:c r="A7" s="8" t="str">
        <x:v>ext-iqa-pass-006</x:v>
      </x:c>
      <x:c r="B7" s="8" t="str">
        <x:v>insuranceqa</x:v>
      </x:c>
      <x:c r="C7" s="8" t="str">
        <x:v>data/benchmarks/qa/insuranceqa/data_insuranceqa_1000.jsonl</x:v>
      </x:c>
      <x:c r="D7" s="8" t="str">
        <x:v>insuranceqa:312</x:v>
      </x:c>
      <x:c r="E7" s="8" t="str"/>
      <x:c r="F7" s="10" t="str">
        <x:v>Why Get Medigap?</x:v>
      </x:c>
      <x:c r="G7" s="10" t="str">
        <x:v>Question: Why Get Medigap?
Answer: Medigap is a Medicare supplement that can help pay some of the health care costs that original Medicare does n't cover , like copayments , coinsurance , and deductibles . It also covers medical care for some travel outside the US . If you have an Medicare Advantage Plan , you would not want to get Medigap .</x:v>
      </x:c>
      <x:c r="H7" s="10" t="str">
        <x:v>Medigap is a Medicare supplement that can help pay some of the health care costs that original Medicare does n't cover , like copayments , coinsurance , and deductibles . It also covers medical care for some travel outside the US . If you have an Medicare Advantage Plan , you would not want to get Medigap .</x:v>
      </x:c>
      <x:c r="I7" s="8" t="str">
        <x:v>health</x:v>
      </x:c>
      <x:c r="J7" s="8" t="str">
        <x:v>LOCKED_HOLDOUT_CANDIDATE</x:v>
      </x:c>
      <x:c r="K7" s="10" t="str"/>
      <x:c r="L7" s="12" t="str"/>
      <x:c r="M7" s="12" t="str"/>
      <x:c r="N7" s="12" t="str"/>
      <x:c r="O7" s="12" t="str"/>
      <x:c r="P7" s="12" t="str"/>
    </x:row>
    <x:row r="8">
      <x:c r="A8" s="8" t="str">
        <x:v>ext-iqa-pass-007</x:v>
      </x:c>
      <x:c r="B8" s="8" t="str">
        <x:v>insuranceqa</x:v>
      </x:c>
      <x:c r="C8" s="8" t="str">
        <x:v>data/benchmarks/qa/insuranceqa/data_insuranceqa_1000.jsonl</x:v>
      </x:c>
      <x:c r="D8" s="8" t="str">
        <x:v>insuranceqa:685</x:v>
      </x:c>
      <x:c r="E8" s="8" t="str"/>
      <x:c r="F8" s="10" t="str">
        <x:v>Does Renters Insurance Transfer?</x:v>
      </x:c>
      <x:c r="G8" s="10" t="str">
        <x:v>Question: Does Renters Insurance Transfer?
Answer: If by transfer you mean does the coverage apply at a new location , the answer is yes . The coverage is limited during the transfer itself -LRB- when things are being transported by a moving company or friend . -RRB- The coverage remains in force in most cases for a relatively short period of time . Since underwriting needs to re-evaluate this new location it is necessary for you to contact your agent immediately .</x:v>
      </x:c>
      <x:c r="H8" s="10" t="str">
        <x:v>If by transfer you mean does the coverage apply at a new location , the answer is yes . The coverage is limited during the transfer itself -LRB- when things are being transported by a moving company or friend . -RRB- The coverage remains in force in most cases for a relatively short period of time . Since underwriting needs to re-evaluate this new location it is necessary for you to contact your agent immediately .</x:v>
      </x:c>
      <x:c r="I8" s="8" t="str">
        <x:v>household</x:v>
      </x:c>
      <x:c r="J8" s="8" t="str">
        <x:v>CALIBRATION</x:v>
      </x:c>
      <x:c r="K8" s="10" t="str"/>
      <x:c r="L8" s="12" t="str"/>
      <x:c r="M8" s="12" t="str"/>
      <x:c r="N8" s="12" t="str"/>
      <x:c r="O8" s="12" t="str"/>
      <x:c r="P8" s="12" t="str"/>
    </x:row>
    <x:row r="9">
      <x:c r="A9" s="8" t="str">
        <x:v>ext-iqa-pass-008</x:v>
      </x:c>
      <x:c r="B9" s="8" t="str">
        <x:v>insuranceqa</x:v>
      </x:c>
      <x:c r="C9" s="8" t="str">
        <x:v>data/benchmarks/qa/insuranceqa/data_insuranceqa_1000.jsonl</x:v>
      </x:c>
      <x:c r="D9" s="8" t="str">
        <x:v>insuranceqa:705</x:v>
      </x:c>
      <x:c r="E9" s="8" t="str"/>
      <x:c r="F9" s="10" t="str">
        <x:v>What Is Universal Life Insurance And How Does It Work?</x:v>
      </x:c>
      <x:c r="G9" s="10" t="str">
        <x:v>Question: What Is Universal Life Insurance And How Does It Work?
Answer: Universal life insurance is a form of permanent/cash value life insurance known for it 's flexible premium and adjustable -LRB- downward in most cases -RRB- death benefit . Like all permanent products , the policy is driven by cash values -LRB- a reserve -RRB- in the policy that covers policy expenses . The policy holder also has access to this cash value either as a withdrawal or as a policy loan . Universal life insurance is also very well known for it 's transparency , as all expenses are readily available to the insured if he or she wishes to see them .</x:v>
      </x:c>
      <x:c r="H9" s="10" t="str">
        <x:v>Universal life insurance is a form of permanent/cash value life insurance known for it 's flexible premium and adjustable -LRB- downward in most cases -RRB- death benefit . Like all permanent products , the policy is driven by cash values -LRB- a reserve -RRB- in the policy that covers policy expenses . The policy holder also has access to this cash value either as a withdrawal or as a policy loan . Universal life insurance is also very well known for it 's transparency , as all expenses are readily available to the insured if he or she wishes to see them .</x:v>
      </x:c>
      <x:c r="I9" s="8" t="str">
        <x:v>life</x:v>
      </x:c>
      <x:c r="J9" s="8" t="str">
        <x:v>LOCKED_HOLDOUT_CANDIDATE</x:v>
      </x:c>
      <x:c r="K9" s="10" t="str"/>
      <x:c r="L9" s="12" t="str"/>
      <x:c r="M9" s="12" t="str"/>
      <x:c r="N9" s="12" t="str"/>
      <x:c r="O9" s="12" t="str"/>
      <x:c r="P9" s="12" t="str"/>
    </x:row>
    <x:row r="10">
      <x:c r="A10" s="8" t="str">
        <x:v>ext-iqa-pass-009</x:v>
      </x:c>
      <x:c r="B10" s="8" t="str">
        <x:v>insuranceqa</x:v>
      </x:c>
      <x:c r="C10" s="8" t="str">
        <x:v>data/benchmarks/qa/insuranceqa/data_insuranceqa_1000.jsonl</x:v>
      </x:c>
      <x:c r="D10" s="8" t="str">
        <x:v>insuranceqa:264</x:v>
      </x:c>
      <x:c r="E10" s="8" t="str"/>
      <x:c r="F10" s="10" t="str">
        <x:v>Does AAA Have Term Life Insurance?</x:v>
      </x:c>
      <x:c r="G10" s="10" t="str">
        <x:v>Question: Does AAA Have Term Life Insurance?
Answer: AAA while being best known for its ' auto towing services and for those of us old enough to remember , their tripticket map service , does indeed sell term insurance . However their are many carriers with higher financial ratings that charge less . In fact , I once had a client who worked for AAA but decided on a less expensive policy with better ratings and a lower cost .</x:v>
      </x:c>
      <x:c r="H10" s="10" t="str">
        <x:v>AAA while being best known for its ' auto towing services and for those of us old enough to remember , their tripticket map service , does indeed sell term insurance . However their are many carriers with higher financial ratings that charge less . In fact , I once had a client who worked for AAA but decided on a less expensive policy with better ratings and a lower cost .</x:v>
      </x:c>
      <x:c r="I10" s="8" t="str">
        <x:v>life</x:v>
      </x:c>
      <x:c r="J10" s="8" t="str">
        <x:v>VALIDATION</x:v>
      </x:c>
      <x:c r="K10" s="10" t="str"/>
      <x:c r="L10" s="12" t="str"/>
      <x:c r="M10" s="12" t="str"/>
      <x:c r="N10" s="12" t="str"/>
      <x:c r="O10" s="12" t="str"/>
      <x:c r="P10" s="12" t="str"/>
    </x:row>
    <x:row r="11">
      <x:c r="A11" s="8" t="str">
        <x:v>ext-iqa-pass-010</x:v>
      </x:c>
      <x:c r="B11" s="8" t="str">
        <x:v>insuranceqa</x:v>
      </x:c>
      <x:c r="C11" s="8" t="str">
        <x:v>data/benchmarks/qa/insuranceqa/data_insuranceqa_1000.jsonl</x:v>
      </x:c>
      <x:c r="D11" s="8" t="str">
        <x:v>insuranceqa:727</x:v>
      </x:c>
      <x:c r="E11" s="8" t="str"/>
      <x:c r="F11" s="10" t="str">
        <x:v>Does ADP Offer Health Insurance?</x:v>
      </x:c>
      <x:c r="G11" s="10" t="str">
        <x:v>Question: Does ADP Offer Health Insurance?
Answer: ADP Inc. is a worldwide company that offers payroll and resource management expertise to many companies.Presumably they offer healthcare to their employees . Many large and small businesses offer group health , dental and life benefits to their full-time and part-time employees . Depending on the company , they will pay a portion of the premium of those benefits .</x:v>
      </x:c>
      <x:c r="H11" s="10" t="str">
        <x:v>ADP Inc. is a worldwide company that offers payroll and resource management expertise to many companies.Presumably they offer healthcare to their employees . Many large and small businesses offer group health , dental and life benefits to their full-time and part-time employees . Depending on the company , they will pay a portion of the premium of those benefits .</x:v>
      </x:c>
      <x:c r="I11" s="8" t="str">
        <x:v>health</x:v>
      </x:c>
      <x:c r="J11" s="8" t="str">
        <x:v>LOCKED_HOLDOUT_CANDIDATE</x:v>
      </x:c>
      <x:c r="K11" s="10" t="str"/>
      <x:c r="L11" s="12" t="str"/>
      <x:c r="M11" s="12" t="str"/>
      <x:c r="N11" s="12" t="str"/>
      <x:c r="O11" s="12" t="str"/>
      <x:c r="P11" s="12" t="str"/>
    </x:row>
    <x:row r="12">
      <x:c r="A12" s="8" t="str">
        <x:v>ext-iqa-pass-011</x:v>
      </x:c>
      <x:c r="B12" s="8" t="str">
        <x:v>insuranceqa</x:v>
      </x:c>
      <x:c r="C12" s="8" t="str">
        <x:v>data/benchmarks/qa/insuranceqa/data_insuranceqa_1000.jsonl</x:v>
      </x:c>
      <x:c r="D12" s="8" t="str">
        <x:v>insuranceqa:437</x:v>
      </x:c>
      <x:c r="E12" s="8" t="str"/>
      <x:c r="F12" s="10" t="str">
        <x:v>Can I Get Life Insurance After Breast Cancer?</x:v>
      </x:c>
      <x:c r="G12" s="10" t="str">
        <x:v>Question: Can I Get Life Insurance After Breast Cancer?
Answer: The short answer is yes , you can buy life insurance after cancer . The type , amount and terms depends on the cancer itselfand how long you have been cancer free after your last treatment . To get into the standard ratings after breast cancer practically all carriers will want to see you cancer free for 10 years . Anything less than10 yearswill be a higher risk policy of either rated premiums or graduated benefits .</x:v>
      </x:c>
      <x:c r="H12" s="10" t="str">
        <x:v>The short answer is yes , you can buy life insurance after cancer . The type , amount and terms depends on the cancer itselfand how long you have been cancer free after your last treatment . To get into the standard ratings after breast cancer practically all carriers will want to see you cancer free for 10 years . Anything less than10 yearswill be a higher risk policy of either rated premiums or graduated benefits .</x:v>
      </x:c>
      <x:c r="I12" s="8" t="str">
        <x:v>life</x:v>
      </x:c>
      <x:c r="J12" s="8" t="str">
        <x:v>LOCKED_HOLDOUT_CANDIDATE</x:v>
      </x:c>
      <x:c r="K12" s="10" t="str"/>
      <x:c r="L12" s="12" t="str"/>
      <x:c r="M12" s="12" t="str"/>
      <x:c r="N12" s="12" t="str"/>
      <x:c r="O12" s="12" t="str"/>
      <x:c r="P12" s="12" t="str"/>
    </x:row>
    <x:row r="13">
      <x:c r="A13" s="8" t="str">
        <x:v>ext-iqa-pass-012</x:v>
      </x:c>
      <x:c r="B13" s="8" t="str">
        <x:v>insuranceqa</x:v>
      </x:c>
      <x:c r="C13" s="8" t="str">
        <x:v>data/benchmarks/qa/insuranceqa/data_insuranceqa_1000.jsonl</x:v>
      </x:c>
      <x:c r="D13" s="8" t="str">
        <x:v>insuranceqa:335</x:v>
      </x:c>
      <x:c r="E13" s="8" t="str"/>
      <x:c r="F13" s="10" t="str">
        <x:v>Do Insurance Companies Look At Psychiatric Records?</x:v>
      </x:c>
      <x:c r="G13" s="10" t="str">
        <x:v>Question: Do Insurance Companies Look At Psychiatric Records?
Answer: In respect to life insurance , underwriters are most concerned with conditions that impair or prevent a potential insured from completing daily tasks , interactions and living . In the event that your answers to the medical questionnaire on insurance application , attending physician statement &amp; recordsor results from a insurance examindicate that you are being treated through therapy or medication , the underwriters will first seek clarification through your agent . Depending on the severity of the condition , the course of treatment and time elapsed since last episode or event related to your condition , the underwriter may not have much concern and thus not require additional information . Simply put mild conditions such as milddepression , anxiety or stress treated by counseling and low dose medicine may not require deep underwriting depending on the age of the insured and history of condition . More significant conditions , for example schizophrenia , treated with significant medication and therapy , will require additional records from treating physicians to ensure that the insured fits within their risk parameters . In your case , grief counselingcan soundambiguous ; if it were for the loss of a loved one , the absence of whom is not preventing your daily living , it should not require additional review . If the on the other hand , it is being used to cope with another traumatic event , additional questions or requests may be posed by the underwriters . A letter from your treating psychiatrist highlighting your improvements from treatment will help mitigate the need for additional information . In order to ensure that you get the best underwriting class , I suggest that you work with an independent agent that works with multiple carriers as different carriers each have their own points of view on various healthy issues . Additionally , question your insurance agent ! Ask them what experience , if any , have they had with placing business on clients such as yourself . At the end of the day , the most experienced agents will get the best underwriting results for their clients with the least disruption and scrutiny of one 's private issues . Please feel free to contact me to discuss your facts in order to give you more accurate information .</x:v>
      </x:c>
      <x:c r="H13" s="10" t="str">
        <x:v>In respect to life insurance , underwriters are most concerned with conditions that impair or prevent a potential insured from completing daily tasks , interactions and living . In the event that your answers to the medical questionnaire on insurance application , attending physician statement &amp; recordsor results from a insurance examindicate that you are being treated through therapy or medication , the underwriters will first seek clarification through your agent . Depending on the severity of the condition , the course of treatment and time elapsed since last episode or event related to your condition , the underwriter may not have much concern and thus not require additional information . Simply put mild conditions such as milddepression , anxiety or stress treated by counseling and low dose medicine may not require deep underwriting depending on the age of the insured and history of condition . More significant conditions , for example schizophrenia , treated with significant medication and therapy , will require additional records from treating physicians to ensure that the insured fits within their risk parameters . In your case , grief counselingcan soundambiguous ; if it were for the loss of a loved one , the absence of whom is not preventing your daily living , it should not require additional review . If the on the other hand , it is being used to cope with another traumatic event , additional questions or requests may be posed by the underwriters . A letter from your treating psychiatrist highlighting your improvements from treatment will help mitigate the need for additional information . In order to ensure that you get the best underwriting class , I suggest that you work with an independent agent that works with multiple carriers as different carriers each have their own points of view on various healthy issues . Additionally , question your insurance agent ! Ask them what experience , if any , have they had with placing business on clients such as yourself . At the end of the day , the most experienced agents will get the best underwriting results for their clients with the least disruption and scrutiny of one 's private issues . Please feel free to contact me to discuss your facts in order to give you more accurate information .</x:v>
      </x:c>
      <x:c r="I13" s="8" t="str">
        <x:v>general_insurance</x:v>
      </x:c>
      <x:c r="J13" s="8" t="str">
        <x:v>CALIBRATION</x:v>
      </x:c>
      <x:c r="K13" s="10" t="str"/>
      <x:c r="L13" s="12" t="str"/>
      <x:c r="M13" s="12" t="str"/>
      <x:c r="N13" s="12" t="str"/>
      <x:c r="O13" s="12" t="str"/>
      <x:c r="P13" s="12" t="str"/>
    </x:row>
    <x:row r="14">
      <x:c r="A14" s="8" t="str">
        <x:v>ext-iqa-pass-013</x:v>
      </x:c>
      <x:c r="B14" s="8" t="str">
        <x:v>insuranceqa</x:v>
      </x:c>
      <x:c r="C14" s="8" t="str">
        <x:v>data/benchmarks/qa/insuranceqa/data_insuranceqa_1000.jsonl</x:v>
      </x:c>
      <x:c r="D14" s="8" t="str">
        <x:v>insuranceqa:504</x:v>
      </x:c>
      <x:c r="E14" s="8" t="str"/>
      <x:c r="F14" s="10" t="str">
        <x:v>Is Cancer Covered Under Disability Insurance?</x:v>
      </x:c>
      <x:c r="G14" s="10" t="str">
        <x:v>Question: Is Cancer Covered Under Disability Insurance?
Answer: Disability income plans pay as long as you meet the definition of disability , regardless of the disabling condition . If you are unable to work for any reason , illness or accident , and meet the policy definition that qualifies you for benefit , the carrier will pay your monthly benefit until you recover , die or exhaust your benefits .</x:v>
      </x:c>
      <x:c r="H14" s="10" t="str">
        <x:v>Disability income plans pay as long as you meet the definition of disability , regardless of the disabling condition . If you are unable to work for any reason , illness or accident , and meet the policy definition that qualifies you for benefit , the carrier will pay your monthly benefit until you recover , die or exhaust your benefits .</x:v>
      </x:c>
      <x:c r="I14" s="8" t="str">
        <x:v>health</x:v>
      </x:c>
      <x:c r="J14" s="8" t="str">
        <x:v>LOCKED_HOLDOUT_CANDIDATE</x:v>
      </x:c>
      <x:c r="K14" s="10" t="str"/>
      <x:c r="L14" s="12" t="str"/>
      <x:c r="M14" s="12" t="str"/>
      <x:c r="N14" s="12" t="str"/>
      <x:c r="O14" s="12" t="str"/>
      <x:c r="P14" s="12" t="str"/>
    </x:row>
    <x:row r="15">
      <x:c r="A15" s="8" t="str">
        <x:v>ext-iqa-pass-014</x:v>
      </x:c>
      <x:c r="B15" s="8" t="str">
        <x:v>insuranceqa</x:v>
      </x:c>
      <x:c r="C15" s="8" t="str">
        <x:v>data/benchmarks/qa/insuranceqa/data_insuranceqa_1000.jsonl</x:v>
      </x:c>
      <x:c r="D15" s="8" t="str">
        <x:v>insuranceqa:748</x:v>
      </x:c>
      <x:c r="E15" s="8" t="str"/>
      <x:c r="F15" s="10" t="str">
        <x:v>What Does Long Term Care Insurance Mean?</x:v>
      </x:c>
      <x:c r="G15" s="10" t="str">
        <x:v>Question: What Does Long Term Care Insurance Mean?
Answer: Long term care insurance is coverage that pays for personal care needs and other related chronic care services for individuals who are limited in their abilities to perform the activities of daily living -LRB- two or more -RRB- . Activities of Daily Living -LRB- ADLs -RRB- include eating , bathing , toileting , dressing , moving between a chair and the bed , and remaining continent . The policy typically pays for care that is provided in the individuals home , in an assisted living facility , or in a nursing home . Long term care insurance is available on an individual or a group basis .</x:v>
      </x:c>
      <x:c r="H15" s="10" t="str">
        <x:v>Long term care insurance is coverage that pays for personal care needs and other related chronic care services for individuals who are limited in their abilities to perform the activities of daily living -LRB- two or more -RRB- . Activities of Daily Living -LRB- ADLs -RRB- include eating , bathing , toileting , dressing , moving between a chair and the bed , and remaining continent . The policy typically pays for care that is provided in the individuals home , in an assisted living facility , or in a nursing home . Long term care insurance is available on an individual or a group basis .</x:v>
      </x:c>
      <x:c r="I15" s="8" t="str">
        <x:v>general_insurance</x:v>
      </x:c>
      <x:c r="J15" s="8" t="str">
        <x:v>VALIDATION</x:v>
      </x:c>
      <x:c r="K15" s="10" t="str"/>
      <x:c r="L15" s="12" t="str"/>
      <x:c r="M15" s="12" t="str"/>
      <x:c r="N15" s="12" t="str"/>
      <x:c r="O15" s="12" t="str"/>
      <x:c r="P15" s="12" t="str"/>
    </x:row>
    <x:row r="16">
      <x:c r="A16" s="8" t="str">
        <x:v>ext-iqa-pass-015</x:v>
      </x:c>
      <x:c r="B16" s="8" t="str">
        <x:v>insuranceqa</x:v>
      </x:c>
      <x:c r="C16" s="8" t="str">
        <x:v>data/benchmarks/qa/insuranceqa/data_insuranceqa_1000.jsonl</x:v>
      </x:c>
      <x:c r="D16" s="8" t="str">
        <x:v>insuranceqa:239</x:v>
      </x:c>
      <x:c r="E16" s="8" t="str"/>
      <x:c r="F16" s="10" t="str">
        <x:v>Does Nationwide Offer Long Term Care Insurance?</x:v>
      </x:c>
      <x:c r="G16" s="10" t="str">
        <x:v>Question: Does Nationwide Offer Long Term Care Insurance?
Answer: Actually , Nationwide has a very good hybrid policy that combines permanent life insurance and a comprehensive long term care rider . I use this product alot in my practice for people that have a need for both life insurance and LTC . Advantages of this product is that the benefit will always be used no matter what happens to the individual ; either they will have a long term care claim , or they will pass away and the death benefit will pass to their beneficiaries . Disadvantages of this approach to LTC planning is that there is no potential for any premium write-off and no Partnership protection .</x:v>
      </x:c>
      <x:c r="H16" s="10" t="str">
        <x:v>Actually , Nationwide has a very good hybrid policy that combines permanent life insurance and a comprehensive long term care rider . I use this product alot in my practice for people that have a need for both life insurance and LTC . Advantages of this product is that the benefit will always be used no matter what happens to the individual ; either they will have a long term care claim , or they will pass away and the death benefit will pass to their beneficiaries . Disadvantages of this approach to LTC planning is that there is no potential for any premium write-off and no Partnership protection .</x:v>
      </x:c>
      <x:c r="I16" s="8" t="str">
        <x:v>general_insurance</x:v>
      </x:c>
      <x:c r="J16" s="8" t="str">
        <x:v>VALIDATION</x:v>
      </x:c>
      <x:c r="K16" s="10" t="str"/>
      <x:c r="L16" s="12" t="str"/>
      <x:c r="M16" s="12" t="str"/>
      <x:c r="N16" s="12" t="str"/>
      <x:c r="O16" s="12" t="str"/>
      <x:c r="P16" s="12" t="str"/>
    </x:row>
    <x:row r="17">
      <x:c r="A17" s="8" t="str">
        <x:v>ext-iqa-pass-016</x:v>
      </x:c>
      <x:c r="B17" s="8" t="str">
        <x:v>insuranceqa</x:v>
      </x:c>
      <x:c r="C17" s="8" t="str">
        <x:v>data/benchmarks/qa/insuranceqa/data_insuranceqa_1000.jsonl</x:v>
      </x:c>
      <x:c r="D17" s="8" t="str">
        <x:v>insuranceqa:815</x:v>
      </x:c>
      <x:c r="E17" s="8" t="str"/>
      <x:c r="F17" s="10" t="str">
        <x:v>When Should Someone Buy Long Term Care Insurance?</x:v>
      </x:c>
      <x:c r="G17" s="10" t="str">
        <x:v>Question: When Should Someone Buy Long Term Care Insurance?
Answer: As a retirement planning specialist , I spend alot of time doing long term care planning . Why would I do this ? Because NOTHING will derail a person 's life-time savings faster than a custodial -LRB- AKA long term care -RRB- claim . There are two reasons why a person should purchase LTC ; the first is that they care about the quality of care , and having a say in where care will be provided , should they require it . The second reason is that they care about protecting the assets that they have acquired over the course of their life-time , and they want to protect those assets for their healthy spouse and/or children , rather then have those assets eaten up by impairment , or having them signed over to medicaid or a nursing home . As far as WHEN a person should purchase coverage ; my youngest clients are usually in their 40 's , and with them I usually recommend a hybrid life insurance-LTC product ; my average clients are in their mid 50 's to late 60 's , and for them I recommend either traditional long term care or a single premium policy with refund provisions , and my oldest clients are in their mid 70 's . I think the best time to purchase for most people is in their mid to late 50 's , because most will get better underwriting and a favorable premium . I hope this helps .</x:v>
      </x:c>
      <x:c r="H17" s="10" t="str">
        <x:v>As a retirement planning specialist , I spend alot of time doing long term care planning . Why would I do this ? Because NOTHING will derail a person 's life-time savings faster than a custodial -LRB- AKA long term care -RRB- claim . There are two reasons why a person should purchase LTC ; the first is that they care about the quality of care , and having a say in where care will be provided , should they require it . The second reason is that they care about protecting the assets that they have acquired over the course of their life-time , and they want to protect those assets for their healthy spouse and/or children , rather then have those assets eaten up by impairment , or having them signed over to medicaid or a nursing home . As far as WHEN a person should purchase coverage ; my youngest clients are usually in their 40 's , and with them I usually recommend a hybrid life insurance-LTC product ; my average clients are in their mid 50 's to late 60 's , and for them I recommend either traditional long term care or a single premium policy with refund provisions , and my oldest clients are in their mid 70 's . I think the best time to purchase for most people is in their mid to late 50 's , because most will get better underwriting and a favorable premium . I hope this helps .</x:v>
      </x:c>
      <x:c r="I17" s="8" t="str">
        <x:v>general_insurance</x:v>
      </x:c>
      <x:c r="J17" s="8" t="str">
        <x:v>VALIDATION</x:v>
      </x:c>
      <x:c r="K17" s="10" t="str"/>
      <x:c r="L17" s="12" t="str"/>
      <x:c r="M17" s="12" t="str"/>
      <x:c r="N17" s="12" t="str"/>
      <x:c r="O17" s="12" t="str"/>
      <x:c r="P17" s="12" t="str"/>
    </x:row>
    <x:row r="18">
      <x:c r="A18" s="8" t="str">
        <x:v>ext-iqa-pass-017</x:v>
      </x:c>
      <x:c r="B18" s="8" t="str">
        <x:v>insuranceqa</x:v>
      </x:c>
      <x:c r="C18" s="8" t="str">
        <x:v>data/benchmarks/qa/insuranceqa/data_insuranceqa_1000.jsonl</x:v>
      </x:c>
      <x:c r="D18" s="8" t="str">
        <x:v>insuranceqa:91</x:v>
      </x:c>
      <x:c r="E18" s="8" t="str"/>
      <x:c r="F18" s="10" t="str">
        <x:v>Can I change medicare providers after 3/1/2015 in Indiana?</x:v>
      </x:c>
      <x:c r="G18" s="10" t="str">
        <x:v>Question: Can I change medicare providers after 3/1/2015 in Indiana?
Answer: Are you referring to a Medicare Supplement plan -LRB- also known as a Medigap plan -RRB- , a Medicare Advantage plan , or a Medicare Part D prescription drug plan ? Your original Medicare coverage -LRB- Medicare Parts A &amp; B -RRB- is provided by the federal government . You can apply for a new Medicare Supplement plan anytime during the year . You can be subject to medical underwriting -LRB- answering yes/no health questions , a phone interview with the carrier , and a prescription check -RRB- if you 're outside your initial enrollment period -LRB- when you were new to Medicare Part B -RRB- and do not have a guarantee-issue right available to you . Medical underwriting for Medicare Supplement plans can be done in less than a week . There are no exams for these products . Please note , a common concern I hear a lot from individuals looking to replace their Medicare Supplement plans is they 're worried they 're at risk of losing the existing one if they apply for a new one and get declined . This is NOT true ! Even if you apply for a new Medicare Supplement plan and get declined , you can always keep the existing plan because Medicare Supplement plans are guaranteed renewable . If you 're looking to change your prescription drug plan provider or your Medicare Advantage plan provider , you can only make a change during certain times of the year . For the most part , you can only make changes during the annual enrollment period each year -LRB- between October 15 - December 7 -RRB- with changes becoming effective January 1 . Outside of this enrollment period , you can only make changes under certain situations -LRB- known as special enrollment periods -RRB- . An example of this is if you moved outside of the plan 's service area . For a full list of situations that qualify you for special enrollment periods to make changes , please visit the Medicare.gov website . I hope the information is helpful - please feel free to contact me for help with your coverage and if you have any other questions . Thanks very much .</x:v>
      </x:c>
      <x:c r="H18" s="10" t="str">
        <x:v>Are you referring to a Medicare Supplement plan -LRB- also known as a Medigap plan -RRB- , a Medicare Advantage plan , or a Medicare Part D prescription drug plan ? Your original Medicare coverage -LRB- Medicare Parts A &amp; B -RRB- is provided by the federal government . You can apply for a new Medicare Supplement plan anytime during the year . You can be subject to medical underwriting -LRB- answering yes/no health questions , a phone interview with the carrier , and a prescription check -RRB- if you 're outside your initial enrollment period -LRB- when you were new to Medicare Part B -RRB- and do not have a guarantee-issue right available to you . Medical underwriting for Medicare Supplement plans can be done in less than a week . There are no exams for these products . Please note , a common concern I hear a lot from individuals looking to replace their Medicare Supplement plans is they 're worried they 're at risk of losing the existing one if they apply for a new one and get declined . This is NOT true ! Even if you apply for a new Medicare Supplement plan and get declined , you can always keep the existing plan because Medicare Supplement plans are guaranteed renewable . If you 're looking to change your prescription drug plan provider or your Medicare Advantage plan provider , you can only make a change during certain times of the year . For the most part , you can only make changes during the annual enrollment period each year -LRB- between October 15 - December 7 -RRB- with changes becoming effective January 1 . Outside of this enrollment period , you can only make changes under certain situations -LRB- known as special enrollment periods -RRB- . An example of this is if you moved outside of the plan 's service area . For a full list of situations that qualify you for special enrollment periods to make changes , please visit the Medicare.gov website . I hope the information is helpful - please feel free to contact me for help with your coverage and if you have any other questions . Thanks very much .</x:v>
      </x:c>
      <x:c r="I18" s="8" t="str">
        <x:v>health</x:v>
      </x:c>
      <x:c r="J18" s="8" t="str">
        <x:v>CALIBRATION</x:v>
      </x:c>
      <x:c r="K18" s="10" t="str"/>
      <x:c r="L18" s="12" t="str"/>
      <x:c r="M18" s="12" t="str"/>
      <x:c r="N18" s="12" t="str"/>
      <x:c r="O18" s="12" t="str"/>
      <x:c r="P18" s="12" t="str"/>
    </x:row>
    <x:row r="19">
      <x:c r="A19" s="8" t="str">
        <x:v>ext-iqa-pass-018</x:v>
      </x:c>
      <x:c r="B19" s="8" t="str">
        <x:v>insuranceqa</x:v>
      </x:c>
      <x:c r="C19" s="8" t="str">
        <x:v>data/benchmarks/qa/insuranceqa/data_insuranceqa_1000.jsonl</x:v>
      </x:c>
      <x:c r="D19" s="8" t="str">
        <x:v>insuranceqa:602</x:v>
      </x:c>
      <x:c r="E19" s="8" t="str"/>
      <x:c r="F19" s="10" t="str">
        <x:v>How Do Body Shops Work With Car Insurance?</x:v>
      </x:c>
      <x:c r="G19" s="10" t="str">
        <x:v>Question: How Do Body Shops Work With Car Insurance?
Answer: That is a great question ! Generally , your auto insurance company will have a contract or agreement with a local garage , mechanic , and body shop . They will refer you to them to have your work done . By doing this , they have an agreement with the garages to keep costs under control . Should you choose to use a different mechanic , you are certainly welcome to , but my experience has been that the insurance company is much more difficult to work with . Thanks for asking !</x:v>
      </x:c>
      <x:c r="H19" s="10" t="str">
        <x:v>That is a great question ! Generally , your auto insurance company will have a contract or agreement with a local garage , mechanic , and body shop . They will refer you to them to have your work done . By doing this , they have an agreement with the garages to keep costs under control . Should you choose to use a different mechanic , you are certainly welcome to , but my experience has been that the insurance company is much more difficult to work with . Thanks for asking !</x:v>
      </x:c>
      <x:c r="I19" s="8" t="str">
        <x:v>motor</x:v>
      </x:c>
      <x:c r="J19" s="8" t="str">
        <x:v>VALIDATION</x:v>
      </x:c>
      <x:c r="K19" s="10" t="str"/>
      <x:c r="L19" s="12" t="str"/>
      <x:c r="M19" s="12" t="str"/>
      <x:c r="N19" s="12" t="str"/>
      <x:c r="O19" s="12" t="str"/>
      <x:c r="P19" s="12" t="str"/>
    </x:row>
    <x:row r="20">
      <x:c r="A20" s="8" t="str">
        <x:v>ext-iqa-pass-019</x:v>
      </x:c>
      <x:c r="B20" s="8" t="str">
        <x:v>insuranceqa</x:v>
      </x:c>
      <x:c r="C20" s="8" t="str">
        <x:v>data/benchmarks/qa/insuranceqa/data_insuranceqa_1000.jsonl</x:v>
      </x:c>
      <x:c r="D20" s="8" t="str">
        <x:v>insuranceqa:409</x:v>
      </x:c>
      <x:c r="E20" s="8" t="str"/>
      <x:c r="F20" s="10" t="str">
        <x:v>How Does Medicare D Work?</x:v>
      </x:c>
      <x:c r="G20" s="10" t="str">
        <x:v>Question: How Does Medicare D Work?
Answer: I assume you are asking about Medicare Part D which is the prescription drug plan , as opposed to Medicare supplement plan D. Medicare Part D is offered by private insurance carriers . Each plan is different . Some have deductibles , some do n't . All have copay 's and a few have coinsurance for tier 4 drugs</x:v>
      </x:c>
      <x:c r="H20" s="10" t="str">
        <x:v>I assume you are asking about Medicare Part D which is the prescription drug plan , as opposed to Medicare supplement plan D. Medicare Part D is offered by private insurance carriers . Each plan is different . Some have deductibles , some do n't . All have copay 's and a few have coinsurance for tier 4 drugs</x:v>
      </x:c>
      <x:c r="I20" s="8" t="str">
        <x:v>health</x:v>
      </x:c>
      <x:c r="J20" s="8" t="str">
        <x:v>VALIDATION</x:v>
      </x:c>
      <x:c r="K20" s="10" t="str"/>
      <x:c r="L20" s="12" t="str"/>
      <x:c r="M20" s="12" t="str"/>
      <x:c r="N20" s="12" t="str"/>
      <x:c r="O20" s="12" t="str"/>
      <x:c r="P20" s="12" t="str"/>
    </x:row>
    <x:row r="21">
      <x:c r="A21" s="8" t="str">
        <x:v>ext-iqa-pass-020</x:v>
      </x:c>
      <x:c r="B21" s="8" t="str">
        <x:v>insuranceqa</x:v>
      </x:c>
      <x:c r="C21" s="8" t="str">
        <x:v>data/benchmarks/qa/insuranceqa/data_insuranceqa_1000.jsonl</x:v>
      </x:c>
      <x:c r="D21" s="8" t="str">
        <x:v>insuranceqa:222</x:v>
      </x:c>
      <x:c r="E21" s="8" t="str"/>
      <x:c r="F21" s="10" t="str">
        <x:v>Is Car Insurance For A Lease More Expensive?</x:v>
      </x:c>
      <x:c r="G21" s="10" t="str">
        <x:v>Question: Is Car Insurance For A Lease More Expensive?
Answer: Many leases will require you to carry 100/300 liability limits so if for some reason you want to carry lower limits you will see a premium difference there . Other then that the premiums are no different then if you owned the car yourself . If you are in a position to lease a car you should be carrying a minimum of 100/300 liability limits anyway .</x:v>
      </x:c>
      <x:c r="H21" s="10" t="str">
        <x:v>Many leases will require you to carry 100/300 liability limits so if for some reason you want to carry lower limits you will see a premium difference there . Other then that the premiums are no different then if you owned the car yourself . If you are in a position to lease a car you should be carrying a minimum of 100/300 liability limits anyway .</x:v>
      </x:c>
      <x:c r="I21" s="8" t="str">
        <x:v>motor</x:v>
      </x:c>
      <x:c r="J21" s="8" t="str">
        <x:v>VALIDATION</x:v>
      </x:c>
      <x:c r="K21" s="10" t="str"/>
      <x:c r="L21" s="12" t="str"/>
      <x:c r="M21" s="12" t="str"/>
      <x:c r="N21" s="12" t="str"/>
      <x:c r="O21" s="12" t="str"/>
      <x:c r="P21" s="12" t="str"/>
    </x:row>
    <x:row r="22">
      <x:c r="A22" s="8" t="str">
        <x:v>ext-iqa-pass-021</x:v>
      </x:c>
      <x:c r="B22" s="8" t="str">
        <x:v>insuranceqa</x:v>
      </x:c>
      <x:c r="C22" s="8" t="str">
        <x:v>data/benchmarks/qa/insuranceqa/data_insuranceqa_1000.jsonl</x:v>
      </x:c>
      <x:c r="D22" s="8" t="str">
        <x:v>insuranceqa:570</x:v>
      </x:c>
      <x:c r="E22" s="8" t="str"/>
      <x:c r="F22" s="10" t="str">
        <x:v>Can Homeowners Insurance Cancel Your Policy?</x:v>
      </x:c>
      <x:c r="G22" s="10" t="str">
        <x:v>Question: Can Homeowners Insurance Cancel Your Policy?
Answer: The insurance company can cancel your policy for failure to pay the premium . It can also cancel the policy if the underwriter determines that the property was not correctly described or that the agent acted beyond his authority to bind coverage . Companies routinely cancel policies when they determine that a property has been vacated .</x:v>
      </x:c>
      <x:c r="H22" s="10" t="str">
        <x:v>The insurance company can cancel your policy for failure to pay the premium . It can also cancel the policy if the underwriter determines that the property was not correctly described or that the agent acted beyond his authority to bind coverage . Companies routinely cancel policies when they determine that a property has been vacated .</x:v>
      </x:c>
      <x:c r="I22" s="8" t="str">
        <x:v>general_insurance</x:v>
      </x:c>
      <x:c r="J22" s="8" t="str">
        <x:v>VALIDATION</x:v>
      </x:c>
      <x:c r="K22" s="10" t="str"/>
      <x:c r="L22" s="12" t="str"/>
      <x:c r="M22" s="12" t="str"/>
      <x:c r="N22" s="12" t="str"/>
      <x:c r="O22" s="12" t="str"/>
      <x:c r="P22" s="12" t="str"/>
    </x:row>
    <x:row r="23">
      <x:c r="A23" s="8" t="str">
        <x:v>ext-iqa-pass-022</x:v>
      </x:c>
      <x:c r="B23" s="8" t="str">
        <x:v>insuranceqa</x:v>
      </x:c>
      <x:c r="C23" s="8" t="str">
        <x:v>data/benchmarks/qa/insuranceqa/data_insuranceqa_1000.jsonl</x:v>
      </x:c>
      <x:c r="D23" s="8" t="str">
        <x:v>insuranceqa:622</x:v>
      </x:c>
      <x:c r="E23" s="8" t="str"/>
      <x:c r="F23" s="10" t="str">
        <x:v>How Does Home Insurance Escrow Work?</x:v>
      </x:c>
      <x:c r="G23" s="10" t="str">
        <x:v>Question: How Does Home Insurance Escrow Work?
Answer: Some banks these days require that your Homeowners Insurance be paid by them froman escrow account . If that is the case , then when you are closing on your home and obtaining insurance , they will require you to pay your insurance professional an amount equal to the full first year 's premium . The policy will then be set up to bill your mortgage company upon each renewal . The monthly payments that you make to your mortgage company , in addition to principal and interest , will include an amount for the next renewal on your Homeowners Insurance . Your insurance company will bill your mortgage company at the renewal and the annual premium will then be paid by your mortgage company from your escrow account .</x:v>
      </x:c>
      <x:c r="H23" s="10" t="str">
        <x:v>Some banks these days require that your Homeowners Insurance be paid by them froman escrow account . If that is the case , then when you are closing on your home and obtaining insurance , they will require you to pay your insurance professional an amount equal to the full first year 's premium . The policy will then be set up to bill your mortgage company upon each renewal . The monthly payments that you make to your mortgage company , in addition to principal and interest , will include an amount for the next renewal on your Homeowners Insurance . Your insurance company will bill your mortgage company at the renewal and the annual premium will then be paid by your mortgage company from your escrow account .</x:v>
      </x:c>
      <x:c r="I23" s="8" t="str">
        <x:v>household</x:v>
      </x:c>
      <x:c r="J23" s="8" t="str">
        <x:v>CALIBRATION</x:v>
      </x:c>
      <x:c r="K23" s="10" t="str"/>
      <x:c r="L23" s="12" t="str"/>
      <x:c r="M23" s="12" t="str"/>
      <x:c r="N23" s="12" t="str"/>
      <x:c r="O23" s="12" t="str"/>
      <x:c r="P23" s="12" t="str"/>
    </x:row>
    <x:row r="24">
      <x:c r="A24" s="8" t="str">
        <x:v>ext-iqa-pass-023</x:v>
      </x:c>
      <x:c r="B24" s="8" t="str">
        <x:v>insuranceqa</x:v>
      </x:c>
      <x:c r="C24" s="8" t="str">
        <x:v>data/benchmarks/qa/insuranceqa/data_insuranceqa_1000.jsonl</x:v>
      </x:c>
      <x:c r="D24" s="8" t="str">
        <x:v>insuranceqa:800</x:v>
      </x:c>
      <x:c r="E24" s="8" t="str"/>
      <x:c r="F24" s="10" t="str">
        <x:v>How Much Disability Insurance Is Enough?</x:v>
      </x:c>
      <x:c r="G24" s="10" t="str">
        <x:v>Question: How Much Disability Insurance Is Enough?
Answer: Typically disability insurance benefits are equal to a maximum of 60 % of the insured 's income . The maximum one can buy then is based on the annual income of the individual . If you can live comfortably on a lesser amount than 60 % of what you earn , then you may consider buying a policy that would pay less than 60 % of your earned income .</x:v>
      </x:c>
      <x:c r="H24" s="10" t="str">
        <x:v>Typically disability insurance benefits are equal to a maximum of 60 % of the insured 's income . The maximum one can buy then is based on the annual income of the individual . If you can live comfortably on a lesser amount than 60 % of what you earn , then you may consider buying a policy that would pay less than 60 % of your earned income .</x:v>
      </x:c>
      <x:c r="I24" s="8" t="str">
        <x:v>health</x:v>
      </x:c>
      <x:c r="J24" s="8" t="str">
        <x:v>VALIDATION</x:v>
      </x:c>
      <x:c r="K24" s="10" t="str"/>
      <x:c r="L24" s="12" t="str"/>
      <x:c r="M24" s="12" t="str"/>
      <x:c r="N24" s="12" t="str"/>
      <x:c r="O24" s="12" t="str"/>
      <x:c r="P24" s="12" t="str"/>
    </x:row>
    <x:row r="25">
      <x:c r="A25" s="8" t="str">
        <x:v>ext-iqa-pass-024</x:v>
      </x:c>
      <x:c r="B25" s="8" t="str">
        <x:v>insuranceqa</x:v>
      </x:c>
      <x:c r="C25" s="8" t="str">
        <x:v>data/benchmarks/qa/insuranceqa/data_insuranceqa_1000.jsonl</x:v>
      </x:c>
      <x:c r="D25" s="8" t="str">
        <x:v>insuranceqa:120</x:v>
      </x:c>
      <x:c r="E25" s="8" t="str"/>
      <x:c r="F25" s="10" t="str">
        <x:v>What Is Occupational Disability Insurance?</x:v>
      </x:c>
      <x:c r="G25" s="10" t="str">
        <x:v>Question: What Is Occupational Disability Insurance?
Answer: What is occupational disability insurance ? Usually it is called own occupation and it is used in the definition of disability . It is very much to the insured 's favor to have that definition in their disability policy . It is a specific rather than general definition . For example your disability policy would pay if you could n't work in that specific job , and it would continue to pay you if you could work in another occupation .</x:v>
      </x:c>
      <x:c r="H25" s="10" t="str">
        <x:v>What is occupational disability insurance ? Usually it is called own occupation and it is used in the definition of disability . It is very much to the insured 's favor to have that definition in their disability policy . It is a specific rather than general definition . For example your disability policy would pay if you could n't work in that specific job , and it would continue to pay you if you could work in another occupation .</x:v>
      </x:c>
      <x:c r="I25" s="8" t="str">
        <x:v>health</x:v>
      </x:c>
      <x:c r="J25" s="8" t="str">
        <x:v>VALIDATION</x:v>
      </x:c>
      <x:c r="K25" s="10" t="str"/>
      <x:c r="L25" s="12" t="str"/>
      <x:c r="M25" s="12" t="str"/>
      <x:c r="N25" s="12" t="str"/>
      <x:c r="O25" s="12" t="str"/>
      <x:c r="P25" s="12" t="str"/>
    </x:row>
    <x:row r="26">
      <x:c r="A26" s="8" t="str">
        <x:v>ext-iqa-pass-025</x:v>
      </x:c>
      <x:c r="B26" s="8" t="str">
        <x:v>insuranceqa</x:v>
      </x:c>
      <x:c r="C26" s="8" t="str">
        <x:v>data/benchmarks/qa/insuranceqa/data_insuranceqa_1000.jsonl</x:v>
      </x:c>
      <x:c r="D26" s="8" t="str">
        <x:v>insuranceqa:896</x:v>
      </x:c>
      <x:c r="E26" s="8" t="str"/>
      <x:c r="F26" s="10" t="str">
        <x:v>Can You Get Car Insurance With A Suspended Drivers License?</x:v>
      </x:c>
      <x:c r="G26" s="10" t="str">
        <x:v>Question: Can You Get Car Insurance With A Suspended Drivers License?
Answer: That is a great question ! While it will be difficult to get insurance , it is possible . What you will need to do is contact your agent , and find out what they will need to issue you a policy . In most cases , that will mean satisfying the requirements to get your license reinstated - fines paid , classes taken , whatever was required of you . Having your license suspended is bad , but it will be infinitely worse for you if you get caught driving on it , and you are uninsured . Please do n't even consider it ! Good luck , and thanks for asking !</x:v>
      </x:c>
      <x:c r="H26" s="10" t="str">
        <x:v>That is a great question ! While it will be difficult to get insurance , it is possible . What you will need to do is contact your agent , and find out what they will need to issue you a policy . In most cases , that will mean satisfying the requirements to get your license reinstated - fines paid , classes taken , whatever was required of you . Having your license suspended is bad , but it will be infinitely worse for you if you get caught driving on it , and you are uninsured . Please do n't even consider it ! Good luck , and thanks for asking !</x:v>
      </x:c>
      <x:c r="I26" s="8" t="str">
        <x:v>motor</x:v>
      </x:c>
      <x:c r="J26" s="8" t="str">
        <x:v>VALIDATION</x:v>
      </x:c>
      <x:c r="K26" s="10" t="str"/>
      <x:c r="L26" s="12" t="str"/>
      <x:c r="M26" s="12" t="str"/>
      <x:c r="N26" s="12" t="str"/>
      <x:c r="O26" s="12" t="str"/>
      <x:c r="P26" s="12" t="str"/>
    </x:row>
    <x:row r="27">
      <x:c r="A27" s="8" t="str">
        <x:v>ext-iqa-pass-026</x:v>
      </x:c>
      <x:c r="B27" s="8" t="str">
        <x:v>insuranceqa</x:v>
      </x:c>
      <x:c r="C27" s="8" t="str">
        <x:v>data/benchmarks/qa/insuranceqa/data_insuranceqa_1000.jsonl</x:v>
      </x:c>
      <x:c r="D27" s="8" t="str">
        <x:v>insuranceqa:224</x:v>
      </x:c>
      <x:c r="E27" s="8" t="str"/>
      <x:c r="F27" s="10" t="str">
        <x:v>How Long Does A Homeowners Insurance Claim Stay On Record?</x:v>
      </x:c>
      <x:c r="G27" s="10" t="str">
        <x:v>Question: How Long Does A Homeowners Insurance Claim Stay On Record?
Answer: As a matter of practice most insurance companies look back at three years of losses . Companies are particularly concerned about recurring losses . These usually indicate poor maintenance or a design flaw in the residence . Recurring water damage losses from a leaky roof are a concern . There are situations where the initial repair did not fix the root cause and continued claims can be expected .</x:v>
      </x:c>
      <x:c r="H27" s="10" t="str">
        <x:v>As a matter of practice most insurance companies look back at three years of losses . Companies are particularly concerned about recurring losses . These usually indicate poor maintenance or a design flaw in the residence . Recurring water damage losses from a leaky roof are a concern . There are situations where the initial repair did not fix the root cause and continued claims can be expected .</x:v>
      </x:c>
      <x:c r="I27" s="8" t="str">
        <x:v>general_insurance</x:v>
      </x:c>
      <x:c r="J27" s="8" t="str">
        <x:v>LOCKED_HOLDOUT_CANDIDATE</x:v>
      </x:c>
      <x:c r="K27" s="10" t="str"/>
      <x:c r="L27" s="12" t="str"/>
      <x:c r="M27" s="12" t="str"/>
      <x:c r="N27" s="12" t="str"/>
      <x:c r="O27" s="12" t="str"/>
      <x:c r="P27" s="12" t="str"/>
    </x:row>
    <x:row r="28">
      <x:c r="A28" s="8" t="str">
        <x:v>ext-iqa-pass-027</x:v>
      </x:c>
      <x:c r="B28" s="8" t="str">
        <x:v>insuranceqa</x:v>
      </x:c>
      <x:c r="C28" s="8" t="str">
        <x:v>data/benchmarks/qa/insuranceqa/data_insuranceqa_1000.jsonl</x:v>
      </x:c>
      <x:c r="D28" s="8" t="str">
        <x:v>insuranceqa:773</x:v>
      </x:c>
      <x:c r="E28" s="8" t="str"/>
      <x:c r="F28" s="10" t="str">
        <x:v>What Services Does Medicare Part D Cover?</x:v>
      </x:c>
      <x:c r="G28" s="10" t="str">
        <x:v>Question: What Services Does Medicare Part D Cover?
Answer: Medicare Part D covers a portion of your outpatient Rx benefits . Part D is available from private insurance carriers and has a monthly premium of anywhere from $ 15 monthly on up to over $ 100 . Each plan is different . Some have deductibles , some do n't . All have copay 's . Check your formulary before signing up .</x:v>
      </x:c>
      <x:c r="H28" s="10" t="str">
        <x:v>Medicare Part D covers a portion of your outpatient Rx benefits . Part D is available from private insurance carriers and has a monthly premium of anywhere from $ 15 monthly on up to over $ 100 . Each plan is different . Some have deductibles , some do n't . All have copay 's . Check your formulary before signing up .</x:v>
      </x:c>
      <x:c r="I28" s="8" t="str">
        <x:v>health</x:v>
      </x:c>
      <x:c r="J28" s="8" t="str">
        <x:v>VALIDATION</x:v>
      </x:c>
      <x:c r="K28" s="10" t="str"/>
      <x:c r="L28" s="12" t="str"/>
      <x:c r="M28" s="12" t="str"/>
      <x:c r="N28" s="12" t="str"/>
      <x:c r="O28" s="12" t="str"/>
      <x:c r="P28" s="12" t="str"/>
    </x:row>
    <x:row r="29">
      <x:c r="A29" s="8" t="str">
        <x:v>ext-iqa-pass-028</x:v>
      </x:c>
      <x:c r="B29" s="8" t="str">
        <x:v>insuranceqa</x:v>
      </x:c>
      <x:c r="C29" s="8" t="str">
        <x:v>data/benchmarks/qa/insuranceqa/data_insuranceqa_1000.jsonl</x:v>
      </x:c>
      <x:c r="D29" s="8" t="str">
        <x:v>insuranceqa:10</x:v>
      </x:c>
      <x:c r="E29" s="8" t="str"/>
      <x:c r="F29" s="10" t="str">
        <x:v>I Have A Qualified Variable Annuity. What Is That Exactly?</x:v>
      </x:c>
      <x:c r="G29" s="10" t="str">
        <x:v>Question: I Have A Qualified Variable Annuity. What Is That Exactly?
Answer: That is a great question ! I 'd strongly advise that you check with your annuity 's agent or your tax adviser before doing anything . You mentioned that you were willing to pay penalties and taxes , so I 'm assuming that there is a pressing need for cash , or a great dislike for the policy/agent/company that has caused you to decide to gut your annuity ? If so , I 'd again advise caution . If you surrender your annuity , and it was meant to fuel your retirement , what is your plan to replace it ? Will you end up suffering for many years for a temporary hardship if you surrender the annuity ? Maybe it might be wiser to see what cash withdrawal you can make from the annuity without fees -LRB- you are allowed a certain amount without penalties or fees , and more if you are willing to pay any surrender fees that may still be applicable -RRB- and leave the annuity intact ; you may also want to look at borrowing from a cash value of any whole life policy that you may have , as that also is a quick and relatively painless way to get cash . If your heart is set upon surrendering it , please bear in mind that there will be a 10 % penalty , possible surrender fees , and a major tax bite from the amount that you might expect to get . Please assume that if you are lucky , you will recieve roughly half of what you are expecting to receive , depending upon your tax bracket . This type of investment is designed specifically for saving , and stopping the process is very costly . To start the process , contact your agent who sold you the annuity , or the plan administrator , and tell them of your intentions . If you would like to discuss this further , please do not hesitate to contact me , okay ? I 'd be happy to help . Good luck , and thank you for asking !</x:v>
      </x:c>
      <x:c r="H29" s="10" t="str">
        <x:v>That is a great question ! I 'd strongly advise that you check with your annuity 's agent or your tax adviser before doing anything . You mentioned that you were willing to pay penalties and taxes , so I 'm assuming that there is a pressing need for cash , or a great dislike for the policy/agent/company that has caused you to decide to gut your annuity ? If so , I 'd again advise caution . If you surrender your annuity , and it was meant to fuel your retirement , what is your plan to replace it ? Will you end up suffering for many years for a temporary hardship if you surrender the annuity ? Maybe it might be wiser to see what cash withdrawal you can make from the annuity without fees -LRB- you are allowed a certain amount without penalties or fees , and more if you are willing to pay any surrender fees that may still be applicable -RRB- and leave the annuity intact ; you may also want to look at borrowing from a cash value of any whole life policy that you may have , as that also is a quick and relatively painless way to get cash . If your heart is set upon surrendering it , please bear in mind that there will be a 10 % penalty , possible surrender fees , and a major tax bite from the amount that you might expect to get . Please assume that if you are lucky , you will recieve roughly half of what you are expecting to receive , depending upon your tax bracket . This type of investment is designed specifically for saving , and stopping the process is very costly . To start the process , contact your agent who sold you the annuity , or the plan administrator , and tell them of your intentions . If you would like to discuss this further , please do not hesitate to contact me , okay ? I 'd be happy to help . Good luck , and thank you for asking !</x:v>
      </x:c>
      <x:c r="I29" s="8" t="str">
        <x:v>life</x:v>
      </x:c>
      <x:c r="J29" s="8" t="str">
        <x:v>CALIBRATION</x:v>
      </x:c>
      <x:c r="K29" s="10" t="str"/>
      <x:c r="L29" s="12" t="str"/>
      <x:c r="M29" s="12" t="str"/>
      <x:c r="N29" s="12" t="str"/>
      <x:c r="O29" s="12" t="str"/>
      <x:c r="P29" s="12" t="str"/>
    </x:row>
    <x:row r="30">
      <x:c r="A30" s="8" t="str">
        <x:v>ext-iqa-pass-029</x:v>
      </x:c>
      <x:c r="B30" s="8" t="str">
        <x:v>insuranceqa</x:v>
      </x:c>
      <x:c r="C30" s="8" t="str">
        <x:v>data/benchmarks/qa/insuranceqa/data_insuranceqa_1000.jsonl</x:v>
      </x:c>
      <x:c r="D30" s="8" t="str">
        <x:v>insuranceqa:765</x:v>
      </x:c>
      <x:c r="E30" s="8" t="str"/>
      <x:c r="F30" s="10" t="str">
        <x:v>What Good Is Long Term Care Insurance?</x:v>
      </x:c>
      <x:c r="G30" s="10" t="str">
        <x:v>Question: What Good Is Long Term Care Insurance?
Answer: A long term care policy is only as good as the contract stipulates . And the contract is only as good as the insurance company that issued the policy . But long term care insurance can fund periods of assisted living and/or nursing home care , that can be very expensive . It 's part of defensive retirement planning .</x:v>
      </x:c>
      <x:c r="H30" s="10" t="str">
        <x:v>A long term care policy is only as good as the contract stipulates . And the contract is only as good as the insurance company that issued the policy . But long term care insurance can fund periods of assisted living and/or nursing home care , that can be very expensive . It 's part of defensive retirement planning .</x:v>
      </x:c>
      <x:c r="I30" s="8" t="str">
        <x:v>general_insurance</x:v>
      </x:c>
      <x:c r="J30" s="8" t="str">
        <x:v>LOCKED_HOLDOUT_CANDIDATE</x:v>
      </x:c>
      <x:c r="K30" s="10" t="str"/>
      <x:c r="L30" s="12" t="str"/>
      <x:c r="M30" s="12" t="str"/>
      <x:c r="N30" s="12" t="str"/>
      <x:c r="O30" s="12" t="str"/>
      <x:c r="P30" s="12" t="str"/>
    </x:row>
    <x:row r="31">
      <x:c r="A31" s="8" t="str">
        <x:v>ext-iqa-pass-030</x:v>
      </x:c>
      <x:c r="B31" s="8" t="str">
        <x:v>insuranceqa</x:v>
      </x:c>
      <x:c r="C31" s="8" t="str">
        <x:v>data/benchmarks/qa/insuranceqa/data_insuranceqa_1000.jsonl</x:v>
      </x:c>
      <x:c r="D31" s="8" t="str">
        <x:v>insuranceqa:893</x:v>
      </x:c>
      <x:c r="E31" s="8" t="str"/>
      <x:c r="F31" s="10" t="str">
        <x:v>Where Can I Buy Disability Insurance?</x:v>
      </x:c>
      <x:c r="G31" s="10" t="str">
        <x:v>Question: Where Can I Buy Disability Insurance?
Answer: Disability insurance can be purchased from a variety of companies . You may apply online , call a company direct or purchase it from your local insurance agent . However , it truly is one of the complex insurance policies on the market . I recommend using an experienced disability insurance broker to shop the market to find the best product at the best price for your unique situation .</x:v>
      </x:c>
      <x:c r="H31" s="10" t="str">
        <x:v>Disability insurance can be purchased from a variety of companies . You may apply online , call a company direct or purchase it from your local insurance agent . However , it truly is one of the complex insurance policies on the market . I recommend using an experienced disability insurance broker to shop the market to find the best product at the best price for your unique situation .</x:v>
      </x:c>
      <x:c r="I31" s="8" t="str">
        <x:v>health</x:v>
      </x:c>
      <x:c r="J31" s="8" t="str">
        <x:v>VALIDATION</x:v>
      </x:c>
      <x:c r="K31" s="10" t="str"/>
      <x:c r="L31" s="12" t="str"/>
      <x:c r="M31" s="12" t="str"/>
      <x:c r="N31" s="12" t="str"/>
      <x:c r="O31" s="12" t="str"/>
      <x:c r="P31" s="12" t="str"/>
    </x:row>
    <x:row r="32">
      <x:c r="A32" s="8" t="str">
        <x:v>ext-iqa-pass-031</x:v>
      </x:c>
      <x:c r="B32" s="8" t="str">
        <x:v>insuranceqa</x:v>
      </x:c>
      <x:c r="C32" s="8" t="str">
        <x:v>data/benchmarks/qa/insuranceqa/data_insuranceqa_1000.jsonl</x:v>
      </x:c>
      <x:c r="D32" s="8" t="str">
        <x:v>insuranceqa:274</x:v>
      </x:c>
      <x:c r="E32" s="8" t="str"/>
      <x:c r="F32" s="10" t="str">
        <x:v>What Feature Is Unique To Annuities?</x:v>
      </x:c>
      <x:c r="G32" s="10" t="str">
        <x:v>Question: What Feature Is Unique To Annuities?
Answer: The key features unique to Annuities are : # 1 interest earned is not taxed throughout the accumulation period . # 2 . Distributions are fully guaranteed and have multiple options such as period certain , lifetime of the annuitant among others # 3 . Unlike qualified plans such as an IRA , an annuity owner can also chose to not take distributions and let the funds in the annuity pass directly to their beneficiary . Other products have some of the features of annuities however only annuities combine the features outlined here . .</x:v>
      </x:c>
      <x:c r="H32" s="10" t="str">
        <x:v>The key features unique to Annuities are : # 1 interest earned is not taxed throughout the accumulation period . # 2 . Distributions are fully guaranteed and have multiple options such as period certain , lifetime of the annuitant among others # 3 . Unlike qualified plans such as an IRA , an annuity owner can also chose to not take distributions and let the funds in the annuity pass directly to their beneficiary . Other products have some of the features of annuities however only annuities combine the features outlined here . .</x:v>
      </x:c>
      <x:c r="I32" s="8" t="str">
        <x:v>general_insurance</x:v>
      </x:c>
      <x:c r="J32" s="8" t="str">
        <x:v>LOCKED_HOLDOUT_CANDIDATE</x:v>
      </x:c>
      <x:c r="K32" s="10" t="str"/>
      <x:c r="L32" s="12" t="str"/>
      <x:c r="M32" s="12" t="str"/>
      <x:c r="N32" s="12" t="str"/>
      <x:c r="O32" s="12" t="str"/>
      <x:c r="P32" s="12" t="str"/>
    </x:row>
    <x:row r="33">
      <x:c r="A33" s="8" t="str">
        <x:v>ext-iqa-pass-032</x:v>
      </x:c>
      <x:c r="B33" s="8" t="str">
        <x:v>insuranceqa</x:v>
      </x:c>
      <x:c r="C33" s="8" t="str">
        <x:v>data/benchmarks/qa/insuranceqa/data_insuranceqa_1000.jsonl</x:v>
      </x:c>
      <x:c r="D33" s="8" t="str">
        <x:v>insuranceqa:905</x:v>
      </x:c>
      <x:c r="E33" s="8" t="str"/>
      <x:c r="F33" s="10" t="str">
        <x:v>What Is The Waiting Period For Disability Insurance?</x:v>
      </x:c>
      <x:c r="G33" s="10" t="str">
        <x:v>Question: What Is The Waiting Period For Disability Insurance?
Answer: The waiting period , also known as the elimination period , varies from plan to plan . For short term disability insurance , the common elimination periods are 7 and 14 days . For long term disability insurance , the most favorable ep is 90 days , but some policies are written with 180 or even 365 eps . The longer eps are usually to offset the cost as it 's cheaper when the waiting period is longer .</x:v>
      </x:c>
      <x:c r="H33" s="10" t="str">
        <x:v>The waiting period , also known as the elimination period , varies from plan to plan . For short term disability insurance , the common elimination periods are 7 and 14 days . For long term disability insurance , the most favorable ep is 90 days , but some policies are written with 180 or even 365 eps . The longer eps are usually to offset the cost as it 's cheaper when the waiting period is longer .</x:v>
      </x:c>
      <x:c r="I33" s="8" t="str">
        <x:v>health</x:v>
      </x:c>
      <x:c r="J33" s="8" t="str">
        <x:v>LOCKED_HOLDOUT_CANDIDATE</x:v>
      </x:c>
      <x:c r="K33" s="10" t="str"/>
      <x:c r="L33" s="12" t="str"/>
      <x:c r="M33" s="12" t="str"/>
      <x:c r="N33" s="12" t="str"/>
      <x:c r="O33" s="12" t="str"/>
      <x:c r="P33" s="12" t="str"/>
    </x:row>
    <x:row r="34">
      <x:c r="A34" s="8" t="str">
        <x:v>ext-iqa-pass-033</x:v>
      </x:c>
      <x:c r="B34" s="8" t="str">
        <x:v>insuranceqa</x:v>
      </x:c>
      <x:c r="C34" s="8" t="str">
        <x:v>data/benchmarks/qa/insuranceqa/data_insuranceqa_1000.jsonl</x:v>
      </x:c>
      <x:c r="D34" s="8" t="str">
        <x:v>insuranceqa:885</x:v>
      </x:c>
      <x:c r="E34" s="8" t="str"/>
      <x:c r="F34" s="10" t="str">
        <x:v>Can I Get Life Insurance After A Stroke?</x:v>
      </x:c>
      <x:c r="G34" s="10" t="str">
        <x:v>Question: Can I Get Life Insurance After A Stroke?
Answer: If you have had one stroke that had minimal effects and several years have passed since having the stroke , you may be able to get a medically underwritten policy of any amount for which you financially qualify , with immediate death benefit . If your stroke impacted your health enough that you needed to go on Disability but you are still able to do all your own activities of daily living and walk without personal assistance -LRB- can or walker is OK -RRB- , then there are a number of simplified issue policies that may or not be graded , that you can get . If your stroke caused you to require use of a wheelchair , home health or nursing home care -LRB- inability to do your own ADL 's -RRB- , or causes significant confusion , then guaranteed issue policies are available to most people . These are more restrictive in features than the other policies , but are available for final expense purposes . Contact an impaired risk underwriting agency that carries all these types of policies and understands life insurance underwriting for stroke , and you will get your best price .</x:v>
      </x:c>
      <x:c r="H34" s="10" t="str">
        <x:v>If you have had one stroke that had minimal effects and several years have passed since having the stroke , you may be able to get a medically underwritten policy of any amount for which you financially qualify , with immediate death benefit . If your stroke impacted your health enough that you needed to go on Disability but you are still able to do all your own activities of daily living and walk without personal assistance -LRB- can or walker is OK -RRB- , then there are a number of simplified issue policies that may or not be graded , that you can get . If your stroke caused you to require use of a wheelchair , home health or nursing home care -LRB- inability to do your own ADL 's -RRB- , or causes significant confusion , then guaranteed issue policies are available to most people . These are more restrictive in features than the other policies , but are available for final expense purposes . Contact an impaired risk underwriting agency that carries all these types of policies and understands life insurance underwriting for stroke , and you will get your best price .</x:v>
      </x:c>
      <x:c r="I34" s="8" t="str">
        <x:v>life</x:v>
      </x:c>
      <x:c r="J34" s="8" t="str">
        <x:v>CALIBRATION</x:v>
      </x:c>
      <x:c r="K34" s="10" t="str"/>
      <x:c r="L34" s="12" t="str"/>
      <x:c r="M34" s="12" t="str"/>
      <x:c r="N34" s="12" t="str"/>
      <x:c r="O34" s="12" t="str"/>
      <x:c r="P34" s="12" t="str"/>
    </x:row>
    <x:row r="35">
      <x:c r="A35" s="8" t="str">
        <x:v>ext-iqa-pass-034</x:v>
      </x:c>
      <x:c r="B35" s="8" t="str">
        <x:v>insuranceqa</x:v>
      </x:c>
      <x:c r="C35" s="8" t="str">
        <x:v>data/benchmarks/qa/insuranceqa/data_insuranceqa_1000.jsonl</x:v>
      </x:c>
      <x:c r="D35" s="8" t="str">
        <x:v>insuranceqa:197</x:v>
      </x:c>
      <x:c r="E35" s="8" t="str"/>
      <x:c r="F35" s="10" t="str">
        <x:v>How Much Does It Cost For Level Term Life Insurance?</x:v>
      </x:c>
      <x:c r="G35" s="10" t="str">
        <x:v>Question: How Much Does It Cost For Level Term Life Insurance?
Answer: There is no one set cost to level Term Life Insurance . However , a rule of thumb is , the longer the term , the higher the premium . That is because the insurance companies average out what the policy would cost at your starting age , and the cost of insurance for the ending age of the term policy you chose . If you took out a 10 year Term policy at age 35 , the policy will end -LRB- or the price will go up drastically -RRB- at your age 45 . Mortality rates are not real high at age 45 , so the premium will be relatively low . If you locked that premium in for 30 years , the policy will end at your age 65 , which is when mortality rates are much higher . Therefore , the premium will be higher . However , the premium you have locked in is based on your health at age 35 . And that can make it be a very good deal .</x:v>
      </x:c>
      <x:c r="H35" s="10" t="str">
        <x:v>There is no one set cost to level Term Life Insurance . However , a rule of thumb is , the longer the term , the higher the premium . That is because the insurance companies average out what the policy would cost at your starting age , and the cost of insurance for the ending age of the term policy you chose . If you took out a 10 year Term policy at age 35 , the policy will end -LRB- or the price will go up drastically -RRB- at your age 45 . Mortality rates are not real high at age 45 , so the premium will be relatively low . If you locked that premium in for 30 years , the policy will end at your age 65 , which is when mortality rates are much higher . Therefore , the premium will be higher . However , the premium you have locked in is based on your health at age 35 . And that can make it be a very good deal .</x:v>
      </x:c>
      <x:c r="I35" s="8" t="str">
        <x:v>life</x:v>
      </x:c>
      <x:c r="J35" s="8" t="str">
        <x:v>CALIBRATION</x:v>
      </x:c>
      <x:c r="K35" s="10" t="str"/>
      <x:c r="L35" s="12" t="str"/>
      <x:c r="M35" s="12" t="str"/>
      <x:c r="N35" s="12" t="str"/>
      <x:c r="O35" s="12" t="str"/>
      <x:c r="P35" s="12" t="str"/>
    </x:row>
    <x:row r="36">
      <x:c r="A36" s="8" t="str">
        <x:v>ext-iqa-pass-035</x:v>
      </x:c>
      <x:c r="B36" s="8" t="str">
        <x:v>insuranceqa</x:v>
      </x:c>
      <x:c r="C36" s="8" t="str">
        <x:v>data/benchmarks/qa/insuranceqa/data_insuranceqa_1000.jsonl</x:v>
      </x:c>
      <x:c r="D36" s="8" t="str">
        <x:v>insuranceqa:836</x:v>
      </x:c>
      <x:c r="E36" s="8" t="str"/>
      <x:c r="F36" s="10" t="str">
        <x:v>Will Medicare Pay For Hospice?</x:v>
      </x:c>
      <x:c r="G36" s="10" t="str">
        <x:v>Question: Will Medicare Pay For Hospice?
Answer: That is a great question , and one with a great answer ! Yes , Medicare Part A pays for end of life treatment . You will need a Doctor 's certification that your loved one is expected to pass within 6 months , and that no further restorative procedures are to be implemented . It does n't matter if the hospice care is given in your home , or a facility , as long as it is Medicare approved . You may also need a living will , or something similar to qualify . It will also pay for up to 5 days of respite care , if you need to take a break . Thanks for asking !</x:v>
      </x:c>
      <x:c r="H36" s="10" t="str">
        <x:v>That is a great question , and one with a great answer ! Yes , Medicare Part A pays for end of life treatment . You will need a Doctor 's certification that your loved one is expected to pass within 6 months , and that no further restorative procedures are to be implemented . It does n't matter if the hospice care is given in your home , or a facility , as long as it is Medicare approved . You may also need a living will , or something similar to qualify . It will also pay for up to 5 days of respite care , if you need to take a break . Thanks for asking !</x:v>
      </x:c>
      <x:c r="I36" s="8" t="str">
        <x:v>health</x:v>
      </x:c>
      <x:c r="J36" s="8" t="str">
        <x:v>CALIBRATION</x:v>
      </x:c>
      <x:c r="K36" s="10" t="str"/>
      <x:c r="L36" s="12" t="str"/>
      <x:c r="M36" s="12" t="str"/>
      <x:c r="N36" s="12" t="str"/>
      <x:c r="O36" s="12" t="str"/>
      <x:c r="P36" s="12" t="str"/>
    </x:row>
    <x:row r="37">
      <x:c r="A37" s="8" t="str">
        <x:v>ext-iqa-pass-036</x:v>
      </x:c>
      <x:c r="B37" s="8" t="str">
        <x:v>insuranceqa</x:v>
      </x:c>
      <x:c r="C37" s="8" t="str">
        <x:v>data/benchmarks/qa/insuranceqa/data_insuranceqa_1000.jsonl</x:v>
      </x:c>
      <x:c r="D37" s="8" t="str">
        <x:v>insuranceqa:588</x:v>
      </x:c>
      <x:c r="E37" s="8" t="str"/>
      <x:c r="F37" s="10" t="str">
        <x:v>How Much Does Life Insurance Underwriters Make?</x:v>
      </x:c>
      <x:c r="G37" s="10" t="str">
        <x:v>Question: How Much Does Life Insurance Underwriters Make?
Answer: Life insurance underwriters are generally paid on the basis of the amount of insurance they are permitted to underwrite , i.e. a $ 500,000 authority may define a `` junior '' underwriter who can make $ 50,000 to $ 75,000 . A senior underwriter with seasoned experience is going to make a six figure income . Senior underwriters who also are MDs can make considerably more ,</x:v>
      </x:c>
      <x:c r="H37" s="10" t="str">
        <x:v>Life insurance underwriters are generally paid on the basis of the amount of insurance they are permitted to underwrite , i.e. a $ 500,000 authority may define a `` junior '' underwriter who can make $ 50,000 to $ 75,000 . A senior underwriter with seasoned experience is going to make a six figure income . Senior underwriters who also are MDs can make considerably more ,</x:v>
      </x:c>
      <x:c r="I37" s="8" t="str">
        <x:v>life</x:v>
      </x:c>
      <x:c r="J37" s="8" t="str">
        <x:v>LOCKED_HOLDOUT_CANDIDATE</x:v>
      </x:c>
      <x:c r="K37" s="10" t="str"/>
      <x:c r="L37" s="12" t="str"/>
      <x:c r="M37" s="12" t="str"/>
      <x:c r="N37" s="12" t="str"/>
      <x:c r="O37" s="12" t="str"/>
      <x:c r="P37" s="12" t="str"/>
    </x:row>
    <x:row r="38">
      <x:c r="A38" s="8" t="str">
        <x:v>ext-iqa-pass-037</x:v>
      </x:c>
      <x:c r="B38" s="8" t="str">
        <x:v>insuranceqa</x:v>
      </x:c>
      <x:c r="C38" s="8" t="str">
        <x:v>data/benchmarks/qa/insuranceqa/data_insuranceqa_1000.jsonl</x:v>
      </x:c>
      <x:c r="D38" s="8" t="str">
        <x:v>insuranceqa:545</x:v>
      </x:c>
      <x:c r="E38" s="8" t="str"/>
      <x:c r="F38" s="10" t="str">
        <x:v>What Is The Best Medicare Plan In California?</x:v>
      </x:c>
      <x:c r="G38" s="10" t="str">
        <x:v>Question: What Is The Best Medicare Plan In California?
Answer: California has a lot of good Medicare plans , and there is surely one that is `` best '' for you . Medicare insurance rates vary greatly by age , tobacco use , zip code and plan design . The older you are the higher your Medicare supplement rate will be . The exception is for those who are under age 65 and on disability and Medicare . In most states rates for under age 65 are astronomical . Tobacco use often adds 20 % to the rate but can be more , depending on the carrier . Online sites offering instant Medicare plan rates can be helpful but if you want the lowest rates you need to talk to an independent Medicare agent .</x:v>
      </x:c>
      <x:c r="H38" s="10" t="str">
        <x:v>California has a lot of good Medicare plans , and there is surely one that is `` best '' for you . Medicare insurance rates vary greatly by age , tobacco use , zip code and plan design . The older you are the higher your Medicare supplement rate will be . The exception is for those who are under age 65 and on disability and Medicare . In most states rates for under age 65 are astronomical . Tobacco use often adds 20 % to the rate but can be more , depending on the carrier . Online sites offering instant Medicare plan rates can be helpful but if you want the lowest rates you need to talk to an independent Medicare agent .</x:v>
      </x:c>
      <x:c r="I38" s="8" t="str">
        <x:v>health</x:v>
      </x:c>
      <x:c r="J38" s="8" t="str">
        <x:v>CALIBRATION</x:v>
      </x:c>
      <x:c r="K38" s="10" t="str"/>
      <x:c r="L38" s="12" t="str"/>
      <x:c r="M38" s="12" t="str"/>
      <x:c r="N38" s="12" t="str"/>
      <x:c r="O38" s="12" t="str"/>
      <x:c r="P38" s="12" t="str"/>
    </x:row>
    <x:row r="39">
      <x:c r="A39" s="8" t="str">
        <x:v>ext-iqa-pass-038</x:v>
      </x:c>
      <x:c r="B39" s="8" t="str">
        <x:v>insuranceqa</x:v>
      </x:c>
      <x:c r="C39" s="8" t="str">
        <x:v>data/benchmarks/qa/insuranceqa/data_insuranceqa_1000.jsonl</x:v>
      </x:c>
      <x:c r="D39" s="8" t="str">
        <x:v>insuranceqa:487</x:v>
      </x:c>
      <x:c r="E39" s="8" t="str"/>
      <x:c r="F39" s="10" t="str">
        <x:v>At What Age Can You Collect Medicare?</x:v>
      </x:c>
      <x:c r="G39" s="10" t="str">
        <x:v>Question: At What Age Can You Collect Medicare?
Answer: You can collect Medicare Part A and Part B at age 65 if you or your spouse has paid Medicare taxes for at least 40 quarters . You can collect Medicare under age 65 if you have been receiving Social Security Disability benefits for 24 months , and in several other circumstances .</x:v>
      </x:c>
      <x:c r="H39" s="10" t="str">
        <x:v>You can collect Medicare Part A and Part B at age 65 if you or your spouse has paid Medicare taxes for at least 40 quarters . You can collect Medicare under age 65 if you have been receiving Social Security Disability benefits for 24 months , and in several other circumstances .</x:v>
      </x:c>
      <x:c r="I39" s="8" t="str">
        <x:v>health</x:v>
      </x:c>
      <x:c r="J39" s="8" t="str">
        <x:v>CALIBRATION</x:v>
      </x:c>
      <x:c r="K39" s="10" t="str"/>
      <x:c r="L39" s="12" t="str"/>
      <x:c r="M39" s="12" t="str"/>
      <x:c r="N39" s="12" t="str"/>
      <x:c r="O39" s="12" t="str"/>
      <x:c r="P39" s="12" t="str"/>
    </x:row>
    <x:row r="40">
      <x:c r="A40" s="8" t="str">
        <x:v>ext-iqa-pass-039</x:v>
      </x:c>
      <x:c r="B40" s="8" t="str">
        <x:v>insuranceqa</x:v>
      </x:c>
      <x:c r="C40" s="8" t="str">
        <x:v>data/benchmarks/qa/insuranceqa/data_insuranceqa_1000.jsonl</x:v>
      </x:c>
      <x:c r="D40" s="8" t="str">
        <x:v>insuranceqa:438</x:v>
      </x:c>
      <x:c r="E40" s="8" t="str"/>
      <x:c r="F40" s="10" t="str">
        <x:v>How Would You Calculate The Expected Return On A Life Insurance Policy?</x:v>
      </x:c>
      <x:c r="G40" s="10" t="str">
        <x:v>Question: How Would You Calculate The Expected Return On A Life Insurance Policy?
Answer: Before you break out your HP12c calculator , consider this . Almost all proposals illustrate internal rate of return on both death benefit and cash values . If you have an existing life insurance policy you can order whats called an in force ledger and request the internal rate of return on both death benefit and cash values .</x:v>
      </x:c>
      <x:c r="H40" s="10" t="str">
        <x:v>Before you break out your HP12c calculator , consider this . Almost all proposals illustrate internal rate of return on both death benefit and cash values . If you have an existing life insurance policy you can order whats called an in force ledger and request the internal rate of return on both death benefit and cash values .</x:v>
      </x:c>
      <x:c r="I40" s="8" t="str">
        <x:v>life</x:v>
      </x:c>
      <x:c r="J40" s="8" t="str">
        <x:v>LOCKED_HOLDOUT_CANDIDATE</x:v>
      </x:c>
      <x:c r="K40" s="10" t="str"/>
      <x:c r="L40" s="12" t="str"/>
      <x:c r="M40" s="12" t="str"/>
      <x:c r="N40" s="12" t="str"/>
      <x:c r="O40" s="12" t="str"/>
      <x:c r="P40" s="12" t="str"/>
    </x:row>
    <x:row r="41">
      <x:c r="A41" s="8" t="str">
        <x:v>ext-iqa-pass-040</x:v>
      </x:c>
      <x:c r="B41" s="8" t="str">
        <x:v>insuranceqa</x:v>
      </x:c>
      <x:c r="C41" s="8" t="str">
        <x:v>data/benchmarks/qa/insuranceqa/data_insuranceqa_1000.jsonl</x:v>
      </x:c>
      <x:c r="D41" s="8" t="str">
        <x:v>insuranceqa:263</x:v>
      </x:c>
      <x:c r="E41" s="8" t="str"/>
      <x:c r="F41" s="10" t="str">
        <x:v>Is Mutual Fund Better Than Stock?</x:v>
      </x:c>
      <x:c r="G41" s="10" t="str">
        <x:v>Question: Is Mutual Fund Better Than Stock?
Answer: A mutual fund is a share in an investment company . According to the prospectus it invests the funds using a particular investment strategy . The fund is generally quite diversified reducing the risk of a particular security suffering a great loss . At the same time this diversity dampens the effect of a particular security contained in the fund experiencing enormous gains . The mutually fund is generally viewed as being less volatile and more diversified .</x:v>
      </x:c>
      <x:c r="H41" s="10" t="str">
        <x:v>A mutual fund is a share in an investment company . According to the prospectus it invests the funds using a particular investment strategy . The fund is generally quite diversified reducing the risk of a particular security suffering a great loss . At the same time this diversity dampens the effect of a particular security contained in the fund experiencing enormous gains . The mutually fund is generally viewed as being less volatile and more diversified .</x:v>
      </x:c>
      <x:c r="I41" s="8" t="str">
        <x:v>general_insurance</x:v>
      </x:c>
      <x:c r="J41" s="8" t="str">
        <x:v>VALIDATION</x:v>
      </x:c>
      <x:c r="K41" s="10" t="str"/>
      <x:c r="L41" s="12" t="str"/>
      <x:c r="M41" s="12" t="str"/>
      <x:c r="N41" s="12" t="str"/>
      <x:c r="O41" s="12" t="str"/>
      <x:c r="P41" s="12" t="str"/>
    </x:row>
    <x:row r="42">
      <x:c r="A42" s="8" t="str">
        <x:v>ext-iqa-pass-041</x:v>
      </x:c>
      <x:c r="B42" s="8" t="str">
        <x:v>insuranceqa</x:v>
      </x:c>
      <x:c r="C42" s="8" t="str">
        <x:v>data/benchmarks/qa/insuranceqa/data_insuranceqa_1000.jsonl</x:v>
      </x:c>
      <x:c r="D42" s="8" t="str">
        <x:v>insuranceqa:349</x:v>
      </x:c>
      <x:c r="E42" s="8" t="str"/>
      <x:c r="F42" s="10" t="str">
        <x:v>Is Zostavax Covered By Medicare?</x:v>
      </x:c>
      <x:c r="G42" s="10" t="str">
        <x:v>Question: Is Zostavax Covered By Medicare?
Answer: It will depend on the prescription drug plan you are in . Medicare only covers certain injectable , chemotherapy drugs under Part B . The best way to find out which plan covers your drugs is to go to Medicare.Gov and look under find Medicare Plans . If you have a problem doing this a good agent can help walk you through the process or look them up for you . If you have a prescription drug plan , you should have received a copy of their formulary . If not go on the company website and you can usually find out that way , or call the customer service number on the back of your card .</x:v>
      </x:c>
      <x:c r="H42" s="10" t="str">
        <x:v>Based on the supplied context, it will depend on the prescription drug plan you are in . Medicare only covers certain injectable , chemotherapy drugs under Part B . The best way to find out which plan covers your drugs is to go to Medicare.Gov and look under find Medicare Plans . If you have a problem doing this a good agent can help walk you through the process or look them up for you . If you have a prescription drug plan , you should have received a copy of their formulary . If not go on the company website and you can usually find out that way , or call the customer service number on the back of your card .</x:v>
      </x:c>
      <x:c r="I42" s="8" t="str">
        <x:v>health</x:v>
      </x:c>
      <x:c r="J42" s="8" t="str">
        <x:v>VALIDATION</x:v>
      </x:c>
      <x:c r="K42" s="10" t="str"/>
      <x:c r="L42" s="12" t="str"/>
      <x:c r="M42" s="12" t="str"/>
      <x:c r="N42" s="12" t="str"/>
      <x:c r="O42" s="12" t="str"/>
      <x:c r="P42" s="12" t="str"/>
    </x:row>
    <x:row r="43">
      <x:c r="A43" s="8" t="str">
        <x:v>ext-iqa-pass-042</x:v>
      </x:c>
      <x:c r="B43" s="8" t="str">
        <x:v>insuranceqa</x:v>
      </x:c>
      <x:c r="C43" s="8" t="str">
        <x:v>data/benchmarks/qa/insuranceqa/data_insuranceqa_1000.jsonl</x:v>
      </x:c>
      <x:c r="D43" s="8" t="str">
        <x:v>insuranceqa:344</x:v>
      </x:c>
      <x:c r="E43" s="8" t="str"/>
      <x:c r="F43" s="10" t="str">
        <x:v>Does Medicare Cover Viagra Cialis?</x:v>
      </x:c>
      <x:c r="G43" s="10" t="str">
        <x:v>Question: Does Medicare Cover Viagra Cialis?
Answer: Medicare does not pay for Viagra , Cialis , Levitra or other erectile dysfunction drugs . They are not covered in Part B Medicare and excluded by Part D Medicare Drug Plans . The coverage ended in 2006 , when Congress determined them `` lifestyle '' drugs instead of medically necessary drugs . Since then , penile vacuum pumps , or , if those are ineffective , implanted penile inflation devices , are the only treatments for erectile dysfunction that are covered by Medicare .</x:v>
      </x:c>
      <x:c r="H43" s="10" t="str">
        <x:v>Based on the supplied context, medicare does not pay for Viagra , Cialis , Levitra or other erectile dysfunction drugs . They are not covered in Part B Medicare and excluded by Part D Medicare Drug Plans . The coverage ended in 2006 , when Congress determined them `` lifestyle '' drugs instead of medically necessary drugs . Since then , penile vacuum pumps , or , if those are ineffective , implanted penile inflation devices , are the only treatments for erectile dysfunction that are covered by Medicare .</x:v>
      </x:c>
      <x:c r="I43" s="8" t="str">
        <x:v>health</x:v>
      </x:c>
      <x:c r="J43" s="8" t="str">
        <x:v>VALIDATION</x:v>
      </x:c>
      <x:c r="K43" s="10" t="str"/>
      <x:c r="L43" s="12" t="str"/>
      <x:c r="M43" s="12" t="str"/>
      <x:c r="N43" s="12" t="str"/>
      <x:c r="O43" s="12" t="str"/>
      <x:c r="P43" s="12" t="str"/>
    </x:row>
    <x:row r="44">
      <x:c r="A44" s="8" t="str">
        <x:v>ext-iqa-pass-043</x:v>
      </x:c>
      <x:c r="B44" s="8" t="str">
        <x:v>insuranceqa</x:v>
      </x:c>
      <x:c r="C44" s="8" t="str">
        <x:v>data/benchmarks/qa/insuranceqa/data_insuranceqa_1000.jsonl</x:v>
      </x:c>
      <x:c r="D44" s="8" t="str">
        <x:v>insuranceqa:525</x:v>
      </x:c>
      <x:c r="E44" s="8" t="str"/>
      <x:c r="F44" s="10" t="str">
        <x:v>Which Section Of Medicare Pays For Ambulatory Service?</x:v>
      </x:c>
      <x:c r="G44" s="10" t="str">
        <x:v>Question: Which Section Of Medicare Pays For Ambulatory Service?
Answer: Medicare Part B will cover ambulance services that are medically necessary . Even though original Medicare does not have networks , you need to understand that Medicare has a fee schedule for things such as medical transport companies . What Medicare is willing to pay for ambulance transport may not be enough to satisfy the bill presented by the ambulance company .</x:v>
      </x:c>
      <x:c r="H44" s="10" t="str">
        <x:v>Based on the supplied context, medicare Part B will cover ambulance services that are medically necessary . Even though original Medicare does not have networks , you need to understand that Medicare has a fee schedule for things such as medical transport companies . What Medicare is willing to pay for ambulance transport may not be enough to satisfy the bill presented by the ambulance company .</x:v>
      </x:c>
      <x:c r="I44" s="8" t="str">
        <x:v>health</x:v>
      </x:c>
      <x:c r="J44" s="8" t="str">
        <x:v>VALIDATION</x:v>
      </x:c>
      <x:c r="K44" s="10" t="str"/>
      <x:c r="L44" s="12" t="str"/>
      <x:c r="M44" s="12" t="str"/>
      <x:c r="N44" s="12" t="str"/>
      <x:c r="O44" s="12" t="str"/>
      <x:c r="P44" s="12" t="str"/>
    </x:row>
    <x:row r="45">
      <x:c r="A45" s="8" t="str">
        <x:v>ext-iqa-pass-044</x:v>
      </x:c>
      <x:c r="B45" s="8" t="str">
        <x:v>insuranceqa</x:v>
      </x:c>
      <x:c r="C45" s="8" t="str">
        <x:v>data/benchmarks/qa/insuranceqa/data_insuranceqa_1000.jsonl</x:v>
      </x:c>
      <x:c r="D45" s="8" t="str">
        <x:v>insuranceqa:371</x:v>
      </x:c>
      <x:c r="E45" s="8" t="str"/>
      <x:c r="F45" s="10" t="str">
        <x:v>What Is The Benefit Of Renters Insurance?</x:v>
      </x:c>
      <x:c r="G45" s="10" t="str">
        <x:v>Question: What Is The Benefit Of Renters Insurance?
Answer: Renters insurance is for renters of homes and apartments as house insurance is for those who own the house . Renters insurance protects YOUR property if there is a loss from say a fire . The biggest issue is what kind of policy you have . Does your insurance give yoy replacement cost or just current value . There is a big difference . Think about what you stuff costs today versus purchasing brand new .</x:v>
      </x:c>
      <x:c r="H45" s="10" t="str">
        <x:v>Based on the supplied context, renters insurance is for renters of homes and apartments as house insurance is for those who own the house . Renters insurance protects YOUR property if there is a loss from say a fire . The biggest issue is what kind of policy you have . Does your insurance give yoy replacement cost or just current value . There is a big difference . Think about what you stuff costs today versus purchasing brand new .</x:v>
      </x:c>
      <x:c r="I45" s="8" t="str">
        <x:v>household</x:v>
      </x:c>
      <x:c r="J45" s="8" t="str">
        <x:v>VALIDATION</x:v>
      </x:c>
      <x:c r="K45" s="10" t="str"/>
      <x:c r="L45" s="12" t="str"/>
      <x:c r="M45" s="12" t="str"/>
      <x:c r="N45" s="12" t="str"/>
      <x:c r="O45" s="12" t="str"/>
      <x:c r="P45" s="12" t="str"/>
    </x:row>
    <x:row r="46">
      <x:c r="A46" s="8" t="str">
        <x:v>ext-iqa-pass-045</x:v>
      </x:c>
      <x:c r="B46" s="8" t="str">
        <x:v>insuranceqa</x:v>
      </x:c>
      <x:c r="C46" s="8" t="str">
        <x:v>data/benchmarks/qa/insuranceqa/data_insuranceqa_1000.jsonl</x:v>
      </x:c>
      <x:c r="D46" s="8" t="str">
        <x:v>insuranceqa:357</x:v>
      </x:c>
      <x:c r="E46" s="8" t="str"/>
      <x:c r="F46" s="10" t="str">
        <x:v>Is travel insurance worth the money?</x:v>
      </x:c>
      <x:c r="G46" s="10" t="str">
        <x:v>Question: Is travel insurance worth the money?
Answer: To determine the value of a travel insurance policy review the coverage that you currently have . Some people have coverage that extends to the locality where they live , or the state in which they reside . Coverage outside of that specified area can be highly limited . The issue becomes more severe with most plans when you travel overseas . If your current coverage is inadequate to cover potential difficulties secure a travel insurance policy . Personally , I travel overseas frequently and never purchase travel insurance .</x:v>
      </x:c>
      <x:c r="H46" s="10" t="str">
        <x:v>Based on the supplied context, to determine the value of a travel insurance policy review the coverage that you currently have . Some people have coverage that extends to the locality where they live , or the state in which they reside . Coverage outside of that specified area can be highly limited . The issue becomes more severe with most plans when you travel overseas . If your current coverage is inadequate to cover potential difficulties secure a travel insurance policy . Personally , I travel overseas frequently and never purchase travel insurance .</x:v>
      </x:c>
      <x:c r="I46" s="8" t="str">
        <x:v>travel_assistance</x:v>
      </x:c>
      <x:c r="J46" s="8" t="str">
        <x:v>CALIBRATION</x:v>
      </x:c>
      <x:c r="K46" s="10" t="str"/>
      <x:c r="L46" s="12" t="str"/>
      <x:c r="M46" s="12" t="str"/>
      <x:c r="N46" s="12" t="str"/>
      <x:c r="O46" s="12" t="str"/>
      <x:c r="P46" s="12" t="str"/>
    </x:row>
    <x:row r="47">
      <x:c r="A47" s="8" t="str">
        <x:v>ext-iqa-pass-046</x:v>
      </x:c>
      <x:c r="B47" s="8" t="str">
        <x:v>insuranceqa</x:v>
      </x:c>
      <x:c r="C47" s="8" t="str">
        <x:v>data/benchmarks/qa/insuranceqa/data_insuranceqa_1000.jsonl</x:v>
      </x:c>
      <x:c r="D47" s="8" t="str">
        <x:v>insuranceqa:647</x:v>
      </x:c>
      <x:c r="E47" s="8" t="str"/>
      <x:c r="F47" s="10" t="str">
        <x:v>Why Is An Equity Indexed Annuity Considered To Be A Fixed Annuity?</x:v>
      </x:c>
      <x:c r="G47" s="10" t="str">
        <x:v>Question: Why Is An Equity Indexed Annuity Considered To Be A Fixed Annuity?
Answer: Because it a FIXED AND GUARANTEED RATEBOF RETURN . You ca n't lose your principle and average GUARANTEED rates are around 2 % on the low end to 4 % on the high end . You get a nominal/limited upside gain of the stock market along with knowing you ca n't lose any money . Somewhat fixed .</x:v>
      </x:c>
      <x:c r="H47" s="10" t="str">
        <x:v>Based on the supplied context, because it a FIXED AND GUARANTEED RATEBOF RETURN . You ca n't lose your principle and average GUARANTEED rates are around 2 % on the low end to 4 % on the high end . You get a nominal/limited upside gain of the stock market along with knowing you ca n't lose any money . Somewhat fixed .</x:v>
      </x:c>
      <x:c r="I47" s="8" t="str">
        <x:v>life</x:v>
      </x:c>
      <x:c r="J47" s="8" t="str">
        <x:v>CALIBRATION</x:v>
      </x:c>
      <x:c r="K47" s="10" t="str"/>
      <x:c r="L47" s="12" t="str"/>
      <x:c r="M47" s="12" t="str"/>
      <x:c r="N47" s="12" t="str"/>
      <x:c r="O47" s="12" t="str"/>
      <x:c r="P47" s="12" t="str"/>
    </x:row>
    <x:row r="48">
      <x:c r="A48" s="8" t="str">
        <x:v>ext-iqa-pass-047</x:v>
      </x:c>
      <x:c r="B48" s="8" t="str">
        <x:v>insuranceqa</x:v>
      </x:c>
      <x:c r="C48" s="8" t="str">
        <x:v>data/benchmarks/qa/insuranceqa/data_insuranceqa_1000.jsonl</x:v>
      </x:c>
      <x:c r="D48" s="8" t="str">
        <x:v>insuranceqa:855</x:v>
      </x:c>
      <x:c r="E48" s="8" t="str"/>
      <x:c r="F48" s="10" t="str">
        <x:v>When Does Health Insurance End When Leaving A Job?</x:v>
      </x:c>
      <x:c r="G48" s="10" t="str">
        <x:v>Question: When Does Health Insurance End When Leaving A Job?
Answer: If you leave your job or are terminated your health insurance usually ends at the end of the month you left your job . At that time you would be eligible for COBRA continuation coverage for 18 months or you could purchase indivdiual health insurance . COBRA used to be the best option if you had a pre-exisitng condition but under the Affordable Care Act , commonly known as Obamacare , you can purchase individual coverage with no issues . You have to prove that you have a qualifying event under the IRS code which is a letter of Creditable Coverage from your former health insurance company or employer .</x:v>
      </x:c>
      <x:c r="H48" s="10" t="str">
        <x:v>Based on the supplied context, if you leave your job or are terminated your health insurance usually ends at the end of the month you left your job . At that time you would be eligible for COBRA continuation coverage for 18 months or you could purchase indivdiual health insurance . COBRA used to be the best option if you had a pre-exisitng condition but under the Affordable Care Act , commonly known as Obamacare , you can purchase individual coverage with no issues . You have to prove that you have a qualifying event under the IRS code which is a letter of Creditable Coverage from your former health insurance company or employer .</x:v>
      </x:c>
      <x:c r="I48" s="8" t="str">
        <x:v>health</x:v>
      </x:c>
      <x:c r="J48" s="8" t="str">
        <x:v>LOCKED_HOLDOUT_CANDIDATE</x:v>
      </x:c>
      <x:c r="K48" s="10" t="str"/>
      <x:c r="L48" s="12" t="str"/>
      <x:c r="M48" s="12" t="str"/>
      <x:c r="N48" s="12" t="str"/>
      <x:c r="O48" s="12" t="str"/>
      <x:c r="P48" s="12" t="str"/>
    </x:row>
    <x:row r="49">
      <x:c r="A49" s="8" t="str">
        <x:v>ext-iqa-pass-048</x:v>
      </x:c>
      <x:c r="B49" s="8" t="str">
        <x:v>insuranceqa</x:v>
      </x:c>
      <x:c r="C49" s="8" t="str">
        <x:v>data/benchmarks/qa/insuranceqa/data_insuranceqa_1000.jsonl</x:v>
      </x:c>
      <x:c r="D49" s="8" t="str">
        <x:v>insuranceqa:433</x:v>
      </x:c>
      <x:c r="E49" s="8" t="str"/>
      <x:c r="F49" s="10" t="str">
        <x:v>How To Find Out What My Health Insurance Covers?</x:v>
      </x:c>
      <x:c r="G49" s="10" t="str">
        <x:v>Question: How To Find Out What My Health Insurance Covers?
Answer: Your best resource for information about a policy that is already in force is from the insurance carrier directly . There will be a toll free number on your card . If you have a direct relationship with an agent who helped you purchase the policy , that person can be of assistance if you run into any challenges . The people at the carrier 's call center are human too and sometimes you can get bad information simply due to human error . If you think an answer is wrong , call back and get another representative . If you get stuck , call your agent !</x:v>
      </x:c>
      <x:c r="H49" s="10" t="str">
        <x:v>Based on the supplied context, your best resource for information about a policy that is already in force is from the insurance carrier directly . There will be a toll free number on your card . If you have a direct relationship with an agent who helped you purchase the policy , that person can be of assistance if you run into any challenges . The people at the carrier 's call center are human too and sometimes you can get bad information simply due to human error . If you think an answer is wrong , call back and get another representative . If you get stuck , call your agent !</x:v>
      </x:c>
      <x:c r="I49" s="8" t="str">
        <x:v>health</x:v>
      </x:c>
      <x:c r="J49" s="8" t="str">
        <x:v>VALIDATION</x:v>
      </x:c>
      <x:c r="K49" s="10" t="str"/>
      <x:c r="L49" s="12" t="str"/>
      <x:c r="M49" s="12" t="str"/>
      <x:c r="N49" s="12" t="str"/>
      <x:c r="O49" s="12" t="str"/>
      <x:c r="P49" s="12" t="str"/>
    </x:row>
    <x:row r="50">
      <x:c r="A50" s="8" t="str">
        <x:v>ext-iqa-pass-049</x:v>
      </x:c>
      <x:c r="B50" s="8" t="str">
        <x:v>insuranceqa</x:v>
      </x:c>
      <x:c r="C50" s="8" t="str">
        <x:v>data/benchmarks/qa/insuranceqa/data_insuranceqa_1000.jsonl</x:v>
      </x:c>
      <x:c r="D50" s="8" t="str">
        <x:v>insuranceqa:611</x:v>
      </x:c>
      <x:c r="E50" s="8" t="str"/>
      <x:c r="F50" s="10" t="str">
        <x:v>How To Get Life Insurance On Ex Husband?</x:v>
      </x:c>
      <x:c r="G50" s="10" t="str">
        <x:v>Question: How To Get Life Insurance On Ex Husband?
Answer: Depending on your divorce and how it has panned out . The ex spouse may see the need to have life insurance to provide protection when kids are involved . They may not , see a need at all and that would be where you petition the court and let the court decide the need for him .</x:v>
      </x:c>
      <x:c r="H50" s="10" t="str">
        <x:v>Based on the supplied context, depending on your divorce and how it has panned out . The ex spouse may see the need to have life insurance to provide protection when kids are involved . They may not , see a need at all and that would be where you petition the court and let the court decide the need for him .</x:v>
      </x:c>
      <x:c r="I50" s="8" t="str">
        <x:v>life</x:v>
      </x:c>
      <x:c r="J50" s="8" t="str">
        <x:v>LOCKED_HOLDOUT_CANDIDATE</x:v>
      </x:c>
      <x:c r="K50" s="10" t="str"/>
      <x:c r="L50" s="12" t="str"/>
      <x:c r="M50" s="12" t="str"/>
      <x:c r="N50" s="12" t="str"/>
      <x:c r="O50" s="12" t="str"/>
      <x:c r="P50" s="12" t="str"/>
    </x:row>
    <x:row r="51">
      <x:c r="A51" s="8" t="str">
        <x:v>ext-iqa-pass-050</x:v>
      </x:c>
      <x:c r="B51" s="8" t="str">
        <x:v>insuranceqa</x:v>
      </x:c>
      <x:c r="C51" s="8" t="str">
        <x:v>data/benchmarks/qa/insuranceqa/data_insuranceqa_1000.jsonl</x:v>
      </x:c>
      <x:c r="D51" s="8" t="str">
        <x:v>insuranceqa:902</x:v>
      </x:c>
      <x:c r="E51" s="8" t="str"/>
      <x:c r="F51" s="10" t="str">
        <x:v>Can An 88 Year Old Get Life Insurance?</x:v>
      </x:c>
      <x:c r="G51" s="10" t="str">
        <x:v>Question: Can An 88 Year Old Get Life Insurance?
Answer: I actually had a case for an 88-year-old a couple of years ago . It was rather interesting . What we had going for us was the following : A number of companies will issue a policy up to age 90 . Out of these , some will specialize in ages over 65 . The insured had a number of medical issues , but they were well-controlled . The challenge was getting the money to pay for the coverage . Since the family would benefit , efforts were made to have the family help pay the premium . This is where things got a little tough . Assuming the money is there , this can be done .</x:v>
      </x:c>
      <x:c r="H51" s="10" t="str">
        <x:v>Based on the supplied context, i actually had a case for an 88-year-old a couple of years ago . It was rather interesting . What we had going for us was the following : A number of companies will issue a policy up to age 90 . Out of these , some will specialize in ages over 65 . The insured had a number of medical issues , but they were well-controlled . The challenge was getting the money to pay for the coverage . Since the family would benefit , efforts were made to have the family help pay the premium . This is where things got a little tough . Assuming the money is there , this can be done .</x:v>
      </x:c>
      <x:c r="I51" s="8" t="str">
        <x:v>life</x:v>
      </x:c>
      <x:c r="J51" s="8" t="str">
        <x:v>CALIBRATION</x:v>
      </x:c>
      <x:c r="K51" s="10" t="str"/>
      <x:c r="L51" s="12" t="str"/>
      <x:c r="M51" s="12" t="str"/>
      <x:c r="N51" s="12" t="str"/>
      <x:c r="O51" s="12" t="str"/>
      <x:c r="P51" s="12" t="str"/>
    </x:row>
    <x:row r="52">
      <x:c r="A52" s="8" t="str">
        <x:v>ext-iqa-pass-051</x:v>
      </x:c>
      <x:c r="B52" s="8" t="str">
        <x:v>insuranceqa</x:v>
      </x:c>
      <x:c r="C52" s="8" t="str">
        <x:v>data/benchmarks/qa/insuranceqa/data_insuranceqa_1000.jsonl</x:v>
      </x:c>
      <x:c r="D52" s="8" t="str">
        <x:v>insuranceqa:590</x:v>
      </x:c>
      <x:c r="E52" s="8" t="str"/>
      <x:c r="F52" s="10" t="str">
        <x:v>Why Do I Have To Have Homeowners Insurance?</x:v>
      </x:c>
      <x:c r="G52" s="10" t="str">
        <x:v>Question: Why Do I Have To Have Homeowners Insurance?
Answer: Technically you do not have to have homeowners insurance . It is not required at this time by law in any of the states in the United States to the best of my knowledge . Your mortgage lender will typically require homeowners insurance coverage to protect themselves against loss in the event of a covered loss . There are way to many reasons to list here as to why you should have coverage . Please contact a local agent to discuss your coverage needs and concerns .</x:v>
      </x:c>
      <x:c r="H52" s="10" t="str">
        <x:v>Based on the supplied context, technically you do not have to have homeowners insurance . It is not required at this time by law in any of the states in the United States to the best of my knowledge . Your mortgage lender will typically require homeowners insurance coverage to protect themselves against loss in the event of a covered loss . There are way to many reasons to list here as to why you should have coverage . Please contact a local agent to discuss your coverage needs and concerns .</x:v>
      </x:c>
      <x:c r="I52" s="8" t="str">
        <x:v>general_insurance</x:v>
      </x:c>
      <x:c r="J52" s="8" t="str">
        <x:v>VALIDATION</x:v>
      </x:c>
      <x:c r="K52" s="10" t="str"/>
      <x:c r="L52" s="12" t="str"/>
      <x:c r="M52" s="12" t="str"/>
      <x:c r="N52" s="12" t="str"/>
      <x:c r="O52" s="12" t="str"/>
      <x:c r="P52" s="12" t="str"/>
    </x:row>
    <x:row r="53">
      <x:c r="A53" s="8" t="str">
        <x:v>ext-iqa-pass-052</x:v>
      </x:c>
      <x:c r="B53" s="8" t="str">
        <x:v>insuranceqa</x:v>
      </x:c>
      <x:c r="C53" s="8" t="str">
        <x:v>data/benchmarks/qa/insuranceqa/data_insuranceqa_1000.jsonl</x:v>
      </x:c>
      <x:c r="D53" s="8" t="str">
        <x:v>insuranceqa:923</x:v>
      </x:c>
      <x:c r="E53" s="8" t="str"/>
      <x:c r="F53" s="10" t="str">
        <x:v>Does Renters Insurance Cover Sewage Backup?</x:v>
      </x:c>
      <x:c r="G53" s="10" t="str">
        <x:v>Question: Does Renters Insurance Cover Sewage Backup?
Answer: Renters insurance does not cover sewage backup on its own . There is an endorsement available to add this coverage , usually for just a few dollars per month . It 's worth remembering that endorsements must be made before a loss occurs . You can not call your insurance agent and add the water and sewage backup endorsement after you discover the problem , there will be no coverage because the endorsement was not applied at the time the loss occurred .</x:v>
      </x:c>
      <x:c r="H53" s="10" t="str">
        <x:v>Based on the supplied context, renters insurance does not cover sewage backup on its own . There is an endorsement available to add this coverage , usually for just a few dollars per month . It 's worth remembering that endorsements must be made before a loss occurs . You can not call your insurance agent and add the water and sewage backup endorsement after you discover the problem , there will be no coverage because the endorsement was not applied at the time the loss occurred .</x:v>
      </x:c>
      <x:c r="I53" s="8" t="str">
        <x:v>household</x:v>
      </x:c>
      <x:c r="J53" s="8" t="str">
        <x:v>VALIDATION</x:v>
      </x:c>
      <x:c r="K53" s="10" t="str"/>
      <x:c r="L53" s="12" t="str"/>
      <x:c r="M53" s="12" t="str"/>
      <x:c r="N53" s="12" t="str"/>
      <x:c r="O53" s="12" t="str"/>
      <x:c r="P53" s="12" t="str"/>
    </x:row>
    <x:row r="54">
      <x:c r="A54" s="8" t="str">
        <x:v>ext-iqa-pass-053</x:v>
      </x:c>
      <x:c r="B54" s="8" t="str">
        <x:v>insuranceqa</x:v>
      </x:c>
      <x:c r="C54" s="8" t="str">
        <x:v>data/benchmarks/qa/insuranceqa/data_insuranceqa_1000.jsonl</x:v>
      </x:c>
      <x:c r="D54" s="8" t="str">
        <x:v>insuranceqa:262</x:v>
      </x:c>
      <x:c r="E54" s="8" t="str"/>
      <x:c r="F54" s="10" t="str">
        <x:v>Will Annuity Rates Go Up?</x:v>
      </x:c>
      <x:c r="G54" s="10" t="str">
        <x:v>Question: Will Annuity Rates Go Up?
Answer: Annuity Rates are directly tied to the Fed Funds Rate &amp; to 10 Year Treasury Rates . Both of these are at historical lows at the moment . Most financial experts claim that interest rates should rise over the next 5 years . If this happens , Annuity Rates will rise as along with them .</x:v>
      </x:c>
      <x:c r="H54" s="10" t="str">
        <x:v>Based on the supplied context, annuity Rates are directly tied to the Fed Funds Rate &amp; to 10 Year Treasury Rates . Both of these are at historical lows at the moment . Most financial experts claim that interest rates should rise over the next 5 years . If this happens , Annuity Rates will rise as along with them .</x:v>
      </x:c>
      <x:c r="I54" s="8" t="str">
        <x:v>life</x:v>
      </x:c>
      <x:c r="J54" s="8" t="str">
        <x:v>VALIDATION</x:v>
      </x:c>
      <x:c r="K54" s="10" t="str"/>
      <x:c r="L54" s="12" t="str"/>
      <x:c r="M54" s="12" t="str"/>
      <x:c r="N54" s="12" t="str"/>
      <x:c r="O54" s="12" t="str"/>
      <x:c r="P54" s="12" t="str"/>
    </x:row>
    <x:row r="55">
      <x:c r="A55" s="8" t="str">
        <x:v>ext-iqa-pass-054</x:v>
      </x:c>
      <x:c r="B55" s="8" t="str">
        <x:v>insuranceqa</x:v>
      </x:c>
      <x:c r="C55" s="8" t="str">
        <x:v>data/benchmarks/qa/insuranceqa/data_insuranceqa_1000.jsonl</x:v>
      </x:c>
      <x:c r="D55" s="8" t="str">
        <x:v>insuranceqa:849</x:v>
      </x:c>
      <x:c r="E55" s="8" t="str"/>
      <x:c r="F55" s="10" t="str">
        <x:v>What Is A Governmental 457 Retirement Plan?</x:v>
      </x:c>
      <x:c r="G55" s="10" t="str">
        <x:v>Question: What Is A Governmental 457 Retirement Plan?
Answer: Assuming youre referring to 457 -LRB- b -RRB- retirement plans , 457 -LRB- b -RRB- deferred compensation plans that are available in government and non-government organizations under 501 -LRB- c -RRB- . Theres no 59 penalty as long as the plan participant is retiring or ending employment . Government 457 can be rolled personal over to IRAs . Nonprofit workers can only roll their 457 plans over to another 457 plan . 2013 contribution limits are $ 17,500 and an extra $ 5,500 if you are age 50 or older .</x:v>
      </x:c>
      <x:c r="H55" s="10" t="str">
        <x:v>Based on the supplied context, assuming youre referring to 457 -LRB- b -RRB- retirement plans , 457 -LRB- b -RRB- deferred compensation plans that are available in government and non-government organizations under 501 -LRB- c -RRB- . Theres no 59 penalty as long as the plan participant is retiring or ending employment . Government 457 can be rolled personal over to IRAs . Nonprofit workers can only roll their 457 plans over to another 457 plan . 2013 contribution limits are $ 17,500 and an extra $ 5,500 if you are age 50 or older .</x:v>
      </x:c>
      <x:c r="I55" s="8" t="str">
        <x:v>retirement</x:v>
      </x:c>
      <x:c r="J55" s="8" t="str">
        <x:v>VALIDATION</x:v>
      </x:c>
      <x:c r="K55" s="10" t="str"/>
      <x:c r="L55" s="12" t="str"/>
      <x:c r="M55" s="12" t="str"/>
      <x:c r="N55" s="12" t="str"/>
      <x:c r="O55" s="12" t="str"/>
      <x:c r="P55" s="12" t="str"/>
    </x:row>
    <x:row r="56">
      <x:c r="A56" s="8" t="str">
        <x:v>ext-iqa-pass-055</x:v>
      </x:c>
      <x:c r="B56" s="8" t="str">
        <x:v>insuranceqa</x:v>
      </x:c>
      <x:c r="C56" s="8" t="str">
        <x:v>data/benchmarks/qa/insuranceqa/data_insuranceqa_1000.jsonl</x:v>
      </x:c>
      <x:c r="D56" s="8" t="str">
        <x:v>insuranceqa:556</x:v>
      </x:c>
      <x:c r="E56" s="8" t="str"/>
      <x:c r="F56" s="10" t="str">
        <x:v>What Is Multiplan Health Insurance?</x:v>
      </x:c>
      <x:c r="G56" s="10" t="str">
        <x:v>Question: What Is Multiplan Health Insurance?
Answer: Multiplan health insurance is not health insurance . Multiplan is a national PPO network that is used by some health insurance carriers either as a primary network or secondary . There are medical discount plans that promote the benefits of the Multiplan network but discount plans should never be considered a substitute for true major medical coverage .</x:v>
      </x:c>
      <x:c r="H56" s="10" t="str">
        <x:v>Based on the supplied context, multiplan health insurance is not health insurance . Multiplan is a national PPO network that is used by some health insurance carriers either as a primary network or secondary . There are medical discount plans that promote the benefits of the Multiplan network but discount plans should never be considered a substitute for true major medical coverage .</x:v>
      </x:c>
      <x:c r="I56" s="8" t="str">
        <x:v>health</x:v>
      </x:c>
      <x:c r="J56" s="8" t="str">
        <x:v>VALIDATION</x:v>
      </x:c>
      <x:c r="K56" s="10" t="str"/>
      <x:c r="L56" s="12" t="str"/>
      <x:c r="M56" s="12" t="str"/>
      <x:c r="N56" s="12" t="str"/>
      <x:c r="O56" s="12" t="str"/>
      <x:c r="P56" s="12" t="str"/>
    </x:row>
    <x:row r="57">
      <x:c r="A57" s="8" t="str">
        <x:v>ext-iqa-pass-056</x:v>
      </x:c>
      <x:c r="B57" s="8" t="str">
        <x:v>insuranceqa</x:v>
      </x:c>
      <x:c r="C57" s="8" t="str">
        <x:v>data/benchmarks/qa/insuranceqa/data_insuranceqa_1000.jsonl</x:v>
      </x:c>
      <x:c r="D57" s="8" t="str">
        <x:v>insuranceqa:869</x:v>
      </x:c>
      <x:c r="E57" s="8" t="str"/>
      <x:c r="F57" s="10" t="str">
        <x:v>Does Subway Offer Health Insurance?</x:v>
      </x:c>
      <x:c r="G57" s="10" t="str">
        <x:v>Question: Does Subway Offer Health Insurance?
Answer: This is a good Question . With any Company , whether they provide employee health coverage or not will depend on many factors . Whether you are Part time or Full time , if there is a waiting period , etc etc. . It is important to know that even if your employer does not offer health benefits , you can apply for your OWN individual plan that you pay for and manage on your own . This may also be a good option because if you happen to leave that job , you wo n't have to worry about loosing your health coverage .</x:v>
      </x:c>
      <x:c r="H57" s="10" t="str">
        <x:v>Based on the supplied context, this is a good Question . With any Company , whether they provide employee health coverage or not will depend on many factors . Whether you are Part time or Full time , if there is a waiting period , etc etc. . It is important to know that even if your employer does not offer health benefits , you can apply for your OWN individual plan that you pay for and manage on your own . This may also be a good option because if you happen to leave that job , you wo n't have to worry about loosing your health coverage .</x:v>
      </x:c>
      <x:c r="I57" s="8" t="str">
        <x:v>health</x:v>
      </x:c>
      <x:c r="J57" s="8" t="str">
        <x:v>CALIBRATION</x:v>
      </x:c>
      <x:c r="K57" s="10" t="str"/>
      <x:c r="L57" s="12" t="str"/>
      <x:c r="M57" s="12" t="str"/>
      <x:c r="N57" s="12" t="str"/>
      <x:c r="O57" s="12" t="str"/>
      <x:c r="P57" s="12" t="str"/>
    </x:row>
    <x:row r="58">
      <x:c r="A58" s="8" t="str">
        <x:v>ext-iqa-pass-057</x:v>
      </x:c>
      <x:c r="B58" s="8" t="str">
        <x:v>insuranceqa</x:v>
      </x:c>
      <x:c r="C58" s="8" t="str">
        <x:v>data/benchmarks/qa/insuranceqa/data_insuranceqa_1000.jsonl</x:v>
      </x:c>
      <x:c r="D58" s="8" t="str">
        <x:v>insuranceqa:467</x:v>
      </x:c>
      <x:c r="E58" s="8" t="str"/>
      <x:c r="F58" s="10" t="str">
        <x:v>How Does A Cash Balance Retirement Plan Work?</x:v>
      </x:c>
      <x:c r="G58" s="10" t="str">
        <x:v>Question: How Does A Cash Balance Retirement Plan Work?
Answer: Cash balance plans are qualified defined benefit plans under ERISA , the Employee Retirement Income Security Act of 1974 . Employers appreciate the discriminatory ability to favor business owners . Cash balance plans are also used in tandem with 401 -LRB- k -RRB- for enhanced contribution limits . The plans accumulate tax deferred and offer creditor protection .</x:v>
      </x:c>
      <x:c r="H58" s="10" t="str">
        <x:v>Based on the supplied context, cash balance plans are qualified defined benefit plans under ERISA , the Employee Retirement Income Security Act of 1974 . Employers appreciate the discriminatory ability to favor business owners . Cash balance plans are also used in tandem with 401 -LRB- k -RRB- for enhanced contribution limits . The plans accumulate tax deferred and offer creditor protection .</x:v>
      </x:c>
      <x:c r="I58" s="8" t="str">
        <x:v>retirement</x:v>
      </x:c>
      <x:c r="J58" s="8" t="str">
        <x:v>LOCKED_HOLDOUT_CANDIDATE</x:v>
      </x:c>
      <x:c r="K58" s="10" t="str"/>
      <x:c r="L58" s="12" t="str"/>
      <x:c r="M58" s="12" t="str"/>
      <x:c r="N58" s="12" t="str"/>
      <x:c r="O58" s="12" t="str"/>
      <x:c r="P58" s="12" t="str"/>
    </x:row>
    <x:row r="59">
      <x:c r="A59" s="8" t="str">
        <x:v>ext-iqa-pass-058</x:v>
      </x:c>
      <x:c r="B59" s="8" t="str">
        <x:v>insuranceqa</x:v>
      </x:c>
      <x:c r="C59" s="8" t="str">
        <x:v>data/benchmarks/qa/insuranceqa/data_insuranceqa_1000.jsonl</x:v>
      </x:c>
      <x:c r="D59" s="8" t="str">
        <x:v>insuranceqa:513</x:v>
      </x:c>
      <x:c r="E59" s="8" t="str"/>
      <x:c r="F59" s="10" t="str">
        <x:v>What Is The Best Critical Illness Insurance?</x:v>
      </x:c>
      <x:c r="G59" s="10" t="str">
        <x:v>Question: What Is The Best Critical Illness Insurance?
Answer: The best critical illness insurance is that which has the best features . Some things to look for are : 1 -RRB- How much of the benefit is paid for each illness , 2 -RRB- What is the special limitation period -LRB- how long you would have to wait before the policy would pay after issue -RRB- , 3 -RRB- How many illness are covered , 4 -RRB- Is the policy guaranteed renewable , 5 -RRB- How long is the premium guaranteed , 6 -RRB- Is there a reduction of benefits after a certain age , and 7 -RRB- Are riders offered -LRB- e.g. for accidental death -RRB- .</x:v>
      </x:c>
      <x:c r="H59" s="10" t="str">
        <x:v>Based on the supplied context, the best critical illness insurance is that which has the best features . Some things to look for are : 1 -RRB- How much of the benefit is paid for each illness , 2 -RRB- What is the special limitation period -LRB- how long you would have to wait before the policy would pay after issue -RRB- , 3 -RRB- How many illness are covered , 4 -RRB- Is the policy guaranteed renewable , 5 -RRB- How long is the premium guaranteed , 6 -RRB- Is there a reduction of benefits after a certain age , and 7 -RRB- Are riders offered -LRB- e.g. for accidental death -RRB- .</x:v>
      </x:c>
      <x:c r="I59" s="8" t="str">
        <x:v>general_insurance</x:v>
      </x:c>
      <x:c r="J59" s="8" t="str">
        <x:v>LOCKED_HOLDOUT_CANDIDATE</x:v>
      </x:c>
      <x:c r="K59" s="10" t="str"/>
      <x:c r="L59" s="12" t="str"/>
      <x:c r="M59" s="12" t="str"/>
      <x:c r="N59" s="12" t="str"/>
      <x:c r="O59" s="12" t="str"/>
      <x:c r="P59" s="12" t="str"/>
    </x:row>
    <x:row r="60">
      <x:c r="A60" s="8" t="str">
        <x:v>ext-iqa-pass-059</x:v>
      </x:c>
      <x:c r="B60" s="8" t="str">
        <x:v>insuranceqa</x:v>
      </x:c>
      <x:c r="C60" s="8" t="str">
        <x:v>data/benchmarks/qa/insuranceqa/data_insuranceqa_1000.jsonl</x:v>
      </x:c>
      <x:c r="D60" s="8" t="str">
        <x:v>insuranceqa:166</x:v>
      </x:c>
      <x:c r="E60" s="8" t="str"/>
      <x:c r="F60" s="10" t="str">
        <x:v>What Is The Best Supplemental Insurance Plan For Medicare?</x:v>
      </x:c>
      <x:c r="G60" s="10" t="str">
        <x:v>Question: What Is The Best Supplemental Insurance Plan For Medicare?
Answer: You will define what is best based on your particular needs and budget . All Medicare supplemental insurance plans with the same letter are identical in every way except the premium , the decision is much easier . Medigap plan F is the most popular , mostly because it is oversold . Far too many agents promote the plan because it is easy to explain . Medicare supplement plan F is also the most expensive plan ... and the one that pays agents the highest commission . I recently showed a couple how they could save over $ 1700 per year by switching from their current plan -LRB- with a big name carrier -RRB- to a smaller , but reputable carrier . There is no reason to pay more for the same coverage , even if you are rolling in dough . #GeorgiaMedicarePlans</x:v>
      </x:c>
      <x:c r="H60" s="10" t="str">
        <x:v>Based on the supplied context, you will define what is best based on your particular needs and budget . All Medicare supplemental insurance plans with the same letter are identical in every way except the premium , the decision is much easier . Medigap plan F is the most popular , mostly because it is oversold . Far too many agents promote the plan because it is easy to explain . Medicare supplement plan F is also the most expensive plan ... and the one that pays agents the highest commission . I recently showed a couple how they could save over $ 1700 per year by switching from their current plan -LRB- with a big name carrier -RRB- to a smaller , but reputable carrier . There is no reason to pay more for the same coverage , even if you are rolling in dough . #GeorgiaMedicarePlans</x:v>
      </x:c>
      <x:c r="I60" s="8" t="str">
        <x:v>health</x:v>
      </x:c>
      <x:c r="J60" s="8" t="str">
        <x:v>LOCKED_HOLDOUT_CANDIDATE</x:v>
      </x:c>
      <x:c r="K60" s="10" t="str"/>
      <x:c r="L60" s="12" t="str"/>
      <x:c r="M60" s="12" t="str"/>
      <x:c r="N60" s="12" t="str"/>
      <x:c r="O60" s="12" t="str"/>
      <x:c r="P60" s="12" t="str"/>
    </x:row>
    <x:row r="61">
      <x:c r="A61" s="8" t="str">
        <x:v>ext-iqa-pass-060</x:v>
      </x:c>
      <x:c r="B61" s="8" t="str">
        <x:v>insuranceqa</x:v>
      </x:c>
      <x:c r="C61" s="8" t="str">
        <x:v>data/benchmarks/qa/insuranceqa/data_insuranceqa_1000.jsonl</x:v>
      </x:c>
      <x:c r="D61" s="8" t="str">
        <x:v>insuranceqa:970</x:v>
      </x:c>
      <x:c r="E61" s="8" t="str"/>
      <x:c r="F61" s="10" t="str">
        <x:v>Why Is It So Hard To Sell Life Insurance?</x:v>
      </x:c>
      <x:c r="G61" s="10" t="str">
        <x:v>Question: Why Is It So Hard To Sell Life Insurance?
Answer: The vast majority of consumer centered advisers sell the appropriate life insurance product to meet the prospective purchasers personal suitability requirements . Providing good financial advice is not selling , it is more like a stewardship vocation or family consultant that uses the highest best practices in fiduciary trust . Product suitability trumps just selling a product .</x:v>
      </x:c>
      <x:c r="H61" s="10" t="str">
        <x:v>Based on the supplied context, the vast majority of consumer centered advisers sell the appropriate life insurance product to meet the prospective purchasers personal suitability requirements . Providing good financial advice is not selling , it is more like a stewardship vocation or family consultant that uses the highest best practices in fiduciary trust . Product suitability trumps just selling a product .</x:v>
      </x:c>
      <x:c r="I61" s="8" t="str">
        <x:v>life</x:v>
      </x:c>
      <x:c r="J61" s="8" t="str">
        <x:v>CALIBRATION</x:v>
      </x:c>
      <x:c r="K61" s="10" t="str"/>
      <x:c r="L61" s="12" t="str"/>
      <x:c r="M61" s="12" t="str"/>
      <x:c r="N61" s="12" t="str"/>
      <x:c r="O61" s="12" t="str"/>
      <x:c r="P61" s="12" t="str"/>
    </x:row>
    <x:row r="62">
      <x:c r="A62" s="8" t="str">
        <x:v>ext-iqa-pass-061</x:v>
      </x:c>
      <x:c r="B62" s="8" t="str">
        <x:v>insuranceqa</x:v>
      </x:c>
      <x:c r="C62" s="8" t="str">
        <x:v>data/benchmarks/qa/insuranceqa/data_insuranceqa_1000.jsonl</x:v>
      </x:c>
      <x:c r="D62" s="8" t="str">
        <x:v>insuranceqa:976</x:v>
      </x:c>
      <x:c r="E62" s="8" t="str"/>
      <x:c r="F62" s="10" t="str">
        <x:v>Does Nationwide Offer Renters Insurance?</x:v>
      </x:c>
      <x:c r="G62" s="10" t="str">
        <x:v>Question: Does Nationwide Offer Renters Insurance?
Answer: Yes , indeed Nationwide does offer Renters Insurance . We have represented Nationwide in Connecticut since 1985 and regularly discuss the need for Renters Insurance with our clients who have that sort of need . The coverage is comprehensive and we work to customize a plan to best suit our clients need for protection at a reasonable and affordable price .</x:v>
      </x:c>
      <x:c r="H62" s="10" t="str">
        <x:v>Based on the supplied context, yes , indeed Nationwide does offer Renters Insurance . We have represented Nationwide in Connecticut since 1985 and regularly discuss the need for Renters Insurance with our clients who have that sort of need . The coverage is comprehensive and we work to customize a plan to best suit our clients need for protection at a reasonable and affordable price .</x:v>
      </x:c>
      <x:c r="I62" s="8" t="str">
        <x:v>household</x:v>
      </x:c>
      <x:c r="J62" s="8" t="str">
        <x:v>LOCKED_HOLDOUT_CANDIDATE</x:v>
      </x:c>
      <x:c r="K62" s="10" t="str"/>
      <x:c r="L62" s="12" t="str"/>
      <x:c r="M62" s="12" t="str"/>
      <x:c r="N62" s="12" t="str"/>
      <x:c r="O62" s="12" t="str"/>
      <x:c r="P62" s="12" t="str"/>
    </x:row>
    <x:row r="63">
      <x:c r="A63" s="8" t="str">
        <x:v>ext-iqa-pass-062</x:v>
      </x:c>
      <x:c r="B63" s="8" t="str">
        <x:v>insuranceqa</x:v>
      </x:c>
      <x:c r="C63" s="8" t="str">
        <x:v>data/benchmarks/qa/insuranceqa/data_insuranceqa_1000.jsonl</x:v>
      </x:c>
      <x:c r="D63" s="8" t="str">
        <x:v>insuranceqa:454</x:v>
      </x:c>
      <x:c r="E63" s="8" t="str"/>
      <x:c r="F63" s="10" t="str">
        <x:v>Does Home Insurance Automatically Renew?</x:v>
      </x:c>
      <x:c r="G63" s="10" t="str">
        <x:v>Question: Does Home Insurance Automatically Renew?
Answer: Here in Connecticut , Homeowners ' Insurance policies are among those that continuously renew provided that your home continues to meet our insurance company 's underwriting guidelines as they have filed with the State Insurance Department . That having been said , is you fail to pay your premium , if the claims history becomes adverse or if you leave your home abandoned and vacant , The insurance company may non renew or mid term cancel .</x:v>
      </x:c>
      <x:c r="H63" s="10" t="str">
        <x:v>Based on the supplied context, here in Connecticut , Homeowners ' Insurance policies are among those that continuously renew provided that your home continues to meet our insurance company 's underwriting guidelines as they have filed with the State Insurance Department . That having been said , is you fail to pay your premium , if the claims history becomes adverse or if you leave your home abandoned and vacant , The insurance company may non renew or mid term cancel .</x:v>
      </x:c>
      <x:c r="I63" s="8" t="str">
        <x:v>household</x:v>
      </x:c>
      <x:c r="J63" s="8" t="str">
        <x:v>CALIBRATION</x:v>
      </x:c>
      <x:c r="K63" s="10" t="str"/>
      <x:c r="L63" s="12" t="str"/>
      <x:c r="M63" s="12" t="str"/>
      <x:c r="N63" s="12" t="str"/>
      <x:c r="O63" s="12" t="str"/>
      <x:c r="P63" s="12" t="str"/>
    </x:row>
    <x:row r="64">
      <x:c r="A64" s="8" t="str">
        <x:v>ext-iqa-pass-063</x:v>
      </x:c>
      <x:c r="B64" s="8" t="str">
        <x:v>insuranceqa</x:v>
      </x:c>
      <x:c r="C64" s="8" t="str">
        <x:v>data/benchmarks/qa/insuranceqa/data_insuranceqa_1000.jsonl</x:v>
      </x:c>
      <x:c r="D64" s="8" t="str">
        <x:v>insuranceqa:890</x:v>
      </x:c>
      <x:c r="E64" s="8" t="str"/>
      <x:c r="F64" s="10" t="str">
        <x:v>How Much Does Long Term Care Insurance Cover?</x:v>
      </x:c>
      <x:c r="G64" s="10" t="str">
        <x:v>Question: How Much Does Long Term Care Insurance Cover?
Answer: A quality long-term care insurance policy from a well-capitalized , highly rated insurance company will include at least the following : Facility careHome care Domestic care -LRB- housework , yard work , cleaning chores -RRB- Assisted living or residential living careAdult Day CareRespite care -LRB- time off for the primary family care giver -RRB- Home modifications so that insured can stay at home for as long as possible , the costs of which are not deducted from the pool of money available for daily care.There may be additional coverage offered by the carrier . Ask to see a `` specimen policy '' for the exact language of the benefits , features , and riders of the policy you are considering . Look for language that takes into account the possibility of future medical or technological advances that may become available but which are not yet known or invented yet . For example , `` assisted living '' facilities were not even available 25 years ago , but , people that bought quality policies before that time with contract language that allowed for future developments in the field of elder care are now in such facilities and being paid for those expenses .</x:v>
      </x:c>
      <x:c r="H64" s="10" t="str">
        <x:v>Based on the supplied context, a quality long-term care insurance policy from a well-capitalized , highly rated insurance company will include at least the following : Facility careHome care Domestic care -LRB- housework , yard work , cleaning chores -RRB- Assisted living or residential living careAdult Day CareRespite care -LRB- time off for the primary family care giver -RRB- Home modifications so that insured can stay at home for as long as possible , the costs of which are not deducted from the pool of money available for daily care.There may be additional coverage offered by the carrier . Ask to see a `` specimen policy '' for the exact language of the benefits , features , and riders of the policy you are considering . Look for language that takes into account the possibility of future medical or technological advances that may become available but which are not yet known or invented yet . For example , `` assisted living '' facilities were not even available 25 years ago , but , people that bought quality policies before that time with contract language that allowed for future developments in the field of elder care are now in such facilities and being paid for those expenses .</x:v>
      </x:c>
      <x:c r="I64" s="8" t="str">
        <x:v>general_insurance</x:v>
      </x:c>
      <x:c r="J64" s="8" t="str">
        <x:v>VALIDATION</x:v>
      </x:c>
      <x:c r="K64" s="10" t="str"/>
      <x:c r="L64" s="12" t="str"/>
      <x:c r="M64" s="12" t="str"/>
      <x:c r="N64" s="12" t="str"/>
      <x:c r="O64" s="12" t="str"/>
      <x:c r="P64" s="12" t="str"/>
    </x:row>
    <x:row r="65">
      <x:c r="A65" s="8" t="str">
        <x:v>ext-iqa-pass-064</x:v>
      </x:c>
      <x:c r="B65" s="8" t="str">
        <x:v>insuranceqa</x:v>
      </x:c>
      <x:c r="C65" s="8" t="str">
        <x:v>data/benchmarks/qa/insuranceqa/data_insuranceqa_1000.jsonl</x:v>
      </x:c>
      <x:c r="D65" s="8" t="str">
        <x:v>insuranceqa:137</x:v>
      </x:c>
      <x:c r="E65" s="8" t="str"/>
      <x:c r="F65" s="10" t="str">
        <x:v>Why Get Critical Illness Insurance?</x:v>
      </x:c>
      <x:c r="G65" s="10" t="str">
        <x:v>Question: Why Get Critical Illness Insurance?
Answer: A Critical care policy pays you not the Doctor or Hospital , in the event of an critical illness , such as a heart attack , stroke , major organ failure , Cancer , loss of the inability to perform 2 Activities of Daily Living . The likely hood if you were to suffer a heart attack , stroke , cancer or the like is that you will likely survive . The bills , mortgage , utilities , &amp; such do not stop because you are ill . The money can also be used to offset health insurance copay 's , time off work , second opinion , or anything else . Face amounts usually run any where from $ 4,000.00 to $ 500,000.00 lump sum . Some policies offer a Return of Premium , meaning if you never use the insurance , your estate will receive 100 % of the premium back . HBWavp@gmail.com</x:v>
      </x:c>
      <x:c r="H65" s="10" t="str">
        <x:v>Based on the supplied context, a Critical care policy pays you not the Doctor or Hospital , in the event of an critical illness , such as a heart attack , stroke , major organ failure , Cancer , loss of the inability to perform 2 Activities of Daily Living . The likely hood if you were to suffer a heart attack , stroke , cancer or the like is that you will likely survive . The bills , mortgage , utilities , &amp; such do not stop because you are ill . The money can also be used to offset health insurance copay 's , time off work , second opinion , or anything else . Face amounts usually run any where from $ 4,000.00 to $ 500,000.00 lump sum . Some policies offer a Return of Premium , meaning if you never use the insurance , your estate will receive 100 % of the premium back . HBWavp@gmail.com</x:v>
      </x:c>
      <x:c r="I65" s="8" t="str">
        <x:v>general_insurance</x:v>
      </x:c>
      <x:c r="J65" s="8" t="str">
        <x:v>LOCKED_HOLDOUT_CANDIDATE</x:v>
      </x:c>
      <x:c r="K65" s="10" t="str"/>
      <x:c r="L65" s="12" t="str"/>
      <x:c r="M65" s="12" t="str"/>
      <x:c r="N65" s="12" t="str"/>
      <x:c r="O65" s="12" t="str"/>
      <x:c r="P65" s="12" t="str"/>
    </x:row>
    <x:row r="66">
      <x:c r="A66" s="8" t="str">
        <x:v>ext-iqa-pass-065</x:v>
      </x:c>
      <x:c r="B66" s="8" t="str">
        <x:v>insuranceqa</x:v>
      </x:c>
      <x:c r="C66" s="8" t="str">
        <x:v>data/benchmarks/qa/insuranceqa/data_insuranceqa_1000.jsonl</x:v>
      </x:c>
      <x:c r="D66" s="8" t="str">
        <x:v>insuranceqa:875</x:v>
      </x:c>
      <x:c r="E66" s="8" t="str"/>
      <x:c r="F66" s="10" t="str">
        <x:v>Can You Visit A Doctor Without Health Insurance?</x:v>
      </x:c>
      <x:c r="G66" s="10" t="str">
        <x:v>Question: Can You Visit A Doctor Without Health Insurance?
Answer: Unless there is legislative restrictions that I am unaware of you can see a doctor without health insurance . If you do see a doctor and you do not have health insurance you will be expected to pay the full cost of the visit out of your own pocket though . This can be very costly .</x:v>
      </x:c>
      <x:c r="H66" s="10" t="str">
        <x:v>Based on the supplied context, unless there is legislative restrictions that I am unaware of you can see a doctor without health insurance . If you do see a doctor and you do not have health insurance you will be expected to pay the full cost of the visit out of your own pocket though . This can be very costly .</x:v>
      </x:c>
      <x:c r="I66" s="8" t="str">
        <x:v>health</x:v>
      </x:c>
      <x:c r="J66" s="8" t="str">
        <x:v>VALIDATION</x:v>
      </x:c>
      <x:c r="K66" s="10" t="str"/>
      <x:c r="L66" s="12" t="str"/>
      <x:c r="M66" s="12" t="str"/>
      <x:c r="N66" s="12" t="str"/>
      <x:c r="O66" s="12" t="str"/>
      <x:c r="P66" s="12" t="str"/>
    </x:row>
    <x:row r="67">
      <x:c r="A67" s="8" t="str">
        <x:v>ext-iqa-pass-066</x:v>
      </x:c>
      <x:c r="B67" s="8" t="str">
        <x:v>insuranceqa</x:v>
      </x:c>
      <x:c r="C67" s="8" t="str">
        <x:v>data/benchmarks/qa/insuranceqa/data_insuranceqa_1000.jsonl</x:v>
      </x:c>
      <x:c r="D67" s="8" t="str">
        <x:v>insuranceqa:582</x:v>
      </x:c>
      <x:c r="E67" s="8" t="str"/>
      <x:c r="F67" s="10" t="str">
        <x:v>What Are The Current Interest Rates On Annuities?</x:v>
      </x:c>
      <x:c r="G67" s="10" t="str">
        <x:v>Question: What Are The Current Interest Rates On Annuities?
Answer: The Current Fixed Interest Rates on Annuities average 2.95 % for 5 years , 3.25 % for 10 years . The rates can change quickly so always call your annuity distributor before using any quotes including these quotes . Most advisers are selling 5 year fixed with an expectation that rates are going to rise in the future . The 35 basis point spread between the 5 and 10 year rate is not enough go long .</x:v>
      </x:c>
      <x:c r="H67" s="10" t="str">
        <x:v>Based on the supplied context, the Current Fixed Interest Rates on Annuities average 2.95 % for 5 years , 3.25 % for 10 years . The rates can change quickly so always call your annuity distributor before using any quotes including these quotes . Most advisers are selling 5 year fixed with an expectation that rates are going to rise in the future . The 35 basis point spread between the 5 and 10 year rate is not enough go long .</x:v>
      </x:c>
      <x:c r="I67" s="8" t="str">
        <x:v>general_insurance</x:v>
      </x:c>
      <x:c r="J67" s="8" t="str">
        <x:v>CALIBRATION</x:v>
      </x:c>
      <x:c r="K67" s="10" t="str"/>
      <x:c r="L67" s="12" t="str"/>
      <x:c r="M67" s="12" t="str"/>
      <x:c r="N67" s="12" t="str"/>
      <x:c r="O67" s="12" t="str"/>
      <x:c r="P67" s="12" t="str"/>
    </x:row>
    <x:row r="68">
      <x:c r="A68" s="8" t="str">
        <x:v>ext-iqa-pass-067</x:v>
      </x:c>
      <x:c r="B68" s="8" t="str">
        <x:v>insuranceqa</x:v>
      </x:c>
      <x:c r="C68" s="8" t="str">
        <x:v>data/benchmarks/qa/insuranceqa/data_insuranceqa_1000.jsonl</x:v>
      </x:c>
      <x:c r="D68" s="8" t="str">
        <x:v>insuranceqa:771</x:v>
      </x:c>
      <x:c r="E68" s="8" t="str"/>
      <x:c r="F68" s="10" t="str">
        <x:v>How Does Car Insurance Value Totaled Car?</x:v>
      </x:c>
      <x:c r="G68" s="10" t="str">
        <x:v>Question: How Does Car Insurance Value Totaled Car?
Answer: A car insurance company will generally provide you with the value of your car - - pre wreck . A car insurance company will typically take a look at similar vehicles and how much they are selling for in your area . They may also take a look at the Kelly Blue Book Value .</x:v>
      </x:c>
      <x:c r="H68" s="10" t="str">
        <x:v>Based on the supplied context, a car insurance company will generally provide you with the value of your car - - pre wreck . A car insurance company will typically take a look at similar vehicles and how much they are selling for in your area . They may also take a look at the Kelly Blue Book Value .</x:v>
      </x:c>
      <x:c r="I68" s="8" t="str">
        <x:v>motor</x:v>
      </x:c>
      <x:c r="J68" s="8" t="str">
        <x:v>VALIDATION</x:v>
      </x:c>
      <x:c r="K68" s="10" t="str"/>
      <x:c r="L68" s="12" t="str"/>
      <x:c r="M68" s="12" t="str"/>
      <x:c r="N68" s="12" t="str"/>
      <x:c r="O68" s="12" t="str"/>
      <x:c r="P68" s="12" t="str"/>
    </x:row>
    <x:row r="69">
      <x:c r="A69" s="8" t="str">
        <x:v>ext-iqa-pass-068</x:v>
      </x:c>
      <x:c r="B69" s="8" t="str">
        <x:v>insuranceqa</x:v>
      </x:c>
      <x:c r="C69" s="8" t="str">
        <x:v>data/benchmarks/qa/insuranceqa/data_insuranceqa_1000.jsonl</x:v>
      </x:c>
      <x:c r="D69" s="8" t="str">
        <x:v>insuranceqa:988</x:v>
      </x:c>
      <x:c r="E69" s="8" t="str"/>
      <x:c r="F69" s="10" t="str">
        <x:v>What Is A Group Universal Life Insurance Policy?</x:v>
      </x:c>
      <x:c r="G69" s="10" t="str">
        <x:v>Question: What Is A Group Universal Life Insurance Policy?
Answer: Group universal life is similar to individual universal life . Group policies involve the plan sponsor , often an employer , holding the master policy while the individual participants receive a certificate of insurance . It is a convenient and voluntary way to acquire cash value life insurance through the workplace . Usually the employee pays all premiums in which case all benefits would be immediately and fully vested . At employment termination portability features in these products generally allow for coverage to be taken by the participant as an individual policy .</x:v>
      </x:c>
      <x:c r="H69" s="10" t="str">
        <x:v>Based on the supplied context, group universal life is similar to individual universal life . Group policies involve the plan sponsor , often an employer , holding the master policy while the individual participants receive a certificate of insurance . It is a convenient and voluntary way to acquire cash value life insurance through the workplace . Usually the employee pays all premiums in which case all benefits would be immediately and fully vested . At employment termination portability features in these products generally allow for coverage to be taken by the participant as an individual policy .</x:v>
      </x:c>
      <x:c r="I69" s="8" t="str">
        <x:v>life</x:v>
      </x:c>
      <x:c r="J69" s="8" t="str">
        <x:v>VALIDATION</x:v>
      </x:c>
      <x:c r="K69" s="10" t="str"/>
      <x:c r="L69" s="12" t="str"/>
      <x:c r="M69" s="12" t="str"/>
      <x:c r="N69" s="12" t="str"/>
      <x:c r="O69" s="12" t="str"/>
      <x:c r="P69" s="12" t="str"/>
    </x:row>
    <x:row r="70">
      <x:c r="A70" s="8" t="str">
        <x:v>ext-iqa-pass-069</x:v>
      </x:c>
      <x:c r="B70" s="8" t="str">
        <x:v>insuranceqa</x:v>
      </x:c>
      <x:c r="C70" s="8" t="str">
        <x:v>data/benchmarks/qa/insuranceqa/data_insuranceqa_1000.jsonl</x:v>
      </x:c>
      <x:c r="D70" s="8" t="str">
        <x:v>insuranceqa:856</x:v>
      </x:c>
      <x:c r="E70" s="8" t="str"/>
      <x:c r="F70" s="10" t="str">
        <x:v>Can Group Health Insurance Deny Pregnancy?</x:v>
      </x:c>
      <x:c r="G70" s="10" t="str">
        <x:v>Question: Can Group Health Insurance Deny Pregnancy?
Answer: For all practical purposes the answer should be `` No '' . The Affordable Care Act -LRB- ObamaCare -RRB- requires coverage for maternity and newborn care to be covered as any other illness under its Minimum Essential Benefits requirements . Also , the Affordable Care Act forbids the application of pre-existing conditions exclusions or waiting periods to health insurance policies . During the last open enrolment period I enrolled a couple of previously uninsured women who were pregnant in the new ObamaCare compliant individual health plans offered in our state and they were covered immediately and had their delivery &amp; other associated expenses covered . These same people would have been declined for coverage due to their pregnancies being defined as pre-existing conditions before January 1 , 2014 .</x:v>
      </x:c>
      <x:c r="H70" s="10" t="str">
        <x:v>Based on the supplied context, for all practical purposes the answer should be `` No '' . The Affordable Care Act -LRB- ObamaCare -RRB- requires coverage for maternity and newborn care to be covered as any other illness under its Minimum Essential Benefits requirements . Also , the Affordable Care Act forbids the application of pre-existing conditions exclusions or waiting periods to health insurance policies . During the last open enrolment period I enrolled a couple of previously uninsured women who were pregnant in the new ObamaCare compliant individual health plans offered in our state and they were covered immediately and had their delivery &amp; other associated expenses covered . These same people would have been declined for coverage due to their pregnancies being defined as pre-existing conditions before January 1 , 2014 .</x:v>
      </x:c>
      <x:c r="I70" s="8" t="str">
        <x:v>health</x:v>
      </x:c>
      <x:c r="J70" s="8" t="str">
        <x:v>LOCKED_HOLDOUT_CANDIDATE</x:v>
      </x:c>
      <x:c r="K70" s="10" t="str"/>
      <x:c r="L70" s="12" t="str"/>
      <x:c r="M70" s="12" t="str"/>
      <x:c r="N70" s="12" t="str"/>
      <x:c r="O70" s="12" t="str"/>
      <x:c r="P70" s="12" t="str"/>
    </x:row>
    <x:row r="71">
      <x:c r="A71" s="8" t="str">
        <x:v>ext-iqa-pass-070</x:v>
      </x:c>
      <x:c r="B71" s="8" t="str">
        <x:v>insuranceqa</x:v>
      </x:c>
      <x:c r="C71" s="8" t="str">
        <x:v>data/benchmarks/qa/insuranceqa/data_insuranceqa_1000.jsonl</x:v>
      </x:c>
      <x:c r="D71" s="8" t="str">
        <x:v>insuranceqa:564</x:v>
      </x:c>
      <x:c r="E71" s="8" t="str"/>
      <x:c r="F71" s="10" t="str">
        <x:v>How Can I Cancel Medicare Part B?</x:v>
      </x:c>
      <x:c r="G71" s="10" t="str">
        <x:v>Question: How Can I Cancel Medicare Part B?
Answer: You can call 1-800-MEDICARE . I highly discourage it however unless you have an employer group plan . You can be penalized by Medicare for every month that you do not carry Part B that you are eligible . If you are in a Medicare Advantage Plan you will be disenrolled because you must have part B to be enrolled in a Medicare Advantage . Not a good idea to cancel your part B . The potential cost over what you would save could be tremendous .</x:v>
      </x:c>
      <x:c r="H71" s="10" t="str">
        <x:v>Based on the supplied context, you can call 1-800-MEDICARE . I highly discourage it however unless you have an employer group plan . You can be penalized by Medicare for every month that you do not carry Part B that you are eligible . If you are in a Medicare Advantage Plan you will be disenrolled because you must have part B to be enrolled in a Medicare Advantage . Not a good idea to cancel your part B . The potential cost over what you would save could be tremendous .</x:v>
      </x:c>
      <x:c r="I71" s="8" t="str">
        <x:v>health</x:v>
      </x:c>
      <x:c r="J71" s="8" t="str">
        <x:v>LOCKED_HOLDOUT_CANDIDATE</x:v>
      </x:c>
      <x:c r="K71" s="10" t="str"/>
      <x:c r="L71" s="12" t="str"/>
      <x:c r="M71" s="12" t="str"/>
      <x:c r="N71" s="12" t="str"/>
      <x:c r="O71" s="12" t="str"/>
      <x:c r="P71" s="12" t="str"/>
    </x:row>
    <x:row r="72">
      <x:c r="A72" s="8" t="str">
        <x:v>ext-iqa-pass-071</x:v>
      </x:c>
      <x:c r="B72" s="8" t="str">
        <x:v>insuranceqa</x:v>
      </x:c>
      <x:c r="C72" s="8" t="str">
        <x:v>data/benchmarks/qa/insuranceqa/data_insuranceqa_1000.jsonl</x:v>
      </x:c>
      <x:c r="D72" s="8" t="str">
        <x:v>insuranceqa:690</x:v>
      </x:c>
      <x:c r="E72" s="8" t="str"/>
      <x:c r="F72" s="10" t="str">
        <x:v>Can A Person Have Two Life Insurance Policies?</x:v>
      </x:c>
      <x:c r="G72" s="10" t="str">
        <x:v>Question: Can A Person Have Two Life Insurance Policies?
Answer: Can a person have two life insurance policies ? Yes , a person can have multiple policies if they choose to , even with different carriers . A newer trend for insureds is buying a smaller face amount of whole life insurance and doing the balance of insurance in term insurance .</x:v>
      </x:c>
      <x:c r="H72" s="10" t="str">
        <x:v>Based on the supplied context, can a person have two life insurance policies ? Yes , a person can have multiple policies if they choose to , even with different carriers . A newer trend for insureds is buying a smaller face amount of whole life insurance and doing the balance of insurance in term insurance .</x:v>
      </x:c>
      <x:c r="I72" s="8" t="str">
        <x:v>life</x:v>
      </x:c>
      <x:c r="J72" s="8" t="str">
        <x:v>CALIBRATION</x:v>
      </x:c>
      <x:c r="K72" s="10" t="str"/>
      <x:c r="L72" s="12" t="str"/>
      <x:c r="M72" s="12" t="str"/>
      <x:c r="N72" s="12" t="str"/>
      <x:c r="O72" s="12" t="str"/>
      <x:c r="P72" s="12" t="str"/>
    </x:row>
    <x:row r="73">
      <x:c r="A73" s="8" t="str">
        <x:v>ext-iqa-pass-072</x:v>
      </x:c>
      <x:c r="B73" s="8" t="str">
        <x:v>insuranceqa</x:v>
      </x:c>
      <x:c r="C73" s="8" t="str">
        <x:v>data/benchmarks/qa/insuranceqa/data_insuranceqa_1000.jsonl</x:v>
      </x:c>
      <x:c r="D73" s="8" t="str">
        <x:v>insuranceqa:871</x:v>
      </x:c>
      <x:c r="E73" s="8" t="str"/>
      <x:c r="F73" s="10" t="str">
        <x:v>What Do I Need In My 401K To Retire?</x:v>
      </x:c>
      <x:c r="G73" s="10" t="str">
        <x:v>Question: What Do I Need In My 401K To Retire?
Answer: Its going to be based on your total life time income projection . Generally speaking ! The best way to determine is go to some of the insurance companies or investment firms . Most all have on their sight a retirement calculator that you can play around with adding different combination of figures . That gives you a fare estimation of how much to plan for in retirement .</x:v>
      </x:c>
      <x:c r="H73" s="10" t="str">
        <x:v>Based on the supplied context, its going to be based on your total life time income projection . Generally speaking ! The best way to determine is go to some of the insurance companies or investment firms . Most all have on their sight a retirement calculator that you can play around with adding different combination of figures . That gives you a fare estimation of how much to plan for in retirement .</x:v>
      </x:c>
      <x:c r="I73" s="8" t="str">
        <x:v>retirement</x:v>
      </x:c>
      <x:c r="J73" s="8" t="str">
        <x:v>LOCKED_HOLDOUT_CANDIDATE</x:v>
      </x:c>
      <x:c r="K73" s="10" t="str"/>
      <x:c r="L73" s="12" t="str"/>
      <x:c r="M73" s="12" t="str"/>
      <x:c r="N73" s="12" t="str"/>
      <x:c r="O73" s="12" t="str"/>
      <x:c r="P73" s="12" t="str"/>
    </x:row>
    <x:row r="74">
      <x:c r="A74" s="8" t="str">
        <x:v>ext-iqa-pass-073</x:v>
      </x:c>
      <x:c r="B74" s="8" t="str">
        <x:v>insuranceqa</x:v>
      </x:c>
      <x:c r="C74" s="8" t="str">
        <x:v>data/benchmarks/qa/insuranceqa/data_insuranceqa_1000.jsonl</x:v>
      </x:c>
      <x:c r="D74" s="8" t="str">
        <x:v>insuranceqa:204</x:v>
      </x:c>
      <x:c r="E74" s="8" t="str"/>
      <x:c r="F74" s="10" t="str">
        <x:v>Why Do So Many Insurance Agents Fail?</x:v>
      </x:c>
      <x:c r="G74" s="10" t="str">
        <x:v>Question: Why Do So Many Insurance Agents Fail?
Answer: Many people get into the insurance business thinking of it as a job . It 's not a job . It 's a business . If you go into business without a solid business plan and money to invest in your business you will fail . You have to learn the products and benefits you are selling . You have to be a professional person and a great communicator . But most of all ... you need people who want to talk to you . And that takes a lot of work or a lot of marketing money . There are also a lot of sharks out there that want to grab new agents and chew them up . They sign agents up for the worst deal imaginable where they could never win . The biggest red flag are the `` free lead '' scammers . They will sign agents up with horrible commission levels to get to the FREE leads . The free leads are worthless junk . You may as well be working the phone book . But if an agent does all the work and makes a sale ... he makes a tiny fraction and the guy who signed him up makes all the real money . It 's a racket , not a career builder . Just look on Craig 's List or any other free advertising place to find these scammers . If you enter the insurance business , make certain that you choose a reputable company with a good manager that you feel good about . If they make it sound too easy to make big money quickly ... watch out ! If they advertise on Craig 's List or offer free leads ... hold on to your wallet !</x:v>
      </x:c>
      <x:c r="H74" s="10" t="str">
        <x:v>Based on the supplied context, many people get into the insurance business thinking of it as a job . It 's not a job . It 's a business . If you go into business without a solid business plan and money to invest in your business you will fail . You have to learn the products and benefits you are selling . You have to be a professional person and a great communicator . But most of all ... you need people who want to talk to you . And that takes a lot of work or a lot of marketing money . There are also a lot of sharks out there that want to grab new agents and chew them up . They sign agents up for the worst deal imaginable where they could never win . The biggest red flag are the `` free lead '' scammers . They will sign agents up with horrible commission levels to get to the FREE leads . The free leads are worthless junk . You may as well be working the phone book . But if an agent does all the work and makes a sale ... he makes a tiny fraction and the guy who signed him up makes all the real money . It 's a racket , not a career builder . Just look on Craig 's List or any other free advertising place to find these scammers . If you enter the insurance business , make certain that you choose a reputable company with a good manager that you feel good about . If they make it sound too easy to make big money quickly ... watch out ! If they advertise on Craig 's List or offer free leads ... hold on to your wallet !</x:v>
      </x:c>
      <x:c r="I74" s="8" t="str">
        <x:v>general_insurance</x:v>
      </x:c>
      <x:c r="J74" s="8" t="str">
        <x:v>LOCKED_HOLDOUT_CANDIDATE</x:v>
      </x:c>
      <x:c r="K74" s="10" t="str"/>
      <x:c r="L74" s="12" t="str"/>
      <x:c r="M74" s="12" t="str"/>
      <x:c r="N74" s="12" t="str"/>
      <x:c r="O74" s="12" t="str"/>
      <x:c r="P74" s="12" t="str"/>
    </x:row>
    <x:row r="75">
      <x:c r="A75" s="8" t="str">
        <x:v>ext-iqa-pass-074</x:v>
      </x:c>
      <x:c r="B75" s="8" t="str">
        <x:v>insuranceqa</x:v>
      </x:c>
      <x:c r="C75" s="8" t="str">
        <x:v>data/benchmarks/qa/insuranceqa/data_insuranceqa_1000.jsonl</x:v>
      </x:c>
      <x:c r="D75" s="8" t="str">
        <x:v>insuranceqa:497</x:v>
      </x:c>
      <x:c r="E75" s="8" t="str"/>
      <x:c r="F75" s="10" t="str">
        <x:v>What Does It Mean When Life Insurance Is Paid Up?</x:v>
      </x:c>
      <x:c r="G75" s="10" t="str">
        <x:v>Question: What Does It Mean When Life Insurance Is Paid Up?
Answer: When life insurance is paid up , it simply means that no further premiums are required to keep the policy in force . The policy may have been set up to where you only needed to pay a single premium in a lump sum . Or it may have required that you paid premiums for a certain number of years , and then it became paid up . In any event , you owe no more premiums and your beneficiary would receive the full face amount or more , if you passed . Or you may have decided to quit paying on the policy early , and were given theoption to take it as a reduced paid up policy . In this case , the face amount will be less than what you originally applied for , but the reduced face amount will stay in effect without you paying any more premiums .</x:v>
      </x:c>
      <x:c r="H75" s="10" t="str">
        <x:v>Based on the supplied context, when life insurance is paid up , it simply means that no further premiums are required to keep the policy in force . The policy may have been set up to where you only needed to pay a single premium in a lump sum . Or it may have required that you paid premiums for a certain number of years , and then it became paid up . In any event , you owe no more premiums and your beneficiary would receive the full face amount or more , if you passed . Or you may have decided to quit paying on the policy early , and were given theoption to take it as a reduced paid up policy . In this case , the face amount will be less than what you originally applied for , but the reduced face amount will stay in effect without you paying any more premiums .</x:v>
      </x:c>
      <x:c r="I75" s="8" t="str">
        <x:v>life</x:v>
      </x:c>
      <x:c r="J75" s="8" t="str">
        <x:v>LOCKED_HOLDOUT_CANDIDATE</x:v>
      </x:c>
      <x:c r="K75" s="10" t="str"/>
      <x:c r="L75" s="12" t="str"/>
      <x:c r="M75" s="12" t="str"/>
      <x:c r="N75" s="12" t="str"/>
      <x:c r="O75" s="12" t="str"/>
      <x:c r="P75" s="12" t="str"/>
    </x:row>
    <x:row r="76">
      <x:c r="A76" s="8" t="str">
        <x:v>ext-iqa-pass-075</x:v>
      </x:c>
      <x:c r="B76" s="8" t="str">
        <x:v>insuranceqa</x:v>
      </x:c>
      <x:c r="C76" s="8" t="str">
        <x:v>data/benchmarks/qa/insuranceqa/data_insuranceqa_1000.jsonl</x:v>
      </x:c>
      <x:c r="D76" s="8" t="str">
        <x:v>insuranceqa:321</x:v>
      </x:c>
      <x:c r="E76" s="8" t="str"/>
      <x:c r="F76" s="10" t="str">
        <x:v>Can I Get Health Insurance Without A Physical?</x:v>
      </x:c>
      <x:c r="G76" s="10" t="str">
        <x:v>Question: Can I Get Health Insurance Without A Physical?
Answer: Yes . Health insurance under the new Affordable Care Act is , in short , guaranteed issue - meaning carriers can not decline you for any pre-existing condition or health-related illness . There are no physicals required to secure an individual health insurance policy . To review available health plans in your area , talk to an independent agent/broker . If you 'd like some assistance , send me a message using the `` contact me '' button</x:v>
      </x:c>
      <x:c r="H76" s="10" t="str">
        <x:v>Based on the supplied context, yes . Health insurance under the new Affordable Care Act is , in short , guaranteed issue - meaning carriers can not decline you for any pre-existing condition or health-related illness . There are no physicals required to secure an individual health insurance policy . To review available health plans in your area , talk to an independent agent/broker . If you 'd like some assistance , send me a message using the `` contact me '' button</x:v>
      </x:c>
      <x:c r="I76" s="8" t="str">
        <x:v>health</x:v>
      </x:c>
      <x:c r="J76" s="8" t="str">
        <x:v>CALIBRATION</x:v>
      </x:c>
      <x:c r="K76" s="10" t="str"/>
      <x:c r="L76" s="12" t="str"/>
      <x:c r="M76" s="12" t="str"/>
      <x:c r="N76" s="12" t="str"/>
      <x:c r="O76" s="12" t="str"/>
      <x:c r="P76" s="12" t="str"/>
    </x:row>
    <x:row r="77">
      <x:c r="A77" s="8" t="str">
        <x:v>ext-iqa-pass-076</x:v>
      </x:c>
      <x:c r="B77" s="8" t="str">
        <x:v>insuranceqa</x:v>
      </x:c>
      <x:c r="C77" s="8" t="str">
        <x:v>data/benchmarks/qa/insuranceqa/data_insuranceqa_1000.jsonl</x:v>
      </x:c>
      <x:c r="D77" s="8" t="str">
        <x:v>insuranceqa:962</x:v>
      </x:c>
      <x:c r="E77" s="8" t="str"/>
      <x:c r="F77" s="10" t="str">
        <x:v>My father passed in 2007 i recently found his life policy, where do i start?</x:v>
      </x:c>
      <x:c r="G77" s="10" t="str">
        <x:v>Question: My father passed in 2007 i recently found his life policy, where do i start?
Answer: The best place to start is to call the life insurance company through which he took out the policy . If the company has changed hands , you can google the name of the old company and the company that bought it will come up in some results . Look at the Contact tab on the company website for Customer Service .</x:v>
      </x:c>
      <x:c r="H77" s="10" t="str">
        <x:v>Based on the supplied context, the best place to start is to call the life insurance company through which he took out the policy . If the company has changed hands , you can google the name of the old company and the company that bought it will come up in some results . Look at the Contact tab on the company website for Customer Service .</x:v>
      </x:c>
      <x:c r="I77" s="8" t="str">
        <x:v>general_insurance</x:v>
      </x:c>
      <x:c r="J77" s="8" t="str">
        <x:v>CALIBRATION</x:v>
      </x:c>
      <x:c r="K77" s="10" t="str"/>
      <x:c r="L77" s="12" t="str"/>
      <x:c r="M77" s="12" t="str"/>
      <x:c r="N77" s="12" t="str"/>
      <x:c r="O77" s="12" t="str"/>
      <x:c r="P77" s="12" t="str"/>
    </x:row>
    <x:row r="78">
      <x:c r="A78" s="8" t="str">
        <x:v>ext-iqa-pass-077</x:v>
      </x:c>
      <x:c r="B78" s="8" t="str">
        <x:v>insuranceqa</x:v>
      </x:c>
      <x:c r="C78" s="8" t="str">
        <x:v>data/benchmarks/qa/insuranceqa/data_insuranceqa_1000.jsonl</x:v>
      </x:c>
      <x:c r="D78" s="8" t="str">
        <x:v>insuranceqa:43</x:v>
      </x:c>
      <x:c r="E78" s="8" t="str"/>
      <x:c r="F78" s="10" t="str">
        <x:v>What Is Vesting In Life Insurance?</x:v>
      </x:c>
      <x:c r="G78" s="10" t="str">
        <x:v>Question: What Is Vesting In Life Insurance?
Answer: As related to life insurance , vesting is a legal term that means that the beneficiary has a legal right to the life insurance proceeds in the policy . If they are an irrevocable beneficiary , they are vested in that policy , and no other beneficiary can replace them without their consent .</x:v>
      </x:c>
      <x:c r="H78" s="10" t="str">
        <x:v>Based on the supplied context, as related to life insurance , vesting is a legal term that means that the beneficiary has a legal right to the life insurance proceeds in the policy . If they are an irrevocable beneficiary , they are vested in that policy , and no other beneficiary can replace them without their consent .</x:v>
      </x:c>
      <x:c r="I78" s="8" t="str">
        <x:v>life</x:v>
      </x:c>
      <x:c r="J78" s="8" t="str">
        <x:v>CALIBRATION</x:v>
      </x:c>
      <x:c r="K78" s="10" t="str"/>
      <x:c r="L78" s="12" t="str"/>
      <x:c r="M78" s="12" t="str"/>
      <x:c r="N78" s="12" t="str"/>
      <x:c r="O78" s="12" t="str"/>
      <x:c r="P78" s="12" t="str"/>
    </x:row>
    <x:row r="79">
      <x:c r="A79" s="8" t="str">
        <x:v>ext-iqa-pass-078</x:v>
      </x:c>
      <x:c r="B79" s="8" t="str">
        <x:v>insuranceqa</x:v>
      </x:c>
      <x:c r="C79" s="8" t="str">
        <x:v>data/benchmarks/qa/insuranceqa/data_insuranceqa_1000.jsonl</x:v>
      </x:c>
      <x:c r="D79" s="8" t="str">
        <x:v>insuranceqa:779</x:v>
      </x:c>
      <x:c r="E79" s="8" t="str"/>
      <x:c r="F79" s="10" t="str">
        <x:v>What Do I Need To Know To Get Homeowners Insurance?</x:v>
      </x:c>
      <x:c r="G79" s="10" t="str">
        <x:v>Question: What Do I Need To Know To Get Homeowners Insurance?
Answer: It would be best if you knew the current value of your personal property and the replacement cost of the same items . That way you can compare the premiums for the two types of coverage . The only other critical thing to know is the highest amount of liability insurance that you can afford . These issues can be handled smoothly by a competent insurance agent .</x:v>
      </x:c>
      <x:c r="H79" s="10" t="str">
        <x:v>Based on the supplied context, it would be best if you knew the current value of your personal property and the replacement cost of the same items . That way you can compare the premiums for the two types of coverage . The only other critical thing to know is the highest amount of liability insurance that you can afford . These issues can be handled smoothly by a competent insurance agent .</x:v>
      </x:c>
      <x:c r="I79" s="8" t="str">
        <x:v>general_insurance</x:v>
      </x:c>
      <x:c r="J79" s="8" t="str">
        <x:v>CALIBRATION</x:v>
      </x:c>
      <x:c r="K79" s="10" t="str"/>
      <x:c r="L79" s="12" t="str"/>
      <x:c r="M79" s="12" t="str"/>
      <x:c r="N79" s="12" t="str"/>
      <x:c r="O79" s="12" t="str"/>
      <x:c r="P79" s="12" t="str"/>
    </x:row>
    <x:row r="80">
      <x:c r="A80" s="8" t="str">
        <x:v>ext-iqa-pass-079</x:v>
      </x:c>
      <x:c r="B80" s="8" t="str">
        <x:v>insuranceqa</x:v>
      </x:c>
      <x:c r="C80" s="8" t="str">
        <x:v>data/benchmarks/qa/insuranceqa/data_insuranceqa_1000.jsonl</x:v>
      </x:c>
      <x:c r="D80" s="8" t="str">
        <x:v>insuranceqa:96</x:v>
      </x:c>
      <x:c r="E80" s="8" t="str"/>
      <x:c r="F80" s="10" t="str">
        <x:v>Is Short Term Disability Considered Health Insurance?</x:v>
      </x:c>
      <x:c r="G80" s="10" t="str">
        <x:v>Question: Is Short Term Disability Considered Health Insurance?
Answer: No short term disability is a different policy than health insurance . Health insurance is designed to pay the providers , i.e. doctors , hospitals , clinics , etc. . Short term disability is designed to pay you for the income that is lost due to an injury or illness . It can be used for medical expenses , food , mortgage or anything else needed to survive during a difficult time .</x:v>
      </x:c>
      <x:c r="H80" s="10" t="str">
        <x:v>Based on the supplied context, no short term disability is a different policy than health insurance . Health insurance is designed to pay the providers , i.e. doctors , hospitals , clinics , etc. . Short term disability is designed to pay you for the income that is lost due to an injury or illness . It can be used for medical expenses , food , mortgage or anything else needed to survive during a difficult time .</x:v>
      </x:c>
      <x:c r="I80" s="8" t="str">
        <x:v>health</x:v>
      </x:c>
      <x:c r="J80" s="8" t="str">
        <x:v>CALIBRATION</x:v>
      </x:c>
      <x:c r="K80" s="10" t="str"/>
      <x:c r="L80" s="12" t="str"/>
      <x:c r="M80" s="12" t="str"/>
      <x:c r="N80" s="12" t="str"/>
      <x:c r="O80" s="12" t="str"/>
      <x:c r="P80" s="12" t="str"/>
    </x:row>
    <x:row r="81">
      <x:c r="A81" s="8" t="str">
        <x:v>ext-iqa-pass-080</x:v>
      </x:c>
      <x:c r="B81" s="8" t="str">
        <x:v>insuranceqa</x:v>
      </x:c>
      <x:c r="C81" s="8" t="str">
        <x:v>data/benchmarks/qa/insuranceqa/data_insuranceqa_1000.jsonl</x:v>
      </x:c>
      <x:c r="D81" s="8" t="str">
        <x:v>insuranceqa:640</x:v>
      </x:c>
      <x:c r="E81" s="8" t="str"/>
      <x:c r="F81" s="10" t="str">
        <x:v>What Stocks Are In A Mutual Fund?</x:v>
      </x:c>
      <x:c r="G81" s="10" t="str">
        <x:v>Question: What Stocks Are In A Mutual Fund?
Answer: That is a great question ! In fact , it 's really the multimillion dollar question ! That is the hard part about choosing the right mutual fund , knowing what they are invested in , and how the investments are performing . A mutual fund that was heavily invested in technology stocks this year would have taken a beating -LRB- some lost very large amounts -RRB- , while mutual funds invested in a mix of bonds and energy stocks would have had a good return . The best thing to do is really look into the fund , its investments and its returns , before you invest in it . Be certain to have your broker clearly explain all fees to you ! Many funds charge fees that can significantly reduce your earnings , and leave you with little more than you started with . Be careful , ok ? Thanks for asking !</x:v>
      </x:c>
      <x:c r="H81" s="10" t="str">
        <x:v>Based on the supplied context, that is a great question ! In fact , it 's really the multimillion dollar question ! That is the hard part about choosing the right mutual fund , knowing what they are invested in , and how the investments are performing . A mutual fund that was heavily invested in technology stocks this year would have taken a beating -LRB- some lost very large amounts -RRB- , while mutual funds invested in a mix of bonds and energy stocks would have had a good return . The best thing to do is really look into the fund , its investments and its returns , before you invest in it . Be certain to have your broker clearly explain all fees to you ! Many funds charge fees that can significantly reduce your earnings , and leave you with little more than you started with . Be careful , ok ? Thanks for asking !</x:v>
      </x:c>
      <x:c r="I81" s="8" t="str">
        <x:v>general_insurance</x:v>
      </x:c>
      <x:c r="J81" s="8" t="str">
        <x:v>VALIDATION</x:v>
      </x:c>
      <x:c r="K81" s="10" t="str"/>
      <x:c r="L81" s="12" t="str"/>
      <x:c r="M81" s="12" t="str"/>
      <x:c r="N81" s="12" t="str"/>
      <x:c r="O81" s="12" t="str"/>
      <x:c r="P81" s="12" t="str"/>
    </x:row>
    <x:row r="82">
      <x:c r="A82" s="8" t="str">
        <x:v>ext-iqa-pass-081</x:v>
      </x:c>
      <x:c r="B82" s="8" t="str">
        <x:v>insuranceqa</x:v>
      </x:c>
      <x:c r="C82" s="8" t="str">
        <x:v>data/benchmarks/qa/insuranceqa/data_insuranceqa_1000.jsonl</x:v>
      </x:c>
      <x:c r="D82" s="8" t="str">
        <x:v>insuranceqa:883</x:v>
      </x:c>
      <x:c r="E82" s="8" t="str"/>
      <x:c r="F82" s="10" t="str">
        <x:v>How Much Should Health Insurance Cost?</x:v>
      </x:c>
      <x:c r="G82" s="10" t="str">
        <x:v>Question: How Much Should Health Insurance Cost?
Answer: How much you should be paying is a hard figure to try and quantify . The average cost in the country for a health insurance plan is $ 328 per month - however , this is only reflective upon a silver level plan -LRB- not all 2014 state figure averages are available yet -RRB- . While you can try to come up with an `` average '' cost , there 's too many factors that go into premium pricing to say how in relation that compares to you . In short , an `` average '' premium is a rather useless figure to the individual . It 's only representative to a large group - you could have people paying a small nominal amount -LRB- after factoring in subsidies -RRB- per month to several thousand dollars per month . Even for that there 's a ton of information to sift through to get an accurate representation . Under the Affordable Care Act , you have the options for bronze , silver , gold , and platinum level plans -LRB- as you go up in metal , the price goes up , but provides better benefits -RRB- - some areas also have a catastrophic plan available . In addition , your age is a big factor as well . The younger you are , the cheaper your premium - the older you are , the higher your premium . Also , if you use tobacco products , your premium can be increased up to 50 % as well . You may be able to qualify for a subsidy that can be used to reduce the cost of your health insurance premiums . I always recommend consulting with an experienced broker . We can help you determine the plan that 's going to be most suitable for your needs and budget . Please feel free to contact me for further assistance . Thanks very much .</x:v>
      </x:c>
      <x:c r="H82" s="10" t="str">
        <x:v>How much you should be paying is a hard figure to try and quantify . The average cost in the country for a health insurance plan is $ 328 per month - however , this is only reflective upon a silver level plan -LRB- not all 2014 state figure averages are available yet -RRB- . While you can try to come up with an `` average '' cost , there 's too many factors that go into premium pricing to say how in relation that compares to you . In short , an `` average '' premium is a rather useless figure to the individual . It 's only representative to a large group - you could have people paying a small nominal amount -LRB- after factoring in subsidies -RRB- per month to several thousand dollars per month . Even for that there 's a ton of information to sift through to get an accurate representation . Under the Affordable Care Act , you have the options for bronze , silver , gold , and platinum level plans -LRB- as you go up in metal , the price goes up , but provides better benefits -RRB- - some areas also have a catastrophic plan available . In addition , your age is a big factor as well . The younger you are , the cheaper your premium - the older you are , the higher your premium . Also , if you use tobacco products , your premium can be increased up to 50 % as well . You may be able to qualify for a subsidy that can be used to reduce the cost of your health insurance premiums . I always recommend consulting with an experienced broker . We can help you determine the plan that 's going to be most suitable for your needs and budget . Please feel free to contact me for further assistance . Thanks very much . [insuranceqa:883]</x:v>
      </x:c>
      <x:c r="I82" s="8" t="str">
        <x:v>health</x:v>
      </x:c>
      <x:c r="J82" s="8" t="str">
        <x:v>CALIBRATION</x:v>
      </x:c>
      <x:c r="K82" s="10" t="str"/>
      <x:c r="L82" s="12" t="str"/>
      <x:c r="M82" s="12" t="str"/>
      <x:c r="N82" s="12" t="str"/>
      <x:c r="O82" s="12" t="str"/>
      <x:c r="P82" s="12" t="str"/>
    </x:row>
    <x:row r="83">
      <x:c r="A83" s="8" t="str">
        <x:v>ext-iqa-pass-082</x:v>
      </x:c>
      <x:c r="B83" s="8" t="str">
        <x:v>insuranceqa</x:v>
      </x:c>
      <x:c r="C83" s="8" t="str">
        <x:v>data/benchmarks/qa/insuranceqa/data_insuranceqa_1000.jsonl</x:v>
      </x:c>
      <x:c r="D83" s="8" t="str">
        <x:v>insuranceqa:308</x:v>
      </x:c>
      <x:c r="E83" s="8" t="str"/>
      <x:c r="F83" s="10" t="str">
        <x:v>When Do You Apply For Medicare Part A?</x:v>
      </x:c>
      <x:c r="G83" s="10" t="str">
        <x:v>Question: When Do You Apply For Medicare Part A?
Answer: Great question . Normally your Medicare card is sent in the mail 3 months before your 65th birthday . However , sometimes you have to apply and you can do this by visiting you social security office or website . Once you are eligible for Medicare , a broker should be able to help you understand it further as well as help you explore your options .</x:v>
      </x:c>
      <x:c r="H83" s="10" t="str">
        <x:v>Great question . Normally your Medicare card is sent in the mail 3 months before your 65th birthday . However , sometimes you have to apply and you can do this by visiting you social security office or website . Once you are eligible for Medicare , a broker should be able to help you understand it further as well as help you explore your options . [insuranceqa:308]</x:v>
      </x:c>
      <x:c r="I83" s="8" t="str">
        <x:v>health</x:v>
      </x:c>
      <x:c r="J83" s="8" t="str">
        <x:v>LOCKED_HOLDOUT_CANDIDATE</x:v>
      </x:c>
      <x:c r="K83" s="10" t="str"/>
      <x:c r="L83" s="12" t="str"/>
      <x:c r="M83" s="12" t="str"/>
      <x:c r="N83" s="12" t="str"/>
      <x:c r="O83" s="12" t="str"/>
      <x:c r="P83" s="12" t="str"/>
    </x:row>
    <x:row r="84">
      <x:c r="A84" s="8" t="str">
        <x:v>ext-iqa-pass-083</x:v>
      </x:c>
      <x:c r="B84" s="8" t="str">
        <x:v>insuranceqa</x:v>
      </x:c>
      <x:c r="C84" s="8" t="str">
        <x:v>data/benchmarks/qa/insuranceqa/data_insuranceqa_1000.jsonl</x:v>
      </x:c>
      <x:c r="D84" s="8" t="str">
        <x:v>insuranceqa:107</x:v>
      </x:c>
      <x:c r="E84" s="8" t="str"/>
      <x:c r="F84" s="10" t="str">
        <x:v>Does Homeowners Insurance Cover Oil Tank Removal?</x:v>
      </x:c>
      <x:c r="G84" s="10" t="str">
        <x:v>Question: Does Homeowners Insurance Cover Oil Tank Removal?
Answer: Under normal circumstances your homeowners insurance will not typically pay for the removal of an oil tank . Please remember every policy is different . Read your policy completely to understand the coverage provided by the policy and any exclusions contained within or contact your local agent to have them go over the policy with you .</x:v>
      </x:c>
      <x:c r="H84" s="10" t="str">
        <x:v>Under normal circumstances your homeowners insurance will not typically pay for the removal of an oil tank . Please remember every policy is different . Read your policy completely to understand the coverage provided by the policy and any exclusions contained within or contact your local agent to have them go over the policy with you . [insuranceqa:107]</x:v>
      </x:c>
      <x:c r="I84" s="8" t="str">
        <x:v>general_insurance</x:v>
      </x:c>
      <x:c r="J84" s="8" t="str">
        <x:v>CALIBRATION</x:v>
      </x:c>
      <x:c r="K84" s="10" t="str"/>
      <x:c r="L84" s="12" t="str"/>
      <x:c r="M84" s="12" t="str"/>
      <x:c r="N84" s="12" t="str"/>
      <x:c r="O84" s="12" t="str"/>
      <x:c r="P84" s="12" t="str"/>
    </x:row>
    <x:row r="85">
      <x:c r="A85" s="8" t="str">
        <x:v>ext-iqa-pass-084</x:v>
      </x:c>
      <x:c r="B85" s="8" t="str">
        <x:v>insuranceqa</x:v>
      </x:c>
      <x:c r="C85" s="8" t="str">
        <x:v>data/benchmarks/qa/insuranceqa/data_insuranceqa_1000.jsonl</x:v>
      </x:c>
      <x:c r="D85" s="8" t="str">
        <x:v>insuranceqa:246</x:v>
      </x:c>
      <x:c r="E85" s="8" t="str"/>
      <x:c r="F85" s="10" t="str">
        <x:v>What Is My Medicare Part B Number?</x:v>
      </x:c>
      <x:c r="G85" s="10" t="str">
        <x:v>Question: What Is My Medicare Part B Number?
Answer: Your Medicare Part B number is the same as your Medicare Part A number . When you enroll in Medicare , you are assigned a claim number - this is typically going to be your social security number plus a letter on the end -LRB- designates certain conditions - e.g. only you are applying and not your spouse , on group coverage , etc. -RRB- . Please feel free to contact me for help and if you have any other questions . Thanks very much .</x:v>
      </x:c>
      <x:c r="H85" s="10" t="str">
        <x:v>Your Medicare Part B number is the same as your Medicare Part A number . When you enroll in Medicare , you are assigned a claim number - this is typically going to be your social security number plus a letter on the end -LRB- designates certain conditions - e.g. only you are applying and not your spouse , on group coverage , etc. -RRB- . Please feel free to contact me for help and if you have any other questions . Thanks very much . [insuranceqa:246]</x:v>
      </x:c>
      <x:c r="I85" s="8" t="str">
        <x:v>health</x:v>
      </x:c>
      <x:c r="J85" s="8" t="str">
        <x:v>CALIBRATION</x:v>
      </x:c>
      <x:c r="K85" s="10" t="str"/>
      <x:c r="L85" s="12" t="str"/>
      <x:c r="M85" s="12" t="str"/>
      <x:c r="N85" s="12" t="str"/>
      <x:c r="O85" s="12" t="str"/>
      <x:c r="P85" s="12" t="str"/>
    </x:row>
    <x:row r="86">
      <x:c r="A86" s="8" t="str">
        <x:v>ext-iqa-pass-085</x:v>
      </x:c>
      <x:c r="B86" s="8" t="str">
        <x:v>insuranceqa</x:v>
      </x:c>
      <x:c r="C86" s="8" t="str">
        <x:v>data/benchmarks/qa/insuranceqa/data_insuranceqa_1000.jsonl</x:v>
      </x:c>
      <x:c r="D86" s="8" t="str">
        <x:v>insuranceqa:337</x:v>
      </x:c>
      <x:c r="E86" s="8" t="str"/>
      <x:c r="F86" s="10" t="str">
        <x:v>Is Life Insurance Portable?</x:v>
      </x:c>
      <x:c r="G86" s="10" t="str">
        <x:v>Question: Is Life Insurance Portable?
Answer: If you purchase a life insurance policy on your own -LRB- outside what your employer offers -RRB- , it is always portable . You can move across the country , or to another country , and as long as it was bought with full disclosure , it will pay the death benefit if you pass away .</x:v>
      </x:c>
      <x:c r="H86" s="10" t="str">
        <x:v>If you purchase a life insurance policy on your own -LRB- outside what your employer offers -RRB- , it is always portable . You can move across the country , or to another country , and as long as it was bought with full disclosure , it will pay the death benefit if you pass away . [insuranceqa:337]</x:v>
      </x:c>
      <x:c r="I86" s="8" t="str">
        <x:v>life</x:v>
      </x:c>
      <x:c r="J86" s="8" t="str">
        <x:v>LOCKED_HOLDOUT_CANDIDATE</x:v>
      </x:c>
      <x:c r="K86" s="10" t="str"/>
      <x:c r="L86" s="12" t="str"/>
      <x:c r="M86" s="12" t="str"/>
      <x:c r="N86" s="12" t="str"/>
      <x:c r="O86" s="12" t="str"/>
      <x:c r="P86" s="12" t="str"/>
    </x:row>
    <x:row r="87">
      <x:c r="A87" s="8" t="str">
        <x:v>ext-iqa-pass-086</x:v>
      </x:c>
      <x:c r="B87" s="8" t="str">
        <x:v>insuranceqa</x:v>
      </x:c>
      <x:c r="C87" s="8" t="str">
        <x:v>data/benchmarks/qa/insuranceqa/data_insuranceqa_1000.jsonl</x:v>
      </x:c>
      <x:c r="D87" s="8" t="str">
        <x:v>insuranceqa:628</x:v>
      </x:c>
      <x:c r="E87" s="8" t="str"/>
      <x:c r="F87" s="10" t="str">
        <x:v>Does My Homeowners Insurance Cover Foundation Problems?</x:v>
      </x:c>
      <x:c r="G87" s="10" t="str">
        <x:v>Question: Does My Homeowners Insurance Cover Foundation Problems?
Answer: A homeowners policy covers damages caused by specified perils . These perils are described in the policy and while comprehensive there are some perils that are excluded . If the cause of the foundation problem was damage by a specified peril it would be covered , however it more likely that the damage would be cause by earth movement which is an excluded peril .</x:v>
      </x:c>
      <x:c r="H87" s="10" t="str">
        <x:v>A homeowners policy covers damages caused by specified perils . These perils are described in the policy and while comprehensive there are some perils that are excluded . If the cause of the foundation problem was damage by a specified peril it would be covered , however it more likely that the damage would be cause by earth movement which is an excluded peril . [insuranceqa:628]</x:v>
      </x:c>
      <x:c r="I87" s="8" t="str">
        <x:v>general_insurance</x:v>
      </x:c>
      <x:c r="J87" s="8" t="str">
        <x:v>LOCKED_HOLDOUT_CANDIDATE</x:v>
      </x:c>
      <x:c r="K87" s="10" t="str"/>
      <x:c r="L87" s="12" t="str"/>
      <x:c r="M87" s="12" t="str"/>
      <x:c r="N87" s="12" t="str"/>
      <x:c r="O87" s="12" t="str"/>
      <x:c r="P87" s="12" t="str"/>
    </x:row>
    <x:row r="88">
      <x:c r="A88" s="8" t="str">
        <x:v>ext-iqa-pass-087</x:v>
      </x:c>
      <x:c r="B88" s="8" t="str">
        <x:v>insuranceqa</x:v>
      </x:c>
      <x:c r="C88" s="8" t="str">
        <x:v>data/benchmarks/qa/insuranceqa/data_insuranceqa_1000.jsonl</x:v>
      </x:c>
      <x:c r="D88" s="8" t="str">
        <x:v>insuranceqa:314</x:v>
      </x:c>
      <x:c r="E88" s="8" t="str"/>
      <x:c r="F88" s="10" t="str">
        <x:v>Is Renters Insurance A Requirement?</x:v>
      </x:c>
      <x:c r="G88" s="10" t="str">
        <x:v>Question: Is Renters Insurance A Requirement?
Answer: Generally speaking , renters insurance is not a requirement by law however , the apartment or home you are renting , the landlord can make this a requirement in order to lease or rent . It is a good idea anyway . The cost is inexpensive but the coverage may be critical . Be sure to look at the type of insurance you are purchasing . I recommend a policy that will provide you the replacement value versus the current value of your stuff . Keep a good inventory as well .</x:v>
      </x:c>
      <x:c r="H88" s="10" t="str">
        <x:v>Generally speaking , renters insurance is not a requirement by law however , the apartment or home you are renting , the landlord can make this a requirement in order to lease or rent . It is a good idea anyway . The cost is inexpensive but the coverage may be critical . Be sure to look at the type of insurance you are purchasing . I recommend a policy that will provide you the replacement value versus the current value of your stuff . Keep a good inventory as well . [insuranceqa:314]</x:v>
      </x:c>
      <x:c r="I88" s="8" t="str">
        <x:v>household</x:v>
      </x:c>
      <x:c r="J88" s="8" t="str">
        <x:v>CALIBRATION</x:v>
      </x:c>
      <x:c r="K88" s="10" t="str"/>
      <x:c r="L88" s="12" t="str"/>
      <x:c r="M88" s="12" t="str"/>
      <x:c r="N88" s="12" t="str"/>
      <x:c r="O88" s="12" t="str"/>
      <x:c r="P88" s="12" t="str"/>
    </x:row>
    <x:row r="89">
      <x:c r="A89" s="8" t="str">
        <x:v>ext-iqa-pass-088</x:v>
      </x:c>
      <x:c r="B89" s="8" t="str">
        <x:v>insuranceqa</x:v>
      </x:c>
      <x:c r="C89" s="8" t="str">
        <x:v>data/benchmarks/qa/insuranceqa/data_insuranceqa_1000.jsonl</x:v>
      </x:c>
      <x:c r="D89" s="8" t="str">
        <x:v>insuranceqa:123</x:v>
      </x:c>
      <x:c r="E89" s="8" t="str"/>
      <x:c r="F89" s="10" t="str">
        <x:v>How Do I Lower My Homeowners Insurance In Connecticut?</x:v>
      </x:c>
      <x:c r="G89" s="10" t="str">
        <x:v>Question: How Do I Lower My Homeowners Insurance In Connecticut?
Answer: There are several things to consider when looking for ways to lower your Home Insurance premiums . The first area I would call loss control . take a look at your home and property . Are there tree branches or shrubbery that should be trimmed to allow mor air flow around your home ? This cuts down on moisture build up that can cause damage . Are the steps and planking on your deck clean , secure and free from any damage ? Have you had your fireplace chimney cleaned regularly ? Things like these and more when managed , can reduce the chances of a claim which can increase your rates . The next area would be bundling . Many companies offer very nice discounts for those who insure their cars and have life insurance with the same company as your home . Next , talk to your insurance professional about increasing yuour deductible and while you are at it , what benefits you might earn from installing a monitored alarm system , putting on a new roof or upgrading your plumbing , electrical or HVAC sytems . There are discounts available , for sure .</x:v>
      </x:c>
      <x:c r="H89" s="10" t="str">
        <x:v>There are several things to consider when looking for ways to lower your Home Insurance premiums . The first area I would call loss control . take a look at your home and property . Are there tree branches or shrubbery that should be trimmed to allow mor air flow around your home ? This cuts down on moisture build up that can cause damage . Are the steps and planking on your deck clean , secure and free from any damage ? Have you had your fireplace chimney cleaned regularly ? Things like these and more when managed , can reduce the chances of a claim which can increase your rates . The next area would be bundling . Many companies offer very nice discounts for those who insure their cars and have life insurance with the same company as your home . Next , talk to your insurance professional about increasing yuour deductible and while you are at it , what benefits you might earn from installing a monitored alarm system , putting on a new roof or upgrading your plumbing , electrical or HVAC sytems . There are discounts available , for sure . [insuranceqa:123]</x:v>
      </x:c>
      <x:c r="I89" s="8" t="str">
        <x:v>general_insurance</x:v>
      </x:c>
      <x:c r="J89" s="8" t="str">
        <x:v>LOCKED_HOLDOUT_CANDIDATE</x:v>
      </x:c>
      <x:c r="K89" s="10" t="str"/>
      <x:c r="L89" s="12" t="str"/>
      <x:c r="M89" s="12" t="str"/>
      <x:c r="N89" s="12" t="str"/>
      <x:c r="O89" s="12" t="str"/>
      <x:c r="P89" s="12" t="str"/>
    </x:row>
    <x:row r="90">
      <x:c r="A90" s="8" t="str">
        <x:v>ext-iqa-pass-089</x:v>
      </x:c>
      <x:c r="B90" s="8" t="str">
        <x:v>insuranceqa</x:v>
      </x:c>
      <x:c r="C90" s="8" t="str">
        <x:v>data/benchmarks/qa/insuranceqa/data_insuranceqa_1000.jsonl</x:v>
      </x:c>
      <x:c r="D90" s="8" t="str">
        <x:v>insuranceqa:801</x:v>
      </x:c>
      <x:c r="E90" s="8" t="str"/>
      <x:c r="F90" s="10" t="str">
        <x:v>Can You Receive Disability Insurance And Social Security Disability?</x:v>
      </x:c>
      <x:c r="G90" s="10" t="str">
        <x:v>Question: Can You Receive Disability Insurance And Social Security Disability?
Answer: Yes , you can receive Disability Insurance and Social Security Disability Insurance at the same time . The Disability Insurance supplements the Social Security Disability benefit received , allowing the insured person to receive a higher total disability benefit -LRB- % of income replaced -RRB- than just receiving either insurance benefit on its own .</x:v>
      </x:c>
      <x:c r="H90" s="10" t="str">
        <x:v>Yes , you can receive Disability Insurance and Social Security Disability Insurance at the same time . The Disability Insurance supplements the Social Security Disability benefit received , allowing the insured person to receive a higher total disability benefit -LRB- % of income replaced -RRB- than just receiving either insurance benefit on its own . [insuranceqa:801]</x:v>
      </x:c>
      <x:c r="I90" s="8" t="str">
        <x:v>health</x:v>
      </x:c>
      <x:c r="J90" s="8" t="str">
        <x:v>VALIDATION</x:v>
      </x:c>
      <x:c r="K90" s="10" t="str"/>
      <x:c r="L90" s="12" t="str"/>
      <x:c r="M90" s="12" t="str"/>
      <x:c r="N90" s="12" t="str"/>
      <x:c r="O90" s="12" t="str"/>
      <x:c r="P90" s="12" t="str"/>
    </x:row>
    <x:row r="91">
      <x:c r="A91" s="8" t="str">
        <x:v>ext-iqa-pass-090</x:v>
      </x:c>
      <x:c r="B91" s="8" t="str">
        <x:v>insuranceqa</x:v>
      </x:c>
      <x:c r="C91" s="8" t="str">
        <x:v>data/benchmarks/qa/insuranceqa/data_insuranceqa_1000.jsonl</x:v>
      </x:c>
      <x:c r="D91" s="8" t="str">
        <x:v>insuranceqa:161</x:v>
      </x:c>
      <x:c r="E91" s="8" t="str"/>
      <x:c r="F91" s="10" t="str">
        <x:v>When Do You Need Homeowners Insurance?</x:v>
      </x:c>
      <x:c r="G91" s="10" t="str">
        <x:v>Question: When Do You Need Homeowners Insurance?
Answer: Most homeowners need a homeowners policy all the time . A mortgagee will probably require that you carry a homeowners policy to protect the lenders interest . The next significant time you will need a homeowners policy is when you are sued or there is damage to your home and its contents . Because these losses are not frequent , the premium for this coverage is relatively inexpensive . The cost for not having the coverage can be devastating .</x:v>
      </x:c>
      <x:c r="H91" s="10" t="str">
        <x:v>Most homeowners need a homeowners policy all the time . A mortgagee will probably require that you carry a homeowners policy to protect the lenders interest . The next significant time you will need a homeowners policy is when you are sued or there is damage to your home and its contents . Because these losses are not frequent , the premium for this coverage is relatively inexpensive . The cost for not having the coverage can be devastating . [insuranceqa:161]</x:v>
      </x:c>
      <x:c r="I91" s="8" t="str">
        <x:v>general_insurance</x:v>
      </x:c>
      <x:c r="J91" s="8" t="str">
        <x:v>CALIBRATION</x:v>
      </x:c>
      <x:c r="K91" s="10" t="str"/>
      <x:c r="L91" s="12" t="str"/>
      <x:c r="M91" s="12" t="str"/>
      <x:c r="N91" s="12" t="str"/>
      <x:c r="O91" s="12" t="str"/>
      <x:c r="P91" s="12" t="str"/>
    </x:row>
    <x:row r="92">
      <x:c r="A92" s="8" t="str">
        <x:v>ext-iqa-pass-091</x:v>
      </x:c>
      <x:c r="B92" s="8" t="str">
        <x:v>insuranceqa</x:v>
      </x:c>
      <x:c r="C92" s="8" t="str">
        <x:v>data/benchmarks/qa/insuranceqa/data_insuranceqa_1000.jsonl</x:v>
      </x:c>
      <x:c r="D92" s="8" t="str">
        <x:v>insuranceqa:366</x:v>
      </x:c>
      <x:c r="E92" s="8" t="str"/>
      <x:c r="F92" s="10" t="str">
        <x:v>When Does Your Car Insurance Go Down?</x:v>
      </x:c>
      <x:c r="G92" s="10" t="str">
        <x:v>Question: When Does Your Car Insurance Go Down?
Answer: In California car insurance premiums decline as you become a more experienced driver . They decline if you elect to forgo certain coverages . They decline when you get farther away from your bad driving record . They go down if a student in your household is a good student . They go down when you drive fewer miles annually .</x:v>
      </x:c>
      <x:c r="H92" s="10" t="str">
        <x:v>In California car insurance premiums decline as you become a more experienced driver . They decline if you elect to forgo certain coverages . They decline when you get farther away from your bad driving record . They go down if a student in your household is a good student . They go down when you drive fewer miles annually . [insuranceqa:366]</x:v>
      </x:c>
      <x:c r="I92" s="8" t="str">
        <x:v>motor</x:v>
      </x:c>
      <x:c r="J92" s="8" t="str">
        <x:v>CALIBRATION</x:v>
      </x:c>
      <x:c r="K92" s="10" t="str"/>
      <x:c r="L92" s="12" t="str"/>
      <x:c r="M92" s="12" t="str"/>
      <x:c r="N92" s="12" t="str"/>
      <x:c r="O92" s="12" t="str"/>
      <x:c r="P92" s="12" t="str"/>
    </x:row>
    <x:row r="93">
      <x:c r="A93" s="8" t="str">
        <x:v>ext-iqa-pass-092</x:v>
      </x:c>
      <x:c r="B93" s="8" t="str">
        <x:v>insuranceqa</x:v>
      </x:c>
      <x:c r="C93" s="8" t="str">
        <x:v>data/benchmarks/qa/insuranceqa/data_insuranceqa_1000.jsonl</x:v>
      </x:c>
      <x:c r="D93" s="8" t="str">
        <x:v>insuranceqa:1</x:v>
      </x:c>
      <x:c r="E93" s="8" t="str"/>
      <x:c r="F93" s="10" t="str">
        <x:v>How Much Is Health Insurance Out Of Pocket?</x:v>
      </x:c>
      <x:c r="G93" s="10" t="str">
        <x:v>Question: How Much Is Health Insurance Out Of Pocket?
Answer: This depends on a number of factors in your plan including , your premium is , your deductible , coinsurance , copayments , maximum out-of-pocket - these amounts will vary by plan so you want to make sure of what you have and that it 's a plan that is suitable to your needs and budget . It 's not always best to just buy what 's cheapest or the most comprehensive . There are many moving parts to health insurance and it 's always helpful to consult with an experienced broker to make sure that the plan you have/want to apply for is going to best serve your needs . Please let me know if I can be of further assistance . Thanks very much .</x:v>
      </x:c>
      <x:c r="H93" s="10" t="str">
        <x:v>This depends on a number of factors in your plan including , your premium is , your deductible , coinsurance , copayments , maximum out-of-pocket - these amounts will vary by plan so you want to make sure of what you have and that it 's a plan that is suitable to your needs and budget . It 's not always best to just buy what 's cheapest or the most comprehensive . There are many moving parts to health insurance and it 's always helpful to consult with an experienced broker to make sure that the plan you have/want to apply for is going to best serve your needs . Please let me know if I can be of further assistance . Thanks very much . [insuranceqa:1]</x:v>
      </x:c>
      <x:c r="I93" s="8" t="str">
        <x:v>health</x:v>
      </x:c>
      <x:c r="J93" s="8" t="str">
        <x:v>CALIBRATION</x:v>
      </x:c>
      <x:c r="K93" s="10" t="str"/>
      <x:c r="L93" s="12" t="str"/>
      <x:c r="M93" s="12" t="str"/>
      <x:c r="N93" s="12" t="str"/>
      <x:c r="O93" s="12" t="str"/>
      <x:c r="P93" s="12" t="str"/>
    </x:row>
    <x:row r="94">
      <x:c r="A94" s="8" t="str">
        <x:v>ext-iqa-pass-093</x:v>
      </x:c>
      <x:c r="B94" s="8" t="str">
        <x:v>insuranceqa</x:v>
      </x:c>
      <x:c r="C94" s="8" t="str">
        <x:v>data/benchmarks/qa/insuranceqa/data_insuranceqa_1000.jsonl</x:v>
      </x:c>
      <x:c r="D94" s="8" t="str">
        <x:v>insuranceqa:90</x:v>
      </x:c>
      <x:c r="E94" s="8" t="str"/>
      <x:c r="F94" s="10" t="str">
        <x:v>What Can Life Insurance Money Be Used For?</x:v>
      </x:c>
      <x:c r="G94" s="10" t="str">
        <x:v>Question: What Can Life Insurance Money Be Used For?
Answer: Whether you are referring to borrowing from the cash value of a permanent life insurance policy , or spending the death benefit left to you as beneficiary on a policy of someone who passed , the life insurance money is yours to spend as you see fit . If someone is taking out a lie insurance policy and wants the death benefit to be spent in a certain way , it is a good idea to set up a trust outlining those conditions , and then make the trust as the beneficiary of the policy .</x:v>
      </x:c>
      <x:c r="H94" s="10" t="str">
        <x:v>Whether you are referring to borrowing from the cash value of a permanent life insurance policy , or spending the death benefit left to you as beneficiary on a policy of someone who passed , the life insurance money is yours to spend as you see fit . If someone is taking out a lie insurance policy and wants the death benefit to be spent in a certain way , it is a good idea to set up a trust outlining those conditions , and then make the trust as the beneficiary of the policy . [insuranceqa:90]</x:v>
      </x:c>
      <x:c r="I94" s="8" t="str">
        <x:v>life</x:v>
      </x:c>
      <x:c r="J94" s="8" t="str">
        <x:v>LOCKED_HOLDOUT_CANDIDATE</x:v>
      </x:c>
      <x:c r="K94" s="10" t="str"/>
      <x:c r="L94" s="12" t="str"/>
      <x:c r="M94" s="12" t="str"/>
      <x:c r="N94" s="12" t="str"/>
      <x:c r="O94" s="12" t="str"/>
      <x:c r="P94" s="12" t="str"/>
    </x:row>
    <x:row r="95">
      <x:c r="A95" s="8" t="str">
        <x:v>ext-iqa-pass-094</x:v>
      </x:c>
      <x:c r="B95" s="8" t="str">
        <x:v>insuranceqa</x:v>
      </x:c>
      <x:c r="C95" s="8" t="str">
        <x:v>data/benchmarks/qa/insuranceqa/data_insuranceqa_1000.jsonl</x:v>
      </x:c>
      <x:c r="D95" s="8" t="str">
        <x:v>insuranceqa:417</x:v>
      </x:c>
      <x:c r="E95" s="8" t="str"/>
      <x:c r="F95" s="10" t="str">
        <x:v>How To Find Life Insurance Policies After Death?</x:v>
      </x:c>
      <x:c r="G95" s="10" t="str">
        <x:v>Question: How To Find Life Insurance Policies After Death?
Answer: Finding a life insurance policy after death can be accomplished . Often a deceased had many policies that the beneficiaries may not have been aware of . Of course , checking bank and financial records of any payment made to an insurer in the last 10-20 years would be ideal . Also , get in contact with the deceased 's agent , who may be aware of any missing policies .</x:v>
      </x:c>
      <x:c r="H95" s="10" t="str">
        <x:v>Finding a life insurance policy after death can be accomplished . Often a deceased had many policies that the beneficiaries may not have been aware of . Of course , checking bank and financial records of any payment made to an insurer in the last 10-20 years would be ideal . Also , get in contact with the deceased 's agent , who may be aware of any missing policies . [insuranceqa:417]</x:v>
      </x:c>
      <x:c r="I95" s="8" t="str">
        <x:v>life</x:v>
      </x:c>
      <x:c r="J95" s="8" t="str">
        <x:v>VALIDATION</x:v>
      </x:c>
      <x:c r="K95" s="10" t="str"/>
      <x:c r="L95" s="12" t="str"/>
      <x:c r="M95" s="12" t="str"/>
      <x:c r="N95" s="12" t="str"/>
      <x:c r="O95" s="12" t="str"/>
      <x:c r="P95" s="12" t="str"/>
    </x:row>
    <x:row r="96">
      <x:c r="A96" s="8" t="str">
        <x:v>ext-iqa-pass-095</x:v>
      </x:c>
      <x:c r="B96" s="8" t="str">
        <x:v>insuranceqa</x:v>
      </x:c>
      <x:c r="C96" s="8" t="str">
        <x:v>data/benchmarks/qa/insuranceqa/data_insuranceqa_1000.jsonl</x:v>
      </x:c>
      <x:c r="D96" s="8" t="str">
        <x:v>insuranceqa:490</x:v>
      </x:c>
      <x:c r="E96" s="8" t="str"/>
      <x:c r="F96" s="10" t="str">
        <x:v>Will My Home Insurance Go Up If I File A Claim?</x:v>
      </x:c>
      <x:c r="G96" s="10" t="str">
        <x:v>Question: Will My Home Insurance Go Up If I File A Claim?
Answer: This is nearly impossible to answer . Whether or not your rates go up at renewal after a claim is strictly up to your carrier . There are many factors that go into determining your premium for your homeowners insurance coverage and claims history is one of them . In my opinion and experience I would say that the frequency and amount of the claims will be given greater weight the higher the number is for either .</x:v>
      </x:c>
      <x:c r="H96" s="10" t="str">
        <x:v>This is nearly impossible to answer . Whether or not your rates go up at renewal after a claim is strictly up to your carrier . There are many factors that go into determining your premium for your homeowners insurance coverage and claims history is one of them . In my opinion and experience I would say that the frequency and amount of the claims will be given greater weight the higher the number is for either . [insuranceqa:490]</x:v>
      </x:c>
      <x:c r="I96" s="8" t="str">
        <x:v>household</x:v>
      </x:c>
      <x:c r="J96" s="8" t="str">
        <x:v>CALIBRATION</x:v>
      </x:c>
      <x:c r="K96" s="10" t="str"/>
      <x:c r="L96" s="12" t="str"/>
      <x:c r="M96" s="12" t="str"/>
      <x:c r="N96" s="12" t="str"/>
      <x:c r="O96" s="12" t="str"/>
      <x:c r="P96" s="12" t="str"/>
    </x:row>
    <x:row r="97">
      <x:c r="A97" s="8" t="str">
        <x:v>ext-iqa-pass-096</x:v>
      </x:c>
      <x:c r="B97" s="8" t="str">
        <x:v>insuranceqa</x:v>
      </x:c>
      <x:c r="C97" s="8" t="str">
        <x:v>data/benchmarks/qa/insuranceqa/data_insuranceqa_1000.jsonl</x:v>
      </x:c>
      <x:c r="D97" s="8" t="str">
        <x:v>insuranceqa:408</x:v>
      </x:c>
      <x:c r="E97" s="8" t="str"/>
      <x:c r="F97" s="10" t="str">
        <x:v>Does Medicare Cover Breast Ultrasounds?</x:v>
      </x:c>
      <x:c r="G97" s="10" t="str">
        <x:v>Question: Does Medicare Cover Breast Ultrasounds?
Answer: Ultrasounds are covered under Medicare . If they 're completed as an inpatient in a hospital , it would be covered by Part A . If they 're completed on an outpatient basis , it would be covered under Part B. Medicare typically pays for about 80 % of the expenses - you would be responsible for paying the other 20 % . A Medicare supplement policy can help pay the remaining 20 % .</x:v>
      </x:c>
      <x:c r="H97" s="10" t="str">
        <x:v>Ultrasounds are covered under Medicare . If they 're completed as an inpatient in a hospital , it would be covered by Part A . If they 're completed on an outpatient basis , it would be covered under Part B. Medicare typically pays for about 80 % of the expenses - you would be responsible for paying the other 20 % . A Medicare supplement policy can help pay the remaining 20 % . [insuranceqa:408]</x:v>
      </x:c>
      <x:c r="I97" s="8" t="str">
        <x:v>health</x:v>
      </x:c>
      <x:c r="J97" s="8" t="str">
        <x:v>CALIBRATION</x:v>
      </x:c>
      <x:c r="K97" s="10" t="str"/>
      <x:c r="L97" s="12" t="str"/>
      <x:c r="M97" s="12" t="str"/>
      <x:c r="N97" s="12" t="str"/>
      <x:c r="O97" s="12" t="str"/>
      <x:c r="P97" s="12" t="str"/>
    </x:row>
    <x:row r="98">
      <x:c r="A98" s="8" t="str">
        <x:v>ext-iqa-pass-097</x:v>
      </x:c>
      <x:c r="B98" s="8" t="str">
        <x:v>insuranceqa</x:v>
      </x:c>
      <x:c r="C98" s="8" t="str">
        <x:v>data/benchmarks/qa/insuranceqa/data_insuranceqa_1000.jsonl</x:v>
      </x:c>
      <x:c r="D98" s="8" t="str">
        <x:v>insuranceqa:673</x:v>
      </x:c>
      <x:c r="E98" s="8" t="str"/>
      <x:c r="F98" s="10" t="str">
        <x:v>When To Cash In A Whole Life Insurance Policy?</x:v>
      </x:c>
      <x:c r="G98" s="10" t="str">
        <x:v>Question: When To Cash In A Whole Life Insurance Policy?
Answer: That is a great question ! I 'm not really sure what your motives are for cashing it in -LRB- `` surrendering '' -RRB- , but there are definitely some things you want to think about first . What protection will you have if you do surrender it ? Will you be left uninsured , or put into a position where finding a policy that is as affordable as the one your dropping is unreasonable ? If so , maybe keeping the policy is a better idea . Is it just that you need a smaller premium , or some quick cash ? If so , maybe reducing the face value is a better idea - the premium would be less , and you would still have coverage . If quick cash is the need , perhaps a policy loan would be better , all you have to do is find out from your agent how much is safely available to borrow from the policy , and keep the policy active . I hope this helps , contact me if you need help , okay ? Thanks for asking !</x:v>
      </x:c>
      <x:c r="H98" s="10" t="str">
        <x:v>That is a great question ! I 'm not really sure what your motives are for cashing it in -LRB- `` surrendering '' -RRB- , but there are definitely some things you want to think about first . What protection will you have if you do surrender it ? Will you be left uninsured , or put into a position where finding a policy that is as affordable as the one your dropping is unreasonable ? If so , maybe keeping the policy is a better idea . Is it just that you need a smaller premium , or some quick cash ? If so , maybe reducing the face value is a better idea - the premium would be less , and you would still have coverage . If quick cash is the need , perhaps a policy loan would be better , all you have to do is find out from your agent how much is safely available to borrow from the policy , and keep the policy active . I hope this helps , contact me if you need help , okay ? Thanks for asking ! [insuranceqa:673]</x:v>
      </x:c>
      <x:c r="I98" s="8" t="str">
        <x:v>life</x:v>
      </x:c>
      <x:c r="J98" s="8" t="str">
        <x:v>CALIBRATION</x:v>
      </x:c>
      <x:c r="K98" s="10" t="str"/>
      <x:c r="L98" s="12" t="str"/>
      <x:c r="M98" s="12" t="str"/>
      <x:c r="N98" s="12" t="str"/>
      <x:c r="O98" s="12" t="str"/>
      <x:c r="P98" s="12" t="str"/>
    </x:row>
    <x:row r="99">
      <x:c r="A99" s="8" t="str">
        <x:v>ext-iqa-pass-098</x:v>
      </x:c>
      <x:c r="B99" s="8" t="str">
        <x:v>insuranceqa</x:v>
      </x:c>
      <x:c r="C99" s="8" t="str">
        <x:v>data/benchmarks/qa/insuranceqa/data_insuranceqa_1000.jsonl</x:v>
      </x:c>
      <x:c r="D99" s="8" t="str">
        <x:v>insuranceqa:623</x:v>
      </x:c>
      <x:c r="E99" s="8" t="str"/>
      <x:c r="F99" s="10" t="str">
        <x:v>Does Medicare Need A Referral?</x:v>
      </x:c>
      <x:c r="G99" s="10" t="str">
        <x:v>Question: Does Medicare Need A Referral?
Answer: Do I need a referral to a specialist if I have Medicare ? The answer is , it depends . If you have a Medicare Advantage plan , including an employer group Medicare plan , in most cases you will need a referral by your primary care provider before you can see a specialist . Original Medicare allows you to see any provider without a referral .</x:v>
      </x:c>
      <x:c r="H99" s="10" t="str">
        <x:v>Do I need a referral to a specialist if I have Medicare ? The answer is , it depends . If you have a Medicare Advantage plan , including an employer group Medicare plan , in most cases you will need a referral by your primary care provider before you can see a specialist . Original Medicare allows you to see any provider without a referral . [insuranceqa:623]</x:v>
      </x:c>
      <x:c r="I99" s="8" t="str">
        <x:v>health</x:v>
      </x:c>
      <x:c r="J99" s="8" t="str">
        <x:v>VALIDATION</x:v>
      </x:c>
      <x:c r="K99" s="10" t="str"/>
      <x:c r="L99" s="12" t="str"/>
      <x:c r="M99" s="12" t="str"/>
      <x:c r="N99" s="12" t="str"/>
      <x:c r="O99" s="12" t="str"/>
      <x:c r="P99" s="12" t="str"/>
    </x:row>
    <x:row r="100">
      <x:c r="A100" s="8" t="str">
        <x:v>ext-iqa-pass-099</x:v>
      </x:c>
      <x:c r="B100" s="8" t="str">
        <x:v>insuranceqa</x:v>
      </x:c>
      <x:c r="C100" s="8" t="str">
        <x:v>data/benchmarks/qa/insuranceqa/data_insuranceqa_1000.jsonl</x:v>
      </x:c>
      <x:c r="D100" s="8" t="str">
        <x:v>insuranceqa:131</x:v>
      </x:c>
      <x:c r="E100" s="8" t="str"/>
      <x:c r="F100" s="10" t="str">
        <x:v>What Is A Life Insurance Broker?</x:v>
      </x:c>
      <x:c r="G100" s="10" t="str">
        <x:v>Question: What Is A Life Insurance Broker?
Answer: A Life Insurance Broker is someone who works with multiple insurance companies versus an agent who typically works for only one insurance company . A Broker has the ability to `` shop '' around life quotes to specifically meet your needs . Not all companies have the same cost for the insurance they offer so working with a broker , especially if you use a needs analysis , can be your best asset in making sure you are covered .</x:v>
      </x:c>
      <x:c r="H100" s="10" t="str">
        <x:v>A Life Insurance Broker is someone who works with multiple insurance companies versus an agent who typically works for only one insurance company . A Broker has the ability to `` shop '' around life quotes to specifically meet your needs . Not all companies have the same cost for the insurance they offer so working with a broker , especially if you use a needs analysis , can be your best asset in making sure you are covered . [insuranceqa:131]</x:v>
      </x:c>
      <x:c r="I100" s="8" t="str">
        <x:v>life</x:v>
      </x:c>
      <x:c r="J100" s="8" t="str">
        <x:v>CALIBRATION</x:v>
      </x:c>
      <x:c r="K100" s="10" t="str"/>
      <x:c r="L100" s="12" t="str"/>
      <x:c r="M100" s="12" t="str"/>
      <x:c r="N100" s="12" t="str"/>
      <x:c r="O100" s="12" t="str"/>
      <x:c r="P100" s="12" t="str"/>
    </x:row>
    <x:row r="101">
      <x:c r="A101" s="8" t="str">
        <x:v>ext-iqa-pass-100</x:v>
      </x:c>
      <x:c r="B101" s="8" t="str">
        <x:v>insuranceqa</x:v>
      </x:c>
      <x:c r="C101" s="8" t="str">
        <x:v>data/benchmarks/qa/insuranceqa/data_insuranceqa_1000.jsonl</x:v>
      </x:c>
      <x:c r="D101" s="8" t="str">
        <x:v>insuranceqa:470</x:v>
      </x:c>
      <x:c r="E101" s="8" t="str"/>
      <x:c r="F101" s="10" t="str">
        <x:v>How Can I Get Health Insurance With No Job?</x:v>
      </x:c>
      <x:c r="G101" s="10" t="str">
        <x:v>Question: How Can I Get Health Insurance With No Job?
Answer: The best way to get health insurance on your own is to go through the health exchange for your state . This can be a very confusing and frustrating process however , so I recommend that you locate an insurance broker in your state that is contracted to assist you through this process . There is no cost to you for going through the broker , and the amount of time and energy saved is well worth it .</x:v>
      </x:c>
      <x:c r="H101" s="10" t="str">
        <x:v>The best way to get health insurance on your own is to go through the health exchange for your state . This can be a very confusing and frustrating process however , so I recommend that you locate an insurance broker in your state that is contracted to assist you through this process . There is no cost to you for going through the broker , and the amount of time and energy saved is well worth it . [insuranceqa:470]</x:v>
      </x:c>
      <x:c r="I101" s="8" t="str">
        <x:v>health</x:v>
      </x:c>
      <x:c r="J101" s="8" t="str">
        <x:v>VALIDATION</x:v>
      </x:c>
      <x:c r="K101" s="10" t="str"/>
      <x:c r="L101" s="12" t="str"/>
      <x:c r="M101" s="12" t="str"/>
      <x:c r="N101" s="12" t="str"/>
      <x:c r="O101" s="12" t="str"/>
      <x:c r="P101" s="12" t="str"/>
    </x:row>
    <x:row r="102">
      <x:c r="A102" s="8" t="str">
        <x:v>ext-iqa-pass-101</x:v>
      </x:c>
      <x:c r="B102" s="8" t="str">
        <x:v>insuranceqa</x:v>
      </x:c>
      <x:c r="C102" s="8" t="str">
        <x:v>data/benchmarks/qa/insuranceqa/data_insuranceqa_1000.jsonl</x:v>
      </x:c>
      <x:c r="D102" s="8" t="str">
        <x:v>insuranceqa:745</x:v>
      </x:c>
      <x:c r="E102" s="8" t="str"/>
      <x:c r="F102" s="10" t="str">
        <x:v>What Is AD&amp;D Life Insurance?</x:v>
      </x:c>
      <x:c r="G102" s="10" t="str">
        <x:v>Question: What Is AD&amp;D Life Insurance?
Answer: There actually are not any policies that I know of called AD&amp;D Life Insurance . AD&amp;D policies pay proceeds for death or dismemberment caused by accident , and the death or dismemberment must occur within a certain amount of time from when the accident occurred . Life insurance policies pay for loss of life , period , regardless of how death occurred -LRB- with very few exceptions , such as suicide during the first two years -RRB- . Some Life insurance policies offer an accidental death and dismemberment rider that causes the policy to pay double if death is caused by accident . Those type of policies still pay a death benefit for death due to illness , as well .</x:v>
      </x:c>
      <x:c r="H102" s="10" t="str">
        <x:v>There actually are not any policies that I know of called AD&amp;D Life Insurance . AD&amp;D policies pay proceeds for death or dismemberment caused by accident , and the death or dismemberment must occur within a certain amount of time from when the accident occurred . Life insurance policies pay for loss of life , period , regardless of how death occurred -LRB- with very few exceptions , such as suicide during the first two years -RRB- . Some Life insurance policies offer an accidental death and dismemberment rider that causes the policy to pay double if death is caused by accident . Those type of policies still pay a death benefit for death due to illness , as well . [insuranceqa:745]</x:v>
      </x:c>
      <x:c r="I102" s="8" t="str">
        <x:v>life</x:v>
      </x:c>
      <x:c r="J102" s="8" t="str">
        <x:v>CALIBRATION</x:v>
      </x:c>
      <x:c r="K102" s="10" t="str"/>
      <x:c r="L102" s="12" t="str"/>
      <x:c r="M102" s="12" t="str"/>
      <x:c r="N102" s="12" t="str"/>
      <x:c r="O102" s="12" t="str"/>
      <x:c r="P102" s="12" t="str"/>
    </x:row>
    <x:row r="103">
      <x:c r="A103" s="8" t="str">
        <x:v>ext-iqa-pass-102</x:v>
      </x:c>
      <x:c r="B103" s="8" t="str">
        <x:v>insuranceqa</x:v>
      </x:c>
      <x:c r="C103" s="8" t="str">
        <x:v>data/benchmarks/qa/insuranceqa/data_insuranceqa_1000.jsonl</x:v>
      </x:c>
      <x:c r="D103" s="8" t="str">
        <x:v>insuranceqa:149</x:v>
      </x:c>
      <x:c r="E103" s="8" t="str"/>
      <x:c r="F103" s="10" t="str">
        <x:v>Where Can I Get Car Insurance With No Deposit?</x:v>
      </x:c>
      <x:c r="G103" s="10" t="str">
        <x:v>Question: Where Can I Get Car Insurance With No Deposit?
Answer: If you ate adding a new car to an existing auto insurance policy , typically , you do not have to pay anything at that moment . Within about 7-10 days , you will receive an updated declarations page with a revised billing statement . Many insurers offer very low down payment options . Anexperiencedbroker can help you find the best options in your area by shopping for the best offers with the lowest down payments .</x:v>
      </x:c>
      <x:c r="H103" s="10" t="str">
        <x:v>If you ate adding a new car to an existing auto insurance policy , typically , you do not have to pay anything at that moment . Within about 7-10 days , you will receive an updated declarations page with a revised billing statement . Many insurers offer very low down payment options . Anexperiencedbroker can help you find the best options in your area by shopping for the best offers with the lowest down payments . [insuranceqa:149]</x:v>
      </x:c>
      <x:c r="I103" s="8" t="str">
        <x:v>motor</x:v>
      </x:c>
      <x:c r="J103" s="8" t="str">
        <x:v>VALIDATION</x:v>
      </x:c>
      <x:c r="K103" s="10" t="str"/>
      <x:c r="L103" s="12" t="str"/>
      <x:c r="M103" s="12" t="str"/>
      <x:c r="N103" s="12" t="str"/>
      <x:c r="O103" s="12" t="str"/>
      <x:c r="P103" s="12" t="str"/>
    </x:row>
    <x:row r="104">
      <x:c r="A104" s="8" t="str">
        <x:v>ext-iqa-pass-103</x:v>
      </x:c>
      <x:c r="B104" s="8" t="str">
        <x:v>insuranceqa</x:v>
      </x:c>
      <x:c r="C104" s="8" t="str">
        <x:v>data/benchmarks/qa/insuranceqa/data_insuranceqa_1000.jsonl</x:v>
      </x:c>
      <x:c r="D104" s="8" t="str">
        <x:v>insuranceqa:491</x:v>
      </x:c>
      <x:c r="E104" s="8" t="str"/>
      <x:c r="F104" s="10" t="str">
        <x:v>Does Car Insurance Cover A Bicycle Accident?</x:v>
      </x:c>
      <x:c r="G104" s="10" t="str">
        <x:v>Question: Does Car Insurance Cover A Bicycle Accident?
Answer: That is a good question . Car insurance covers bicycle accident . Let say you were driving at night and hit a person on his bicycle and he is injured . Your auto insuranc would cover the bicycle damage and the person on the bike if he or she gets hurt . Good question .</x:v>
      </x:c>
      <x:c r="H104" s="10" t="str">
        <x:v>That is a good question . Car insurance covers bicycle accident . Let say you were driving at night and hit a person on his bicycle and he is injured . Your auto insuranc would cover the bicycle damage and the person on the bike if he or she gets hurt . Good question . [insuranceqa:491]</x:v>
      </x:c>
      <x:c r="I104" s="8" t="str">
        <x:v>motor</x:v>
      </x:c>
      <x:c r="J104" s="8" t="str">
        <x:v>LOCKED_HOLDOUT_CANDIDATE</x:v>
      </x:c>
      <x:c r="K104" s="10" t="str"/>
      <x:c r="L104" s="12" t="str"/>
      <x:c r="M104" s="12" t="str"/>
      <x:c r="N104" s="12" t="str"/>
      <x:c r="O104" s="12" t="str"/>
      <x:c r="P104" s="12" t="str"/>
    </x:row>
    <x:row r="105">
      <x:c r="A105" s="8" t="str">
        <x:v>ext-iqa-pass-104</x:v>
      </x:c>
      <x:c r="B105" s="8" t="str">
        <x:v>insuranceqa</x:v>
      </x:c>
      <x:c r="C105" s="8" t="str">
        <x:v>data/benchmarks/qa/insuranceqa/data_insuranceqa_1000.jsonl</x:v>
      </x:c>
      <x:c r="D105" s="8" t="str">
        <x:v>insuranceqa:126</x:v>
      </x:c>
      <x:c r="E105" s="8" t="str"/>
      <x:c r="F105" s="10" t="str">
        <x:v>Would Home Insurance Cover Tree Root Damage?</x:v>
      </x:c>
      <x:c r="G105" s="10" t="str">
        <x:v>Question: Would Home Insurance Cover Tree Root Damage?
Answer: No homeowners insurance will no cover tree root damage . Tree root damage is something that occurs over a period of time . A covered claim would need to be sudden and/or accidental and tree root damage is not sudden . Trees are just a big plant and plants need to be maintained . If they appear to be getting out of hand they need to be trimmed or removed .</x:v>
      </x:c>
      <x:c r="H105" s="10" t="str">
        <x:v>No homeowners insurance will no cover tree root damage . Tree root damage is something that occurs over a period of time . A covered claim would need to be sudden and/or accidental and tree root damage is not sudden . Trees are just a big plant and plants need to be maintained . If they appear to be getting out of hand they need to be trimmed or removed . [insuranceqa:126]</x:v>
      </x:c>
      <x:c r="I105" s="8" t="str">
        <x:v>household</x:v>
      </x:c>
      <x:c r="J105" s="8" t="str">
        <x:v>CALIBRATION</x:v>
      </x:c>
      <x:c r="K105" s="10" t="str"/>
      <x:c r="L105" s="12" t="str"/>
      <x:c r="M105" s="12" t="str"/>
      <x:c r="N105" s="12" t="str"/>
      <x:c r="O105" s="12" t="str"/>
      <x:c r="P105" s="12" t="str"/>
    </x:row>
    <x:row r="106">
      <x:c r="A106" s="8" t="str">
        <x:v>ext-iqa-pass-105</x:v>
      </x:c>
      <x:c r="B106" s="8" t="str">
        <x:v>insuranceqa</x:v>
      </x:c>
      <x:c r="C106" s="8" t="str">
        <x:v>data/benchmarks/qa/insuranceqa/data_insuranceqa_1000.jsonl</x:v>
      </x:c>
      <x:c r="D106" s="8" t="str">
        <x:v>insuranceqa:532</x:v>
      </x:c>
      <x:c r="E106" s="8" t="str"/>
      <x:c r="F106" s="10" t="str">
        <x:v>Where To Get The Best Life Insurance?</x:v>
      </x:c>
      <x:c r="G106" s="10" t="str">
        <x:v>Question: Where To Get The Best Life Insurance?
Answer: The best life insurance is the policy that you purchase from your trusted life insurance agent . Friends , colleagues and neighbors can recommend someone if you dont already have that relationship . A good life insurance agent will listen to you carefully , offer sound financial advice and communicate clearly with you and the insurance company . Tailoring a plan that meets your needs will be the agents priority and when done properly a meaningful relationship will be established .</x:v>
      </x:c>
      <x:c r="H106" s="10" t="str">
        <x:v>The best life insurance is the policy that you purchase from your trusted life insurance agent . Friends , colleagues and neighbors can recommend someone if you dont already have that relationship . A good life insurance agent will listen to you carefully , offer sound financial advice and communicate clearly with you and the insurance company . Tailoring a plan that meets your needs will be the agents priority and when done properly a meaningful relationship will be established . [insuranceqa:532]</x:v>
      </x:c>
      <x:c r="I106" s="8" t="str">
        <x:v>life</x:v>
      </x:c>
      <x:c r="J106" s="8" t="str">
        <x:v>LOCKED_HOLDOUT_CANDIDATE</x:v>
      </x:c>
      <x:c r="K106" s="10" t="str"/>
      <x:c r="L106" s="12" t="str"/>
      <x:c r="M106" s="12" t="str"/>
      <x:c r="N106" s="12" t="str"/>
      <x:c r="O106" s="12" t="str"/>
      <x:c r="P106" s="12" t="str"/>
    </x:row>
    <x:row r="107">
      <x:c r="A107" s="8" t="str">
        <x:v>ext-iqa-pass-106</x:v>
      </x:c>
      <x:c r="B107" s="8" t="str">
        <x:v>insuranceqa</x:v>
      </x:c>
      <x:c r="C107" s="8" t="str">
        <x:v>data/benchmarks/qa/insuranceqa/data_insuranceqa_1000.jsonl</x:v>
      </x:c>
      <x:c r="D107" s="8" t="str">
        <x:v>insuranceqa:514</x:v>
      </x:c>
      <x:c r="E107" s="8" t="str"/>
      <x:c r="F107" s="10" t="str">
        <x:v>Do I Qualify For Medicare In Wyoming?</x:v>
      </x:c>
      <x:c r="G107" s="10" t="str">
        <x:v>Question: Do I Qualify For Medicare In Wyoming?
Answer: If you have paid Social Security taxes for at least 10 years , or are married to someone over age 64 who paid SS taxes that long , and if you are age 65 , you qualify for Medicare in Wyoming and all 50 states . Your Part A will be free . If you do not qualify based on that criteria but are a US citizen , you can pay a premium for Medicare Part A . You can also qualify for Medicare if you have ESRD or ALS or have been on Social Security Disability for two years . Contact Medicare.gov for specifics .</x:v>
      </x:c>
      <x:c r="H107" s="10" t="str">
        <x:v>If you have paid Social Security taxes for at least 10 years , or are married to someone over age 64 who paid SS taxes that long , and if you are age 65 , you qualify for Medicare in Wyoming and all 50 states . Your Part A will be free . If you do not qualify based on that criteria but are a US citizen , you can pay a premium for Medicare Part A . You can also qualify for Medicare if you have ESRD or ALS or have been on Social Security Disability for two years . Contact Medicare.gov for specifics . [insuranceqa:514]</x:v>
      </x:c>
      <x:c r="I107" s="8" t="str">
        <x:v>health</x:v>
      </x:c>
      <x:c r="J107" s="8" t="str">
        <x:v>VALIDATION</x:v>
      </x:c>
      <x:c r="K107" s="10" t="str"/>
      <x:c r="L107" s="12" t="str"/>
      <x:c r="M107" s="12" t="str"/>
      <x:c r="N107" s="12" t="str"/>
      <x:c r="O107" s="12" t="str"/>
      <x:c r="P107" s="12" t="str"/>
    </x:row>
    <x:row r="108">
      <x:c r="A108" s="8" t="str">
        <x:v>ext-iqa-pass-107</x:v>
      </x:c>
      <x:c r="B108" s="8" t="str">
        <x:v>insuranceqa</x:v>
      </x:c>
      <x:c r="C108" s="8" t="str">
        <x:v>data/benchmarks/qa/insuranceqa/data_insuranceqa_1000.jsonl</x:v>
      </x:c>
      <x:c r="D108" s="8" t="str">
        <x:v>insuranceqa:517</x:v>
      </x:c>
      <x:c r="E108" s="8" t="str"/>
      <x:c r="F108" s="10" t="str">
        <x:v>How To Rollover Your 401K?</x:v>
      </x:c>
      <x:c r="G108" s="10" t="str">
        <x:v>Question: How To Rollover Your 401K?
Answer: A 401 -LRB- k -RRB- can be rolled into a very short list of retirement products . The funds must maintain the same tax characteristics . 401 -LRB- k -RRB- proceeds are often rolled into an IRA . Which specific IRA is beyond the scope of this answer . Most 401 -LRB- k -RRB- administrators require a formal request for the fund transfer . The actual transfer is best handled between the 401 -LRB- k -RRB- trustee and the trustee of the new plan that you have chosen .</x:v>
      </x:c>
      <x:c r="H108" s="10" t="str">
        <x:v>A 401 -LRB- k -RRB- can be rolled into a very short list of retirement products . The funds must maintain the same tax characteristics . 401 -LRB- k -RRB- proceeds are often rolled into an IRA . Which specific IRA is beyond the scope of this answer . Most 401 -LRB- k -RRB- administrators require a formal request for the fund transfer . The actual transfer is best handled between the 401 -LRB- k -RRB- trustee and the trustee of the new plan that you have chosen . [insuranceqa:517]</x:v>
      </x:c>
      <x:c r="I108" s="8" t="str">
        <x:v>retirement</x:v>
      </x:c>
      <x:c r="J108" s="8" t="str">
        <x:v>LOCKED_HOLDOUT_CANDIDATE</x:v>
      </x:c>
      <x:c r="K108" s="10" t="str"/>
      <x:c r="L108" s="12" t="str"/>
      <x:c r="M108" s="12" t="str"/>
      <x:c r="N108" s="12" t="str"/>
      <x:c r="O108" s="12" t="str"/>
      <x:c r="P108" s="12" t="str"/>
    </x:row>
    <x:row r="109">
      <x:c r="A109" s="8" t="str">
        <x:v>ext-iqa-pass-108</x:v>
      </x:c>
      <x:c r="B109" s="8" t="str">
        <x:v>insuranceqa</x:v>
      </x:c>
      <x:c r="C109" s="8" t="str">
        <x:v>data/benchmarks/qa/insuranceqa/data_insuranceqa_1000.jsonl</x:v>
      </x:c>
      <x:c r="D109" s="8" t="str">
        <x:v>insuranceqa:270</x:v>
      </x:c>
      <x:c r="E109" s="8" t="str"/>
      <x:c r="F109" s="10" t="str">
        <x:v>Is Home Insurance Included In Condo Fee?</x:v>
      </x:c>
      <x:c r="G109" s="10" t="str">
        <x:v>Question: Is Home Insurance Included In Condo Fee?
Answer: If you are talking about your monthly Condo Association fee , then no it is not . The fee that ou pay each month includes the Association 's coverage on the complex 's buildings . As a Condo Unit Owner , you should or may be required to obtain a Condominium Unit Owner 's Insurance policy to protect your interest in the property , your personal belongings and liability exposures . This would be paid separately by you to your insurance company .</x:v>
      </x:c>
      <x:c r="H109" s="10" t="str">
        <x:v>If you are talking about your monthly Condo Association fee , then no it is not . The fee that ou pay each month includes the Association 's coverage on the complex 's buildings . As a Condo Unit Owner , you should or may be required to obtain a Condominium Unit Owner 's Insurance policy to protect your interest in the property , your personal belongings and liability exposures . This would be paid separately by you to your insurance company . [insuranceqa:270]</x:v>
      </x:c>
      <x:c r="I109" s="8" t="str">
        <x:v>household</x:v>
      </x:c>
      <x:c r="J109" s="8" t="str">
        <x:v>CALIBRATION</x:v>
      </x:c>
      <x:c r="K109" s="10" t="str"/>
      <x:c r="L109" s="12" t="str"/>
      <x:c r="M109" s="12" t="str"/>
      <x:c r="N109" s="12" t="str"/>
      <x:c r="O109" s="12" t="str"/>
      <x:c r="P109" s="12" t="str"/>
    </x:row>
    <x:row r="110">
      <x:c r="A110" s="8" t="str">
        <x:v>ext-iqa-pass-109</x:v>
      </x:c>
      <x:c r="B110" s="8" t="str">
        <x:v>insuranceqa</x:v>
      </x:c>
      <x:c r="C110" s="8" t="str">
        <x:v>data/benchmarks/qa/insuranceqa/data_insuranceqa_1000.jsonl</x:v>
      </x:c>
      <x:c r="D110" s="8" t="str">
        <x:v>insuranceqa:847</x:v>
      </x:c>
      <x:c r="E110" s="8" t="str"/>
      <x:c r="F110" s="10" t="str">
        <x:v>How To Keep Health Insurance Between Jobs?</x:v>
      </x:c>
      <x:c r="G110" s="10" t="str">
        <x:v>Question: How To Keep Health Insurance Between Jobs?
Answer: How to keep health insurance between jobs ? if your employer is large enough -LRB- 20 people at work on a given day -RRB- you have an option for COBRA continuation which means you can continue your group coverage for up to 18 months or longer -LRB- depending on certain conditions -RRB- at your expense plus a small handling charge -LRB- 102 % of premium cost -RRB- . If you find that cost to be too much for your budget , you can look to both the individual market or temporary health insurance market for possible solutions . You may not get exactly the same coverage as offered by your former employer , but the cost might be considerably less .</x:v>
      </x:c>
      <x:c r="H110" s="10" t="str">
        <x:v>How to keep health insurance between jobs ? if your employer is large enough -LRB- 20 people at work on a given day -RRB- you have an option for COBRA continuation which means you can continue your group coverage for up to 18 months or longer -LRB- depending on certain conditions -RRB- at your expense plus a small handling charge -LRB- 102 % of premium cost -RRB- . If you find that cost to be too much for your budget , you can look to both the individual market or temporary health insurance market for possible solutions . You may not get exactly the same coverage as offered by your former employer , but the cost might be considerably less . [insuranceqa:847]</x:v>
      </x:c>
      <x:c r="I110" s="8" t="str">
        <x:v>health</x:v>
      </x:c>
      <x:c r="J110" s="8" t="str">
        <x:v>LOCKED_HOLDOUT_CANDIDATE</x:v>
      </x:c>
      <x:c r="K110" s="10" t="str"/>
      <x:c r="L110" s="12" t="str"/>
      <x:c r="M110" s="12" t="str"/>
      <x:c r="N110" s="12" t="str"/>
      <x:c r="O110" s="12" t="str"/>
      <x:c r="P110" s="12" t="str"/>
    </x:row>
    <x:row r="111">
      <x:c r="A111" s="8" t="str">
        <x:v>ext-iqa-pass-110</x:v>
      </x:c>
      <x:c r="B111" s="8" t="str">
        <x:v>insuranceqa</x:v>
      </x:c>
      <x:c r="C111" s="8" t="str">
        <x:v>data/benchmarks/qa/insuranceqa/data_insuranceqa_1000.jsonl</x:v>
      </x:c>
      <x:c r="D111" s="8" t="str">
        <x:v>insuranceqa:702</x:v>
      </x:c>
      <x:c r="E111" s="8" t="str"/>
      <x:c r="F111" s="10" t="str">
        <x:v>Can I Deduct Auto Insurance Premiums?</x:v>
      </x:c>
      <x:c r="G111" s="10" t="str">
        <x:v>Question: Can I Deduct Auto Insurance Premiums?
Answer: That is more of a question for your accountant actually . Under normal circumstances , no . However , if you own a business and use your car at least in part for that business , then your accountant may tell you that at least a portion of the premiums that you pay may be deductible as a business expense .</x:v>
      </x:c>
      <x:c r="H111" s="10" t="str">
        <x:v>That is more of a question for your accountant actually . Under normal circumstances , no . However , if you own a business and use your car at least in part for that business , then your accountant may tell you that at least a portion of the premiums that you pay may be deductible as a business expense . [insuranceqa:702]</x:v>
      </x:c>
      <x:c r="I111" s="8" t="str">
        <x:v>motor</x:v>
      </x:c>
      <x:c r="J111" s="8" t="str">
        <x:v>CALIBRATION</x:v>
      </x:c>
      <x:c r="K111" s="10" t="str"/>
      <x:c r="L111" s="12" t="str"/>
      <x:c r="M111" s="12" t="str"/>
      <x:c r="N111" s="12" t="str"/>
      <x:c r="O111" s="12" t="str"/>
      <x:c r="P111" s="12" t="str"/>
    </x:row>
    <x:row r="112">
      <x:c r="A112" s="8" t="str">
        <x:v>ext-iqa-fail-001</x:v>
      </x:c>
      <x:c r="B112" s="8" t="str">
        <x:v>insuranceqa</x:v>
      </x:c>
      <x:c r="C112" s="8" t="str">
        <x:v>data/benchmarks/qa/insuranceqa/data_insuranceqa_1000.jsonl</x:v>
      </x:c>
      <x:c r="D112" s="8" t="str">
        <x:v>insuranceqa:917</x:v>
      </x:c>
      <x:c r="E112" s="8" t="str"/>
      <x:c r="F112" s="10" t="str">
        <x:v>Does Home Insurance Cover Flood?</x:v>
      </x:c>
      <x:c r="G112" s="10" t="str">
        <x:v>Question: Does Home Insurance Cover Flood?
Answer: The short and direct answer is no , a Homeowners ' Insurance policy does noit cover for a flood . Flood Insurance must be obtained separately . FEMA administers the plans and they can be written through a number of different insurance companies . Check their website and look for Flood Certified Agents who would be happy to answer your questions and help you through the process .</x:v>
      </x:c>
      <x:c r="H112" s="10" t="str">
        <x:v>Only if you were liable for anaccidentaldeath would their possibly be coverage . While 300,000 is the minimum liability protection coverage I recommend for a homeowner , should your personal assets exceed this amount I highly recommend a personal umbrella policy be obtained . Umbrella polices can give you 1-10 million dollars in additional liability protection and will extend not only above and beyond your homeowners coverage but auto and rental properties as well . Consult your local agent about your liability protection needs .</x:v>
      </x:c>
      <x:c r="I112" s="8" t="str">
        <x:v>household</x:v>
      </x:c>
      <x:c r="J112" s="8" t="str">
        <x:v>LOCKED_HOLDOUT_CANDIDATE</x:v>
      </x:c>
      <x:c r="K112" s="10" t="str"/>
      <x:c r="L112" s="12" t="str"/>
      <x:c r="M112" s="12" t="str"/>
      <x:c r="N112" s="12" t="str"/>
      <x:c r="O112" s="12" t="str"/>
      <x:c r="P112" s="12" t="str"/>
    </x:row>
    <x:row r="113">
      <x:c r="A113" s="8" t="str">
        <x:v>ext-iqa-fail-002</x:v>
      </x:c>
      <x:c r="B113" s="8" t="str">
        <x:v>insuranceqa</x:v>
      </x:c>
      <x:c r="C113" s="8" t="str">
        <x:v>data/benchmarks/qa/insuranceqa/data_insuranceqa_1000.jsonl</x:v>
      </x:c>
      <x:c r="D113" s="8" t="str">
        <x:v>insuranceqa:512</x:v>
      </x:c>
      <x:c r="E113" s="8" t="str"/>
      <x:c r="F113" s="10" t="str">
        <x:v>When Can I Enroll In Medicare Part A?</x:v>
      </x:c>
      <x:c r="G113" s="10" t="str">
        <x:v>Question: When Can I Enroll In Medicare Part A?
Answer: You will automatically be enrolled in Medicare when you reach age 65 provided you have worked long enough and paid into the system . You will have the choice to opt out of part B of Medicare , but I do not recommend it unless you are still working and in a group . You will also get Medicare if you are on Social Security Disability . There is about a two year wait when you get disability before you are eligible .</x:v>
      </x:c>
      <x:c r="H113" s="10" t="str">
        <x:v>Most people will automatically be enrolled in Medicare Part B at the same time they are enrolled in Medicare Part A . They will receive their Medicare card in the mail three months before their 65th birthday or in the 25th month of their disability . If you or your spouse is working at a job with over 20 employees where the group health insurance provided is your primary carrier , you may delay enrolling in Part B. Call the Social Security Administration at 800-772-1213 to discuss before delaying or turning down enrollment in Medicare Part B .</x:v>
      </x:c>
      <x:c r="I113" s="8" t="str">
        <x:v>health</x:v>
      </x:c>
      <x:c r="J113" s="8" t="str">
        <x:v>LOCKED_HOLDOUT_CANDIDATE</x:v>
      </x:c>
      <x:c r="K113" s="10" t="str"/>
      <x:c r="L113" s="12" t="str"/>
      <x:c r="M113" s="12" t="str"/>
      <x:c r="N113" s="12" t="str"/>
      <x:c r="O113" s="12" t="str"/>
      <x:c r="P113" s="12" t="str"/>
    </x:row>
    <x:row r="114">
      <x:c r="A114" s="8" t="str">
        <x:v>ext-iqa-fail-003</x:v>
      </x:c>
      <x:c r="B114" s="8" t="str">
        <x:v>insuranceqa</x:v>
      </x:c>
      <x:c r="C114" s="8" t="str">
        <x:v>data/benchmarks/qa/insuranceqa/data_insuranceqa_1000.jsonl</x:v>
      </x:c>
      <x:c r="D114" s="8" t="str">
        <x:v>insuranceqa:97</x:v>
      </x:c>
      <x:c r="E114" s="8" t="str"/>
      <x:c r="F114" s="10" t="str">
        <x:v>Do I Need Home Insurance For A Condo?</x:v>
      </x:c>
      <x:c r="G114" s="10" t="str">
        <x:v>Question: Do I Need Home Insurance For A Condo?
Answer: Condominium coverage requires a different form from the standard homeowners package . However , it provides many of the same coverages . The chief difference is that the structure itself is generally insured under a blanket condominium association policy , not the condominium form . The owner of each unit is normally not responsible for the structure , its maintenance or insurance . The owner of a unit is not responsible for the general areas such as gardens and walkways surrounding the condominium . The owners responsibility is for property contained within the structure , to include internal walls , and paint . When a person purchases a condominium they generally secure a mortgage . The mortgage companies will require the owner to purchase a policy to protect the lenders interest in the property . They want coverage for what they loaned you money to purchase . The amount of coverage under a condominium policy includes the amount required to restore the condominium in the event of a covered loss . At the same time the condominium policy provides a way for the homeowner to insure their own personal property -LRB- furniture , decorations , appliances and other property . -RRB-</x:v>
      </x:c>
      <x:c r="H114" s="10" t="str">
        <x:v>For many this amount is determined in part by the mortgage company . You need sufficient coverage to satisfy your lender . In California the lender can not ask for more than the amount necessary to replace the residence . That calculation can be done in the office of an insurance agent . You might find that the amount to rebuild differs from the purchase price but that is because the purchase price is influenced by market pressure where costs of repair remain rather stable .</x:v>
      </x:c>
      <x:c r="I114" s="8" t="str">
        <x:v>household</x:v>
      </x:c>
      <x:c r="J114" s="8" t="str">
        <x:v>VALIDATION</x:v>
      </x:c>
      <x:c r="K114" s="10" t="str"/>
      <x:c r="L114" s="12" t="str"/>
      <x:c r="M114" s="12" t="str"/>
      <x:c r="N114" s="12" t="str"/>
      <x:c r="O114" s="12" t="str"/>
      <x:c r="P114" s="12" t="str"/>
    </x:row>
    <x:row r="115">
      <x:c r="A115" s="8" t="str">
        <x:v>ext-iqa-fail-004</x:v>
      </x:c>
      <x:c r="B115" s="8" t="str">
        <x:v>insuranceqa</x:v>
      </x:c>
      <x:c r="C115" s="8" t="str">
        <x:v>data/benchmarks/qa/insuranceqa/data_insuranceqa_1000.jsonl</x:v>
      </x:c>
      <x:c r="D115" s="8" t="str">
        <x:v>insuranceqa:163</x:v>
      </x:c>
      <x:c r="E115" s="8" t="str"/>
      <x:c r="F115" s="10" t="str">
        <x:v>How Much Does Car Insurance Increase After DUI?</x:v>
      </x:c>
      <x:c r="G115" s="10" t="str">
        <x:v>Question: How Much Does Car Insurance Increase After DUI?
Answer: Car insurance rates typically increase after a DUI ... although the amount of the increase will vary depending on the company you are insured with . There are other costs associated with getting a DUI , including possible reinstatement of your driver 's license and purchase of a Bond , as required by the state . Question answered by E. Harris ... Car insurance broker since 1980 with top-rated website .</x:v>
      </x:c>
      <x:c r="H115" s="10" t="str">
        <x:v>A big part of that answer depends on which company you were insured with beforehand , and how much shopping around you plan to do afterwards . Some companies go harder on DUI 's than other companies . Getting multiple quotes from high risk companies would be the best way to minimize the damage done . An independent agent who specializes in high risk auto insurance would be the ideal place to look .</x:v>
      </x:c>
      <x:c r="I115" s="8" t="str">
        <x:v>motor</x:v>
      </x:c>
      <x:c r="J115" s="8" t="str">
        <x:v>CALIBRATION</x:v>
      </x:c>
      <x:c r="K115" s="10" t="str"/>
      <x:c r="L115" s="12" t="str"/>
      <x:c r="M115" s="12" t="str"/>
      <x:c r="N115" s="12" t="str"/>
      <x:c r="O115" s="12" t="str"/>
      <x:c r="P115" s="12" t="str"/>
    </x:row>
    <x:row r="116">
      <x:c r="A116" s="8" t="str">
        <x:v>ext-iqa-fail-005</x:v>
      </x:c>
      <x:c r="B116" s="8" t="str">
        <x:v>insuranceqa</x:v>
      </x:c>
      <x:c r="C116" s="8" t="str">
        <x:v>data/benchmarks/qa/insuranceqa/data_insuranceqa_1000.jsonl</x:v>
      </x:c>
      <x:c r="D116" s="8" t="str">
        <x:v>insuranceqa:49</x:v>
      </x:c>
      <x:c r="E116" s="8" t="str"/>
      <x:c r="F116" s="10" t="str">
        <x:v>Does Home Owners Insurance Cover Asbestos Removal?</x:v>
      </x:c>
      <x:c r="G116" s="10" t="str">
        <x:v>Question: Does Home Owners Insurance Cover Asbestos Removal?
Answer: Generally the answer to that would be no . Your Homeowners is not designed to cover this type of renovation . If your home is damaged by a covered peril then the removal of asbestos would be covered as part of the repairs , but otherwise you will have to pay .</x:v>
      </x:c>
      <x:c r="H116" s="10" t="str">
        <x:v>Great Question . Condo Insurance covers you for liability if some one falls in your condo . Also cover you for fire , theft and water damage . You would alos need to have coverage for the inside of your unit for the wall in case of a fire and your unit was damaged . Good Luck</x:v>
      </x:c>
      <x:c r="I116" s="8" t="str">
        <x:v>household</x:v>
      </x:c>
      <x:c r="J116" s="8" t="str">
        <x:v>CALIBRATION</x:v>
      </x:c>
      <x:c r="K116" s="10" t="str"/>
      <x:c r="L116" s="12" t="str"/>
      <x:c r="M116" s="12" t="str"/>
      <x:c r="N116" s="12" t="str"/>
      <x:c r="O116" s="12" t="str"/>
      <x:c r="P116" s="12" t="str"/>
    </x:row>
    <x:row r="117">
      <x:c r="A117" s="8" t="str">
        <x:v>ext-iqa-fail-006</x:v>
      </x:c>
      <x:c r="B117" s="8" t="str">
        <x:v>insuranceqa</x:v>
      </x:c>
      <x:c r="C117" s="8" t="str">
        <x:v>data/benchmarks/qa/insuranceqa/data_insuranceqa_1000.jsonl</x:v>
      </x:c>
      <x:c r="D117" s="8" t="str">
        <x:v>insuranceqa:312</x:v>
      </x:c>
      <x:c r="E117" s="8" t="str"/>
      <x:c r="F117" s="10" t="str">
        <x:v>Why Get Medigap?</x:v>
      </x:c>
      <x:c r="G117" s="10" t="str">
        <x:v>Question: Why Get Medigap?
Answer: Medigap is a Medicare supplement that can help pay some of the health care costs that original Medicare does n't cover , like copayments , coinsurance , and deductibles . It also covers medical care for some travel outside the US . If you have an Medicare Advantage Plan , you would not want to get Medigap .</x:v>
      </x:c>
      <x:c r="H117" s="10" t="str">
        <x:v>You can buy Medigap from a carrier , through the Medicare `` hotline '' , from an agent that comes to your home or you can buy from an agent over the phone and internet . If you buy from a carrier or through Medicare you are giving up personal service . Any questions will be handled by whoever answers the phone . If you do n't mind strangers in your home , you can invite one -LRB- or more -RRB- agents to come to your home and pitch you on the various plans . I have conducted business by phone and internet for almost 20 years . Most folks like to shop in the comfort of their home and the ability to make a decision in their own time frame . Over 400 clients ca n't be all wrong .</x:v>
      </x:c>
      <x:c r="I117" s="8" t="str">
        <x:v>health</x:v>
      </x:c>
      <x:c r="J117" s="8" t="str">
        <x:v>LOCKED_HOLDOUT_CANDIDATE</x:v>
      </x:c>
      <x:c r="K117" s="10" t="str"/>
      <x:c r="L117" s="12" t="str"/>
      <x:c r="M117" s="12" t="str"/>
      <x:c r="N117" s="12" t="str"/>
      <x:c r="O117" s="12" t="str"/>
      <x:c r="P117" s="12" t="str"/>
    </x:row>
    <x:row r="118">
      <x:c r="A118" s="8" t="str">
        <x:v>ext-iqa-fail-007</x:v>
      </x:c>
      <x:c r="B118" s="8" t="str">
        <x:v>insuranceqa</x:v>
      </x:c>
      <x:c r="C118" s="8" t="str">
        <x:v>data/benchmarks/qa/insuranceqa/data_insuranceqa_1000.jsonl</x:v>
      </x:c>
      <x:c r="D118" s="8" t="str">
        <x:v>insuranceqa:685</x:v>
      </x:c>
      <x:c r="E118" s="8" t="str"/>
      <x:c r="F118" s="10" t="str">
        <x:v>Does Renters Insurance Transfer?</x:v>
      </x:c>
      <x:c r="G118" s="10" t="str">
        <x:v>Question: Does Renters Insurance Transfer?
Answer: If by transfer you mean does the coverage apply at a new location , the answer is yes . The coverage is limited during the transfer itself -LRB- when things are being transported by a moving company or friend . -RRB- The coverage remains in force in most cases for a relatively short period of time . Since underwriting needs to re-evaluate this new location it is necessary for you to contact your agent immediately .</x:v>
      </x:c>
      <x:c r="H118" s="10" t="str">
        <x:v>Like many other residential property policies these dayssuch as Homeowners or Condominium Unit Owners ' , Renters Insurance policies are generally issued on an annual basis . Policies like this are commonly referred to as `` continuous renewal '' contracts meaning that so long as premiums are paid and the insured continues to meet a company 's underwriting standards and guidelines , the policy will be continuously offered to the insured at each annual renewal date .</x:v>
      </x:c>
      <x:c r="I118" s="8" t="str">
        <x:v>household</x:v>
      </x:c>
      <x:c r="J118" s="8" t="str">
        <x:v>CALIBRATION</x:v>
      </x:c>
      <x:c r="K118" s="10" t="str"/>
      <x:c r="L118" s="12" t="str"/>
      <x:c r="M118" s="12" t="str"/>
      <x:c r="N118" s="12" t="str"/>
      <x:c r="O118" s="12" t="str"/>
      <x:c r="P118" s="12" t="str"/>
    </x:row>
    <x:row r="119">
      <x:c r="A119" s="8" t="str">
        <x:v>ext-iqa-fail-008</x:v>
      </x:c>
      <x:c r="B119" s="8" t="str">
        <x:v>insuranceqa</x:v>
      </x:c>
      <x:c r="C119" s="8" t="str">
        <x:v>data/benchmarks/qa/insuranceqa/data_insuranceqa_1000.jsonl</x:v>
      </x:c>
      <x:c r="D119" s="8" t="str">
        <x:v>insuranceqa:705</x:v>
      </x:c>
      <x:c r="E119" s="8" t="str"/>
      <x:c r="F119" s="10" t="str">
        <x:v>What Is Universal Life Insurance And How Does It Work?</x:v>
      </x:c>
      <x:c r="G119" s="10" t="str">
        <x:v>Question: What Is Universal Life Insurance And How Does It Work?
Answer: Universal life insurance is a form of permanent/cash value life insurance known for it 's flexible premium and adjustable -LRB- downward in most cases -RRB- death benefit . Like all permanent products , the policy is driven by cash values -LRB- a reserve -RRB- in the policy that covers policy expenses . The policy holder also has access to this cash value either as a withdrawal or as a policy loan . Universal life insurance is also very well known for it 's transparency , as all expenses are readily available to the insured if he or she wishes to see them .</x:v>
      </x:c>
      <x:c r="H119" s="10" t="str">
        <x:v>Group Universal Life insurance is a flexible , permanent type of life insurance policy offered by employers to employees at group rates . Universal Life should be a portable plan , because the purpose of Universal Life is to last beyond a few years , and keep for the rest of your life , if possible . It can offer employees death benefit protection along with the opportunity to grow cash values tax deferred .</x:v>
      </x:c>
      <x:c r="I119" s="8" t="str">
        <x:v>life</x:v>
      </x:c>
      <x:c r="J119" s="8" t="str">
        <x:v>LOCKED_HOLDOUT_CANDIDATE</x:v>
      </x:c>
      <x:c r="K119" s="10" t="str"/>
      <x:c r="L119" s="12" t="str"/>
      <x:c r="M119" s="12" t="str"/>
      <x:c r="N119" s="12" t="str"/>
      <x:c r="O119" s="12" t="str"/>
      <x:c r="P119" s="12" t="str"/>
    </x:row>
    <x:row r="120">
      <x:c r="A120" s="8" t="str">
        <x:v>ext-iqa-fail-009</x:v>
      </x:c>
      <x:c r="B120" s="8" t="str">
        <x:v>insuranceqa</x:v>
      </x:c>
      <x:c r="C120" s="8" t="str">
        <x:v>data/benchmarks/qa/insuranceqa/data_insuranceqa_1000.jsonl</x:v>
      </x:c>
      <x:c r="D120" s="8" t="str">
        <x:v>insuranceqa:264</x:v>
      </x:c>
      <x:c r="E120" s="8" t="str"/>
      <x:c r="F120" s="10" t="str">
        <x:v>Does AAA Have Term Life Insurance?</x:v>
      </x:c>
      <x:c r="G120" s="10" t="str">
        <x:v>Question: Does AAA Have Term Life Insurance?
Answer: AAA while being best known for its ' auto towing services and for those of us old enough to remember , their tripticket map service , does indeed sell term insurance . However their are many carriers with higher financial ratings that charge less . In fact , I once had a client who worked for AAA but decided on a less expensive policy with better ratings and a lower cost .</x:v>
      </x:c>
      <x:c r="H120" s="10" t="str">
        <x:v>Usually you have purchased enough term life insurance when all of the obligations you wanted to cover have been met . The most common reasons for purchasing term life insurance are to payoff debt , replace income , educate children , buy out a business partner or create an instant estate for loved ones at the most affordable price . If your face amount of term life insurance meets all of your criteria , congratulations , you have enough .</x:v>
      </x:c>
      <x:c r="I120" s="8" t="str">
        <x:v>life</x:v>
      </x:c>
      <x:c r="J120" s="8" t="str">
        <x:v>VALIDATION</x:v>
      </x:c>
      <x:c r="K120" s="10" t="str"/>
      <x:c r="L120" s="12" t="str"/>
      <x:c r="M120" s="12" t="str"/>
      <x:c r="N120" s="12" t="str"/>
      <x:c r="O120" s="12" t="str"/>
      <x:c r="P120" s="12" t="str"/>
    </x:row>
    <x:row r="121">
      <x:c r="A121" s="8" t="str">
        <x:v>ext-iqa-fail-010</x:v>
      </x:c>
      <x:c r="B121" s="8" t="str">
        <x:v>insuranceqa</x:v>
      </x:c>
      <x:c r="C121" s="8" t="str">
        <x:v>data/benchmarks/qa/insuranceqa/data_insuranceqa_1000.jsonl</x:v>
      </x:c>
      <x:c r="D121" s="8" t="str">
        <x:v>insuranceqa:727</x:v>
      </x:c>
      <x:c r="E121" s="8" t="str"/>
      <x:c r="F121" s="10" t="str">
        <x:v>Does ADP Offer Health Insurance?</x:v>
      </x:c>
      <x:c r="G121" s="10" t="str">
        <x:v>Question: Does ADP Offer Health Insurance?
Answer: ADP Inc. is a worldwide company that offers payroll and resource management expertise to many companies.Presumably they offer healthcare to their employees . Many large and small businesses offer group health , dental and life benefits to their full-time and part-time employees . Depending on the company , they will pay a portion of the premium of those benefits .</x:v>
      </x:c>
      <x:c r="H121" s="10" t="str">
        <x:v>Yes , in some cases . It is possible for an employer to legally offer health insurance to some employees and not others using employment-based classifications . Two common ones are full-time versus part-time and salaried versus hourly . The key legal criteria , though , is that all employees within the same employment classification must be treated consistently . For example , it would be illegal to offer health coverage to some full-time hourly workers but not all full-time workers .</x:v>
      </x:c>
      <x:c r="I121" s="8" t="str">
        <x:v>health</x:v>
      </x:c>
      <x:c r="J121" s="8" t="str">
        <x:v>LOCKED_HOLDOUT_CANDIDATE</x:v>
      </x:c>
      <x:c r="K121" s="10" t="str"/>
      <x:c r="L121" s="12" t="str"/>
      <x:c r="M121" s="12" t="str"/>
      <x:c r="N121" s="12" t="str"/>
      <x:c r="O121" s="12" t="str"/>
      <x:c r="P121" s="12" t="str"/>
    </x:row>
    <x:row r="122">
      <x:c r="A122" s="8" t="str">
        <x:v>ext-iqa-fail-011</x:v>
      </x:c>
      <x:c r="B122" s="8" t="str">
        <x:v>insuranceqa</x:v>
      </x:c>
      <x:c r="C122" s="8" t="str">
        <x:v>data/benchmarks/qa/insuranceqa/data_insuranceqa_1000.jsonl</x:v>
      </x:c>
      <x:c r="D122" s="8" t="str">
        <x:v>insuranceqa:437</x:v>
      </x:c>
      <x:c r="E122" s="8" t="str"/>
      <x:c r="F122" s="10" t="str">
        <x:v>Can I Get Life Insurance After Breast Cancer?</x:v>
      </x:c>
      <x:c r="G122" s="10" t="str">
        <x:v>Question: Can I Get Life Insurance After Breast Cancer?
Answer: The short answer is yes , you can buy life insurance after cancer . The type , amount and terms depends on the cancer itselfand how long you have been cancer free after your last treatment . To get into the standard ratings after breast cancer practically all carriers will want to see you cancer free for 10 years . Anything less than10 yearswill be a higher risk policy of either rated premiums or graduated benefits .</x:v>
      </x:c>
      <x:c r="H122" s="10" t="str">
        <x:v>There is one type of life insurance that you can get while having any type of cancer , and that is called Guaranteed Life Insurance . It is not available at every age , and it is graded for 2 or more years . But it does not have any health requirements . You can also purchase pre-need policies at a funeral home while having cancer . With those , the graded period is usually one year . If your cancer was caught in the early stages and has a good prognosis , you should be able to get a policy other than guaranteed issue about a year or two after the last treatment . Some types of policies will add a flat extra that drops off after a few years . Others add table ratings to the policy . It all depends on the type of cancer , the stage , how well it responded to treatment , how long ago you were diagnosed and last treated , and whether your cancer recurred or not . Finding life insurance for persons with cancer can be complicated . Contacting an impaired risk life insurance specialist is helpful to find your best rate .</x:v>
      </x:c>
      <x:c r="I122" s="8" t="str">
        <x:v>life</x:v>
      </x:c>
      <x:c r="J122" s="8" t="str">
        <x:v>LOCKED_HOLDOUT_CANDIDATE</x:v>
      </x:c>
      <x:c r="K122" s="10" t="str"/>
      <x:c r="L122" s="12" t="str"/>
      <x:c r="M122" s="12" t="str"/>
      <x:c r="N122" s="12" t="str"/>
      <x:c r="O122" s="12" t="str"/>
      <x:c r="P122" s="12" t="str"/>
    </x:row>
    <x:row r="123">
      <x:c r="A123" s="8" t="str">
        <x:v>ext-iqa-fail-012</x:v>
      </x:c>
      <x:c r="B123" s="8" t="str">
        <x:v>insuranceqa</x:v>
      </x:c>
      <x:c r="C123" s="8" t="str">
        <x:v>data/benchmarks/qa/insuranceqa/data_insuranceqa_1000.jsonl</x:v>
      </x:c>
      <x:c r="D123" s="8" t="str">
        <x:v>insuranceqa:335</x:v>
      </x:c>
      <x:c r="E123" s="8" t="str"/>
      <x:c r="F123" s="10" t="str">
        <x:v>Do Insurance Companies Look At Psychiatric Records?</x:v>
      </x:c>
      <x:c r="G123" s="10" t="str">
        <x:v>Question: Do Insurance Companies Look At Psychiatric Records?
Answer: In respect to life insurance , underwriters are most concerned with conditions that impair or prevent a potential insured from completing daily tasks , interactions and living . In the event that your answers to the medical questionnaire on insurance application , attending physician statement &amp; recordsor results from a insurance examindicate that you are being treated through therapy or medication , the underwriters will first seek clarification through your agent . Depending on the severity of the condition , the course of treatment and time elapsed since last episode or event related to your condition , the underwriter may not have much concern and thus not require additional information . Simply put mild conditions such as milddepression , anxiety or stress treated by counseling and low dose medicine may not require deep underwriting depending on the age of the insured and history of condition . More significant conditions , for example schizophrenia , treated with significant medication and therapy , will require additional records from treating physicians to ensure that the insured fits within their risk parameters . In your case , grief counselingcan soundambiguous ; if it were for the loss of a loved one , the absence of whom is not preventing your daily living , it should not require additional review . If the on the other hand , it is being used to cope with another traumatic event , additional questions or requests may be posed by the underwriters . A letter from your treating psychiatrist highlighting your improvements from treatment will help mitigate the need for additional information . In order to ensure that you get the best underwriting class , I suggest that you work with an independent agent that works with multiple carriers as different carriers each have their own points of view on various healthy issues . Additionally , question your insurance agent ! Ask them what experience , if any , have they had with placing business on clients such as yourself . At the end of the day , the most experienced agents will get the best underwriting results for their clients with the least disruption and scrutiny of one 's private issues . Please feel free to contact me to discuss your facts in order to give you more accurate information .</x:v>
      </x:c>
      <x:c r="H123" s="10" t="str">
        <x:v>There are hundreds of annuity companies and perhaps a thousand annuity contracts . You can find excellent spreadsheets online distributed by independent brokerage firms . There are two categories of non-qualified annuities are : tax deferred and immediate . Tax deferred annuities have three basic crediting methods : fixed interest rates , domestic/foreign indices and separate subaccounts using equity and bond instruments . Immediate annuities offer various distribution periods like 10 or 20 years certain and lifetime income on the annuitant .</x:v>
      </x:c>
      <x:c r="I123" s="8" t="str">
        <x:v>general_insurance</x:v>
      </x:c>
      <x:c r="J123" s="8" t="str">
        <x:v>CALIBRATION</x:v>
      </x:c>
      <x:c r="K123" s="10" t="str"/>
      <x:c r="L123" s="12" t="str"/>
      <x:c r="M123" s="12" t="str"/>
      <x:c r="N123" s="12" t="str"/>
      <x:c r="O123" s="12" t="str"/>
      <x:c r="P123" s="12" t="str"/>
    </x:row>
    <x:row r="124">
      <x:c r="A124" s="8" t="str">
        <x:v>ext-iqa-fail-013</x:v>
      </x:c>
      <x:c r="B124" s="8" t="str">
        <x:v>insuranceqa</x:v>
      </x:c>
      <x:c r="C124" s="8" t="str">
        <x:v>data/benchmarks/qa/insuranceqa/data_insuranceqa_1000.jsonl</x:v>
      </x:c>
      <x:c r="D124" s="8" t="str">
        <x:v>insuranceqa:504</x:v>
      </x:c>
      <x:c r="E124" s="8" t="str"/>
      <x:c r="F124" s="10" t="str">
        <x:v>Is Cancer Covered Under Disability Insurance?</x:v>
      </x:c>
      <x:c r="G124" s="10" t="str">
        <x:v>Question: Is Cancer Covered Under Disability Insurance?
Answer: Disability income plans pay as long as you meet the definition of disability , regardless of the disabling condition . If you are unable to work for any reason , illness or accident , and meet the policy definition that qualifies you for benefit , the carrier will pay your monthly benefit until you recover , die or exhaust your benefits .</x:v>
      </x:c>
      <x:c r="H124" s="10" t="str">
        <x:v>Social Security covers disability events for most Americans . Some employer sponsored group plans include short term or even long term disability insurance . You can purchase individual disability insurance for yourself online via several brokerage outlets . Some employers pay for disability insurance for their key employees as a retention benefit and as a recruiting incentive .</x:v>
      </x:c>
      <x:c r="I124" s="8" t="str">
        <x:v>health</x:v>
      </x:c>
      <x:c r="J124" s="8" t="str">
        <x:v>LOCKED_HOLDOUT_CANDIDATE</x:v>
      </x:c>
      <x:c r="K124" s="10" t="str"/>
      <x:c r="L124" s="12" t="str"/>
      <x:c r="M124" s="12" t="str"/>
      <x:c r="N124" s="12" t="str"/>
      <x:c r="O124" s="12" t="str"/>
      <x:c r="P124" s="12" t="str"/>
    </x:row>
    <x:row r="125">
      <x:c r="A125" s="8" t="str">
        <x:v>ext-iqa-fail-014</x:v>
      </x:c>
      <x:c r="B125" s="8" t="str">
        <x:v>insuranceqa</x:v>
      </x:c>
      <x:c r="C125" s="8" t="str">
        <x:v>data/benchmarks/qa/insuranceqa/data_insuranceqa_1000.jsonl</x:v>
      </x:c>
      <x:c r="D125" s="8" t="str">
        <x:v>insuranceqa:748</x:v>
      </x:c>
      <x:c r="E125" s="8" t="str"/>
      <x:c r="F125" s="10" t="str">
        <x:v>What Does Long Term Care Insurance Mean?</x:v>
      </x:c>
      <x:c r="G125" s="10" t="str">
        <x:v>Question: What Does Long Term Care Insurance Mean?
Answer: Long term care insurance is coverage that pays for personal care needs and other related chronic care services for individuals who are limited in their abilities to perform the activities of daily living -LRB- two or more -RRB- . Activities of Daily Living -LRB- ADLs -RRB- include eating , bathing , toileting , dressing , moving between a chair and the bed , and remaining continent . The policy typically pays for care that is provided in the individuals home , in an assisted living facility , or in a nursing home . Long term care insurance is available on an individual or a group basis .</x:v>
      </x:c>
      <x:c r="H125" s="10" t="str">
        <x:v>A quality long-term care insurance policy from a well-capitalized , highly rated insurance company will include at least the following : Facility careHome care Domestic care -LRB- housework , yard work , cleaning chores -RRB- Assisted living or residential living careAdult Day CareRespite care -LRB- time off for the primary family care giver -RRB- Home modifications so that insured can stay at home for as long as possible , the costs of which are not deducted from the pool of money available for daily care.There may be additional coverage offered by the carrier . Ask to see a `` specimen policy '' for the exact language of the benefits , features , and riders of the policy you are considering . Look for language that takes into account the possibility of future medical or technological advances that may become available but which are not yet known or invented yet . For example , `` assisted living '' facilities were not even available 25 years ago , but , people that bought quality policies before that time with contract language that allowed for future developments in the field of elder care are now in such facilities and being paid for those expenses .</x:v>
      </x:c>
      <x:c r="I125" s="8" t="str">
        <x:v>general_insurance</x:v>
      </x:c>
      <x:c r="J125" s="8" t="str">
        <x:v>VALIDATION</x:v>
      </x:c>
      <x:c r="K125" s="10" t="str"/>
      <x:c r="L125" s="12" t="str"/>
      <x:c r="M125" s="12" t="str"/>
      <x:c r="N125" s="12" t="str"/>
      <x:c r="O125" s="12" t="str"/>
      <x:c r="P125" s="12" t="str"/>
    </x:row>
    <x:row r="126">
      <x:c r="A126" s="8" t="str">
        <x:v>ext-iqa-fail-015</x:v>
      </x:c>
      <x:c r="B126" s="8" t="str">
        <x:v>insuranceqa</x:v>
      </x:c>
      <x:c r="C126" s="8" t="str">
        <x:v>data/benchmarks/qa/insuranceqa/data_insuranceqa_1000.jsonl</x:v>
      </x:c>
      <x:c r="D126" s="8" t="str">
        <x:v>insuranceqa:239</x:v>
      </x:c>
      <x:c r="E126" s="8" t="str"/>
      <x:c r="F126" s="10" t="str">
        <x:v>Does Nationwide Offer Long Term Care Insurance?</x:v>
      </x:c>
      <x:c r="G126" s="10" t="str">
        <x:v>Question: Does Nationwide Offer Long Term Care Insurance?
Answer: Actually , Nationwide has a very good hybrid policy that combines permanent life insurance and a comprehensive long term care rider . I use this product alot in my practice for people that have a need for both life insurance and LTC . Advantages of this product is that the benefit will always be used no matter what happens to the individual ; either they will have a long term care claim , or they will pass away and the death benefit will pass to their beneficiaries . Disadvantages of this approach to LTC planning is that there is no potential for any premium write-off and no Partnership protection .</x:v>
      </x:c>
      <x:c r="H126" s="10" t="str">
        <x:v>No . Allstate used to market long-term care insurance through Lincoln Benefit Life , but has not done sofor at least 5 years . All long-term care policies sold by Allstate through LBL are being fully administered and claims paid as approved . Since the carrier is not currently marketing LTC insurance , no new premiums are coming in . As a result , policy holders of this carrier 's long-term care plans of insurance are likely to experience increases in premium in the 30-50 % range . Such an increase occurred in 2010 . However , while those percentages seem extremely high , consumers need to understand that in spite of the increase , the higher premium is probably still a bargain compared to what LTCi costs today . Carriers that increase premiums are making every effort to help people keep at least some of their coverage by making adjustments to benefits , features , or riders going forward .</x:v>
      </x:c>
      <x:c r="I126" s="8" t="str">
        <x:v>general_insurance</x:v>
      </x:c>
      <x:c r="J126" s="8" t="str">
        <x:v>VALIDATION</x:v>
      </x:c>
      <x:c r="K126" s="10" t="str"/>
      <x:c r="L126" s="12" t="str"/>
      <x:c r="M126" s="12" t="str"/>
      <x:c r="N126" s="12" t="str"/>
      <x:c r="O126" s="12" t="str"/>
      <x:c r="P126" s="12" t="str"/>
    </x:row>
    <x:row r="127">
      <x:c r="A127" s="8" t="str">
        <x:v>ext-iqa-fail-016</x:v>
      </x:c>
      <x:c r="B127" s="8" t="str">
        <x:v>insuranceqa</x:v>
      </x:c>
      <x:c r="C127" s="8" t="str">
        <x:v>data/benchmarks/qa/insuranceqa/data_insuranceqa_1000.jsonl</x:v>
      </x:c>
      <x:c r="D127" s="8" t="str">
        <x:v>insuranceqa:815</x:v>
      </x:c>
      <x:c r="E127" s="8" t="str"/>
      <x:c r="F127" s="10" t="str">
        <x:v>When Should Someone Buy Long Term Care Insurance?</x:v>
      </x:c>
      <x:c r="G127" s="10" t="str">
        <x:v>Question: When Should Someone Buy Long Term Care Insurance?
Answer: As a retirement planning specialist , I spend alot of time doing long term care planning . Why would I do this ? Because NOTHING will derail a person 's life-time savings faster than a custodial -LRB- AKA long term care -RRB- claim . There are two reasons why a person should purchase LTC ; the first is that they care about the quality of care , and having a say in where care will be provided , should they require it . The second reason is that they care about protecting the assets that they have acquired over the course of their life-time , and they want to protect those assets for their healthy spouse and/or children , rather then have those assets eaten up by impairment , or having them signed over to medicaid or a nursing home . As far as WHEN a person should purchase coverage ; my youngest clients are usually in their 40 's , and with them I usually recommend a hybrid life insurance-LTC product ; my average clients are in their mid 50 's to late 60 's , and for them I recommend either traditional long term care or a single premium policy with refund provisions , and my oldest clients are in their mid 70 's . I think the best time to purchase for most people is in their mid to late 50 's , because most will get better underwriting and a favorable premium . I hope this helps .</x:v>
      </x:c>
      <x:c r="H127" s="10" t="str">
        <x:v>The cost of care keeps rising . If you need a nursing home it would not be uncommon to see the cost of care to be $ 7,000 - $ 8000 per month and it is expected to keep increasing . The question becomes if you do n't get a Long Term Care policy what assets are you prepared to liquidate to pay for the care . At $ 7,000 a month for 3 years that comes out to a cost of $ 252,000 based on today 's cost . What will the cost be when you need it in 10 , 20 or 30 years ? We can assume it will be much more . The yearly premium will be only a fraction of the cost if you did n't have a policy . A good Long Term Care policy will include assisted living , home healthcare and nursing home care . The chance of you needing one or all of those at some point in your life is pretty high .</x:v>
      </x:c>
      <x:c r="I127" s="8" t="str">
        <x:v>general_insurance</x:v>
      </x:c>
      <x:c r="J127" s="8" t="str">
        <x:v>VALIDATION</x:v>
      </x:c>
      <x:c r="K127" s="10" t="str"/>
      <x:c r="L127" s="12" t="str"/>
      <x:c r="M127" s="12" t="str"/>
      <x:c r="N127" s="12" t="str"/>
      <x:c r="O127" s="12" t="str"/>
      <x:c r="P127" s="12" t="str"/>
    </x:row>
    <x:row r="128">
      <x:c r="A128" s="8" t="str">
        <x:v>ext-iqa-fail-017</x:v>
      </x:c>
      <x:c r="B128" s="8" t="str">
        <x:v>insuranceqa</x:v>
      </x:c>
      <x:c r="C128" s="8" t="str">
        <x:v>data/benchmarks/qa/insuranceqa/data_insuranceqa_1000.jsonl</x:v>
      </x:c>
      <x:c r="D128" s="8" t="str">
        <x:v>insuranceqa:91</x:v>
      </x:c>
      <x:c r="E128" s="8" t="str"/>
      <x:c r="F128" s="10" t="str">
        <x:v>Can I change medicare providers after 3/1/2015 in Indiana?</x:v>
      </x:c>
      <x:c r="G128" s="10" t="str">
        <x:v>Question: Can I change medicare providers after 3/1/2015 in Indiana?
Answer: Are you referring to a Medicare Supplement plan -LRB- also known as a Medigap plan -RRB- , a Medicare Advantage plan , or a Medicare Part D prescription drug plan ? Your original Medicare coverage -LRB- Medicare Parts A &amp; B -RRB- is provided by the federal government . You can apply for a new Medicare Supplement plan anytime during the year . You can be subject to medical underwriting -LRB- answering yes/no health questions , a phone interview with the carrier , and a prescription check -RRB- if you 're outside your initial enrollment period -LRB- when you were new to Medicare Part B -RRB- and do not have a guarantee-issue right available to you . Medical underwriting for Medicare Supplement plans can be done in less than a week . There are no exams for these products . Please note , a common concern I hear a lot from individuals looking to replace their Medicare Supplement plans is they 're worried they 're at risk of losing the existing one if they apply for a new one and get declined . This is NOT true ! Even if you apply for a new Medicare Supplement plan and get declined , you can always keep the existing plan because Medicare Supplement plans are guaranteed renewable . If you 're looking to change your prescription drug plan provider or your Medicare Advantage plan provider , you can only make a change during certain times of the year . For the most part , you can only make changes during the annual enrollment period each year -LRB- between October 15 - December 7 -RRB- with changes becoming effective January 1 . Outside of this enrollment period , you can only make changes under certain situations -LRB- known as special enrollment periods -RRB- . An example of this is if you moved outside of the plan 's service area . For a full list of situations that qualify you for special enrollment periods to make changes , please visit the Medicare.gov website . I hope the information is helpful - please feel free to contact me for help with your coverage and if you have any other questions . Thanks very much .</x:v>
      </x:c>
      <x:c r="H128" s="10" t="str">
        <x:v>You will receive Medicare Part A benefits automatically when you qualify . You will take this benefit when you qualify because it does n't cost anything . Medicare Part B is voluntary . You can tell Medicare that you would delay your Medicare Part B benefits . You can do this when you have creditable coverage through your employer or retirement plan . You will incur a penalty if you delay your benefits without creditable coverage then active them later .</x:v>
      </x:c>
      <x:c r="I128" s="8" t="str">
        <x:v>health</x:v>
      </x:c>
      <x:c r="J128" s="8" t="str">
        <x:v>CALIBRATION</x:v>
      </x:c>
      <x:c r="K128" s="10" t="str"/>
      <x:c r="L128" s="12" t="str"/>
      <x:c r="M128" s="12" t="str"/>
      <x:c r="N128" s="12" t="str"/>
      <x:c r="O128" s="12" t="str"/>
      <x:c r="P128" s="12" t="str"/>
    </x:row>
    <x:row r="129">
      <x:c r="A129" s="8" t="str">
        <x:v>ext-iqa-fail-018</x:v>
      </x:c>
      <x:c r="B129" s="8" t="str">
        <x:v>insuranceqa</x:v>
      </x:c>
      <x:c r="C129" s="8" t="str">
        <x:v>data/benchmarks/qa/insuranceqa/data_insuranceqa_1000.jsonl</x:v>
      </x:c>
      <x:c r="D129" s="8" t="str">
        <x:v>insuranceqa:602</x:v>
      </x:c>
      <x:c r="E129" s="8" t="str"/>
      <x:c r="F129" s="10" t="str">
        <x:v>How Do Body Shops Work With Car Insurance?</x:v>
      </x:c>
      <x:c r="G129" s="10" t="str">
        <x:v>Question: How Do Body Shops Work With Car Insurance?
Answer: That is a great question ! Generally , your auto insurance company will have a contract or agreement with a local garage , mechanic , and body shop . They will refer you to them to have your work done . By doing this , they have an agreement with the garages to keep costs under control . Should you choose to use a different mechanic , you are certainly welcome to , but my experience has been that the insurance company is much more difficult to work with . Thanks for asking !</x:v>
      </x:c>
      <x:c r="H129" s="10" t="str">
        <x:v>Everyone with a valid drivers license should be able to secure auto insurance with one carrier or another . Since auto insurance policies coverages are established on an individual basis the rates will vary from person to person . Contact a local agent to find out about coverage availability and pricing within your area .</x:v>
      </x:c>
      <x:c r="I129" s="8" t="str">
        <x:v>motor</x:v>
      </x:c>
      <x:c r="J129" s="8" t="str">
        <x:v>VALIDATION</x:v>
      </x:c>
      <x:c r="K129" s="10" t="str"/>
      <x:c r="L129" s="12" t="str"/>
      <x:c r="M129" s="12" t="str"/>
      <x:c r="N129" s="12" t="str"/>
      <x:c r="O129" s="12" t="str"/>
      <x:c r="P129" s="12" t="str"/>
    </x:row>
    <x:row r="130">
      <x:c r="A130" s="8" t="str">
        <x:v>ext-iqa-fail-019</x:v>
      </x:c>
      <x:c r="B130" s="8" t="str">
        <x:v>insuranceqa</x:v>
      </x:c>
      <x:c r="C130" s="8" t="str">
        <x:v>data/benchmarks/qa/insuranceqa/data_insuranceqa_1000.jsonl</x:v>
      </x:c>
      <x:c r="D130" s="8" t="str">
        <x:v>insuranceqa:409</x:v>
      </x:c>
      <x:c r="E130" s="8" t="str"/>
      <x:c r="F130" s="10" t="str">
        <x:v>How Does Medicare D Work?</x:v>
      </x:c>
      <x:c r="G130" s="10" t="str">
        <x:v>Question: How Does Medicare D Work?
Answer: I assume you are asking about Medicare Part D which is the prescription drug plan , as opposed to Medicare supplement plan D. Medicare Part D is offered by private insurance carriers . Each plan is different . Some have deductibles , some do n't . All have copay 's and a few have coinsurance for tier 4 drugs</x:v>
      </x:c>
      <x:c r="H130" s="10" t="str">
        <x:v>With the lagging economy and endless recession a lot of people continue working past age 65 -LRB- whether they want to or not -RRB- . Your earnings do not penalize your Medicare benefits . Unlike the penalty tax under Social Security for earned income , Medicare is not impacted . If you are covered by an employer health insurance plan and Medicare you may not need Part B or D .</x:v>
      </x:c>
      <x:c r="I130" s="8" t="str">
        <x:v>health</x:v>
      </x:c>
      <x:c r="J130" s="8" t="str">
        <x:v>VALIDATION</x:v>
      </x:c>
      <x:c r="K130" s="10" t="str"/>
      <x:c r="L130" s="12" t="str"/>
      <x:c r="M130" s="12" t="str"/>
      <x:c r="N130" s="12" t="str"/>
      <x:c r="O130" s="12" t="str"/>
      <x:c r="P130" s="12" t="str"/>
    </x:row>
    <x:row r="131">
      <x:c r="A131" s="8" t="str">
        <x:v>ext-iqa-fail-020</x:v>
      </x:c>
      <x:c r="B131" s="8" t="str">
        <x:v>insuranceqa</x:v>
      </x:c>
      <x:c r="C131" s="8" t="str">
        <x:v>data/benchmarks/qa/insuranceqa/data_insuranceqa_1000.jsonl</x:v>
      </x:c>
      <x:c r="D131" s="8" t="str">
        <x:v>insuranceqa:222</x:v>
      </x:c>
      <x:c r="E131" s="8" t="str"/>
      <x:c r="F131" s="10" t="str">
        <x:v>Is Car Insurance For A Lease More Expensive?</x:v>
      </x:c>
      <x:c r="G131" s="10" t="str">
        <x:v>Question: Is Car Insurance For A Lease More Expensive?
Answer: Many leases will require you to carry 100/300 liability limits so if for some reason you want to carry lower limits you will see a premium difference there . Other then that the premiums are no different then if you owned the car yourself . If you are in a position to lease a car you should be carrying a minimum of 100/300 liability limits anyway .</x:v>
      </x:c>
      <x:c r="H131" s="10" t="str">
        <x:v>Everyone with a valid drivers license should be able to secure auto insurance with one carrier or another . Since auto insurance policies coverages are established on an individual basis the rates will vary from person to person . Contact a local agent to find out about coverage availability and pricing within your area .</x:v>
      </x:c>
      <x:c r="I131" s="8" t="str">
        <x:v>motor</x:v>
      </x:c>
      <x:c r="J131" s="8" t="str">
        <x:v>VALIDATION</x:v>
      </x:c>
      <x:c r="K131" s="10" t="str"/>
      <x:c r="L131" s="12" t="str"/>
      <x:c r="M131" s="12" t="str"/>
      <x:c r="N131" s="12" t="str"/>
      <x:c r="O131" s="12" t="str"/>
      <x:c r="P131" s="12" t="str"/>
    </x:row>
    <x:row r="132">
      <x:c r="A132" s="8" t="str">
        <x:v>ext-iqa-fail-021</x:v>
      </x:c>
      <x:c r="B132" s="8" t="str">
        <x:v>insuranceqa</x:v>
      </x:c>
      <x:c r="C132" s="8" t="str">
        <x:v>data/benchmarks/qa/insuranceqa/data_insuranceqa_1000.jsonl</x:v>
      </x:c>
      <x:c r="D132" s="8" t="str">
        <x:v>insuranceqa:570</x:v>
      </x:c>
      <x:c r="E132" s="8" t="str"/>
      <x:c r="F132" s="10" t="str">
        <x:v>Can Homeowners Insurance Cancel Your Policy?</x:v>
      </x:c>
      <x:c r="G132" s="10" t="str">
        <x:v>Question: Can Homeowners Insurance Cancel Your Policy?
Answer: The insurance company can cancel your policy for failure to pay the premium . It can also cancel the policy if the underwriter determines that the property was not correctly described or that the agent acted beyond his authority to bind coverage . Companies routinely cancel policies when they determine that a property has been vacated .</x:v>
      </x:c>
      <x:c r="H132" s="10" t="str">
        <x:v>Technically you do not have to have homeowners insurance . It is not required at this time by law in any of the states in the United States to the best of my knowledge . Your mortgage lender will typically require homeowners insurance coverage to protect themselves against loss in the event of a covered loss . There are way to many reasons to list here as to why you should have coverage . Please contact a local agent to discuss your coverage needs and concerns .</x:v>
      </x:c>
      <x:c r="I132" s="8" t="str">
        <x:v>general_insurance</x:v>
      </x:c>
      <x:c r="J132" s="8" t="str">
        <x:v>VALIDATION</x:v>
      </x:c>
      <x:c r="K132" s="10" t="str"/>
      <x:c r="L132" s="12" t="str"/>
      <x:c r="M132" s="12" t="str"/>
      <x:c r="N132" s="12" t="str"/>
      <x:c r="O132" s="12" t="str"/>
      <x:c r="P132" s="12" t="str"/>
    </x:row>
    <x:row r="133">
      <x:c r="A133" s="8" t="str">
        <x:v>ext-iqa-fail-022</x:v>
      </x:c>
      <x:c r="B133" s="8" t="str">
        <x:v>insuranceqa</x:v>
      </x:c>
      <x:c r="C133" s="8" t="str">
        <x:v>data/benchmarks/qa/insuranceqa/data_insuranceqa_1000.jsonl</x:v>
      </x:c>
      <x:c r="D133" s="8" t="str">
        <x:v>insuranceqa:622</x:v>
      </x:c>
      <x:c r="E133" s="8" t="str"/>
      <x:c r="F133" s="10" t="str">
        <x:v>How Does Home Insurance Escrow Work?</x:v>
      </x:c>
      <x:c r="G133" s="10" t="str">
        <x:v>Question: How Does Home Insurance Escrow Work?
Answer: Some banks these days require that your Homeowners Insurance be paid by them froman escrow account . If that is the case , then when you are closing on your home and obtaining insurance , they will require you to pay your insurance professional an amount equal to the full first year 's premium . The policy will then be set up to bill your mortgage company upon each renewal . The monthly payments that you make to your mortgage company , in addition to principal and interest , will include an amount for the next renewal on your Homeowners Insurance . Your insurance company will bill your mortgage company at the renewal and the annual premium will then be paid by your mortgage company from your escrow account .</x:v>
      </x:c>
      <x:c r="H133" s="10" t="str">
        <x:v>Buy home insurance from an agent that you can trust . If you havent an agent , get recommendations from friends , colleagues or neighbors . A good agent will listen to you , give sound advice , accurately record information and most importantly , answer your questions . A computer can do one of those functions . At the time of claim the critical issues will be , is the coverage in force , is it adequate to restore the loss and is there someone there to answer questions .</x:v>
      </x:c>
      <x:c r="I133" s="8" t="str">
        <x:v>household</x:v>
      </x:c>
      <x:c r="J133" s="8" t="str">
        <x:v>CALIBRATION</x:v>
      </x:c>
      <x:c r="K133" s="10" t="str"/>
      <x:c r="L133" s="12" t="str"/>
      <x:c r="M133" s="12" t="str"/>
      <x:c r="N133" s="12" t="str"/>
      <x:c r="O133" s="12" t="str"/>
      <x:c r="P133" s="12" t="str"/>
    </x:row>
    <x:row r="134">
      <x:c r="A134" s="8" t="str">
        <x:v>ext-iqa-fail-023</x:v>
      </x:c>
      <x:c r="B134" s="8" t="str">
        <x:v>insuranceqa</x:v>
      </x:c>
      <x:c r="C134" s="8" t="str">
        <x:v>data/benchmarks/qa/insuranceqa/data_insuranceqa_1000.jsonl</x:v>
      </x:c>
      <x:c r="D134" s="8" t="str">
        <x:v>insuranceqa:800</x:v>
      </x:c>
      <x:c r="E134" s="8" t="str"/>
      <x:c r="F134" s="10" t="str">
        <x:v>How Much Disability Insurance Is Enough?</x:v>
      </x:c>
      <x:c r="G134" s="10" t="str">
        <x:v>Question: How Much Disability Insurance Is Enough?
Answer: Typically disability insurance benefits are equal to a maximum of 60 % of the insured 's income . The maximum one can buy then is based on the annual income of the individual . If you can live comfortably on a lesser amount than 60 % of what you earn , then you may consider buying a policy that would pay less than 60 % of your earned income .</x:v>
      </x:c>
      <x:c r="H134" s="10" t="str">
        <x:v>where do I get disability insurance ? In Washington State , you 'd get it from me ! ;-RRB- What you would want to do is meet with an agent and go over your options , with a great deal of time spent on understanding the definitions of disability . With disability coverage , the definition is everything . Without a good definition , the premium may be cheap , but collecting on a claim may be hard .</x:v>
      </x:c>
      <x:c r="I134" s="8" t="str">
        <x:v>health</x:v>
      </x:c>
      <x:c r="J134" s="8" t="str">
        <x:v>VALIDATION</x:v>
      </x:c>
      <x:c r="K134" s="10" t="str"/>
      <x:c r="L134" s="12" t="str"/>
      <x:c r="M134" s="12" t="str"/>
      <x:c r="N134" s="12" t="str"/>
      <x:c r="O134" s="12" t="str"/>
      <x:c r="P134" s="12" t="str"/>
    </x:row>
    <x:row r="135">
      <x:c r="A135" s="8" t="str">
        <x:v>ext-iqa-fail-024</x:v>
      </x:c>
      <x:c r="B135" s="8" t="str">
        <x:v>insuranceqa</x:v>
      </x:c>
      <x:c r="C135" s="8" t="str">
        <x:v>data/benchmarks/qa/insuranceqa/data_insuranceqa_1000.jsonl</x:v>
      </x:c>
      <x:c r="D135" s="8" t="str">
        <x:v>insuranceqa:120</x:v>
      </x:c>
      <x:c r="E135" s="8" t="str"/>
      <x:c r="F135" s="10" t="str">
        <x:v>What Is Occupational Disability Insurance?</x:v>
      </x:c>
      <x:c r="G135" s="10" t="str">
        <x:v>Question: What Is Occupational Disability Insurance?
Answer: What is occupational disability insurance ? Usually it is called own occupation and it is used in the definition of disability . It is very much to the insured 's favor to have that definition in their disability policy . It is a specific rather than general definition . For example your disability policy would pay if you could n't work in that specific job , and it would continue to pay you if you could work in another occupation .</x:v>
      </x:c>
      <x:c r="H135" s="10" t="str">
        <x:v>where do I get disability insurance ? In Washington State , you 'd get it from me ! ;-RRB- What you would want to do is meet with an agent and go over your options , with a great deal of time spent on understanding the definitions of disability . With disability coverage , the definition is everything . Without a good definition , the premium may be cheap , but collecting on a claim may be hard .</x:v>
      </x:c>
      <x:c r="I135" s="8" t="str">
        <x:v>health</x:v>
      </x:c>
      <x:c r="J135" s="8" t="str">
        <x:v>VALIDATION</x:v>
      </x:c>
      <x:c r="K135" s="10" t="str"/>
      <x:c r="L135" s="12" t="str"/>
      <x:c r="M135" s="12" t="str"/>
      <x:c r="N135" s="12" t="str"/>
      <x:c r="O135" s="12" t="str"/>
      <x:c r="P135" s="12" t="str"/>
    </x:row>
    <x:row r="136">
      <x:c r="A136" s="8" t="str">
        <x:v>ext-iqa-fail-025</x:v>
      </x:c>
      <x:c r="B136" s="8" t="str">
        <x:v>insuranceqa</x:v>
      </x:c>
      <x:c r="C136" s="8" t="str">
        <x:v>data/benchmarks/qa/insuranceqa/data_insuranceqa_1000.jsonl</x:v>
      </x:c>
      <x:c r="D136" s="8" t="str">
        <x:v>insuranceqa:896</x:v>
      </x:c>
      <x:c r="E136" s="8" t="str"/>
      <x:c r="F136" s="10" t="str">
        <x:v>Can You Get Car Insurance With A Suspended Drivers License?</x:v>
      </x:c>
      <x:c r="G136" s="10" t="str">
        <x:v>Question: Can You Get Car Insurance With A Suspended Drivers License?
Answer: That is a great question ! While it will be difficult to get insurance , it is possible . What you will need to do is contact your agent , and find out what they will need to issue you a policy . In most cases , that will mean satisfying the requirements to get your license reinstated - fines paid , classes taken , whatever was required of you . Having your license suspended is bad , but it will be infinitely worse for you if you get caught driving on it , and you are uninsured . Please do n't even consider it ! Good luck , and thanks for asking !</x:v>
      </x:c>
      <x:c r="H136" s="10" t="str">
        <x:v>Everyone with a valid drivers license should be able to secure auto insurance with one carrier or another . Since auto insurance policies coverages are established on an individual basis the rates will vary from person to person . Contact a local agent to find out about coverage availability and pricing within your area .</x:v>
      </x:c>
      <x:c r="I136" s="8" t="str">
        <x:v>motor</x:v>
      </x:c>
      <x:c r="J136" s="8" t="str">
        <x:v>VALIDATION</x:v>
      </x:c>
      <x:c r="K136" s="10" t="str"/>
      <x:c r="L136" s="12" t="str"/>
      <x:c r="M136" s="12" t="str"/>
      <x:c r="N136" s="12" t="str"/>
      <x:c r="O136" s="12" t="str"/>
      <x:c r="P136" s="12" t="str"/>
    </x:row>
    <x:row r="137">
      <x:c r="A137" s="8" t="str">
        <x:v>ext-iqa-fail-026</x:v>
      </x:c>
      <x:c r="B137" s="8" t="str">
        <x:v>insuranceqa</x:v>
      </x:c>
      <x:c r="C137" s="8" t="str">
        <x:v>data/benchmarks/qa/insuranceqa/data_insuranceqa_1000.jsonl</x:v>
      </x:c>
      <x:c r="D137" s="8" t="str">
        <x:v>insuranceqa:224</x:v>
      </x:c>
      <x:c r="E137" s="8" t="str"/>
      <x:c r="F137" s="10" t="str">
        <x:v>How Long Does A Homeowners Insurance Claim Stay On Record?</x:v>
      </x:c>
      <x:c r="G137" s="10" t="str">
        <x:v>Question: How Long Does A Homeowners Insurance Claim Stay On Record?
Answer: As a matter of practice most insurance companies look back at three years of losses . Companies are particularly concerned about recurring losses . These usually indicate poor maintenance or a design flaw in the residence . Recurring water damage losses from a leaky roof are a concern . There are situations where the initial repair did not fix the root cause and continued claims can be expected .</x:v>
      </x:c>
      <x:c r="H137" s="10" t="str">
        <x:v>Great question . I believe everyone should have an agent they can all and discuss options on filling or not filling a claim the 1800 numbers will not discuss this with you . First if there is a large loss , a fire for instance there is no question a claim needs to be filled . If the damages for what your considering filling a claim are less than five thousand dollars you should contact your insurance agent and discuss your options . One aspect that will determine the amount your insurance will go up after a claim is how long you 've been with a company , if you 've been with them -LRB- loyal -RRB- five years or greater likely your rates will not go up much if at all , this of course is with the premium carriers . If you shop and hop insurance companies often I am afraid the rates will be very high . There are rewards to staying with a carrier .</x:v>
      </x:c>
      <x:c r="I137" s="8" t="str">
        <x:v>general_insurance</x:v>
      </x:c>
      <x:c r="J137" s="8" t="str">
        <x:v>LOCKED_HOLDOUT_CANDIDATE</x:v>
      </x:c>
      <x:c r="K137" s="10" t="str"/>
      <x:c r="L137" s="12" t="str"/>
      <x:c r="M137" s="12" t="str"/>
      <x:c r="N137" s="12" t="str"/>
      <x:c r="O137" s="12" t="str"/>
      <x:c r="P137" s="12" t="str"/>
    </x:row>
    <x:row r="138">
      <x:c r="A138" s="8" t="str">
        <x:v>ext-iqa-fail-027</x:v>
      </x:c>
      <x:c r="B138" s="8" t="str">
        <x:v>insuranceqa</x:v>
      </x:c>
      <x:c r="C138" s="8" t="str">
        <x:v>data/benchmarks/qa/insuranceqa/data_insuranceqa_1000.jsonl</x:v>
      </x:c>
      <x:c r="D138" s="8" t="str">
        <x:v>insuranceqa:773</x:v>
      </x:c>
      <x:c r="E138" s="8" t="str"/>
      <x:c r="F138" s="10" t="str">
        <x:v>What Services Does Medicare Part D Cover?</x:v>
      </x:c>
      <x:c r="G138" s="10" t="str">
        <x:v>Question: What Services Does Medicare Part D Cover?
Answer: Medicare Part D covers a portion of your outpatient Rx benefits . Part D is available from private insurance carriers and has a monthly premium of anywhere from $ 15 monthly on up to over $ 100 . Each plan is different . Some have deductibles , some do n't . All have copay 's . Check your formulary before signing up .</x:v>
      </x:c>
      <x:c r="H138" s="10" t="str">
        <x:v>Medicare does cover hospice care for terminally ill patients . Care must be given by a doctor , nurse or skilled attendant . Once you are in hospice , Medicare will not cover any treatment intended to cure your illness . This includes prescription drugs for your illness . Medicare will not cover room and board in a hospital or nursing home if you are under hospice care .</x:v>
      </x:c>
      <x:c r="I138" s="8" t="str">
        <x:v>health</x:v>
      </x:c>
      <x:c r="J138" s="8" t="str">
        <x:v>VALIDATION</x:v>
      </x:c>
      <x:c r="K138" s="10" t="str"/>
      <x:c r="L138" s="12" t="str"/>
      <x:c r="M138" s="12" t="str"/>
      <x:c r="N138" s="12" t="str"/>
      <x:c r="O138" s="12" t="str"/>
      <x:c r="P138" s="12" t="str"/>
    </x:row>
    <x:row r="139">
      <x:c r="A139" s="8" t="str">
        <x:v>ext-iqa-fail-028</x:v>
      </x:c>
      <x:c r="B139" s="8" t="str">
        <x:v>insuranceqa</x:v>
      </x:c>
      <x:c r="C139" s="8" t="str">
        <x:v>data/benchmarks/qa/insuranceqa/data_insuranceqa_1000.jsonl</x:v>
      </x:c>
      <x:c r="D139" s="8" t="str">
        <x:v>insuranceqa:10</x:v>
      </x:c>
      <x:c r="E139" s="8" t="str"/>
      <x:c r="F139" s="10" t="str">
        <x:v>I Have A Qualified Variable Annuity. What Is That Exactly?</x:v>
      </x:c>
      <x:c r="G139" s="10" t="str">
        <x:v>Question: I Have A Qualified Variable Annuity. What Is That Exactly?
Answer: That is a great question ! I 'd strongly advise that you check with your annuity 's agent or your tax adviser before doing anything . You mentioned that you were willing to pay penalties and taxes , so I 'm assuming that there is a pressing need for cash , or a great dislike for the policy/agent/company that has caused you to decide to gut your annuity ? If so , I 'd again advise caution . If you surrender your annuity , and it was meant to fuel your retirement , what is your plan to replace it ? Will you end up suffering for many years for a temporary hardship if you surrender the annuity ? Maybe it might be wiser to see what cash withdrawal you can make from the annuity without fees -LRB- you are allowed a certain amount without penalties or fees , and more if you are willing to pay any surrender fees that may still be applicable -RRB- and leave the annuity intact ; you may also want to look at borrowing from a cash value of any whole life policy that you may have , as that also is a quick and relatively painless way to get cash . If your heart is set upon surrendering it , please bear in mind that there will be a 10 % penalty , possible surrender fees , and a major tax bite from the amount that you might expect to get . Please assume that if you are lucky , you will recieve roughly half of what you are expecting to receive , depending upon your tax bracket . This type of investment is designed specifically for saving , and stopping the process is very costly . To start the process , contact your agent who sold you the annuity , or the plan administrator , and tell them of your intentions . If you would like to discuss this further , please do not hesitate to contact me , okay ? I 'd be happy to help . Good luck , and thank you for asking !</x:v>
      </x:c>
      <x:c r="H139" s="10" t="str">
        <x:v>Why would you want to `` pitch '' a Variable Annuity ? A VA is a useful product for those individuals who want to have upside performance , a basic death benefit , and other living benefits such as Guaranteed Minimum Income Benefits . But PRODUCT , and that includes any of the insurance based products , should be part of an overall consulting relationship where the client understand the risks and rewards of that product . The job of the financial advisor when selling a client a VA is to fact find , determine a client 's risk tolerance , and then provide choices commensurate with a client 's goals . If you do that , a Variable Annuity does n't get pitched , it becomes the product of choice by the client because of the features that it offers .</x:v>
      </x:c>
      <x:c r="I139" s="8" t="str">
        <x:v>life</x:v>
      </x:c>
      <x:c r="J139" s="8" t="str">
        <x:v>CALIBRATION</x:v>
      </x:c>
      <x:c r="K139" s="10" t="str"/>
      <x:c r="L139" s="12" t="str"/>
      <x:c r="M139" s="12" t="str"/>
      <x:c r="N139" s="12" t="str"/>
      <x:c r="O139" s="12" t="str"/>
      <x:c r="P139" s="12" t="str"/>
    </x:row>
    <x:row r="140">
      <x:c r="A140" s="8" t="str">
        <x:v>ext-iqa-fail-029</x:v>
      </x:c>
      <x:c r="B140" s="8" t="str">
        <x:v>insuranceqa</x:v>
      </x:c>
      <x:c r="C140" s="8" t="str">
        <x:v>data/benchmarks/qa/insuranceqa/data_insuranceqa_1000.jsonl</x:v>
      </x:c>
      <x:c r="D140" s="8" t="str">
        <x:v>insuranceqa:765</x:v>
      </x:c>
      <x:c r="E140" s="8" t="str"/>
      <x:c r="F140" s="10" t="str">
        <x:v>What Good Is Long Term Care Insurance?</x:v>
      </x:c>
      <x:c r="G140" s="10" t="str">
        <x:v>Question: What Good Is Long Term Care Insurance?
Answer: A long term care policy is only as good as the contract stipulates . And the contract is only as good as the insurance company that issued the policy . But long term care insurance can fund periods of assisted living and/or nursing home care , that can be very expensive . It 's part of defensive retirement planning .</x:v>
      </x:c>
      <x:c r="H140" s="10" t="str">
        <x:v>A good long term care policy should feel your specific needs in case of a long term illness or injury so severe that you are no longer able to work . Things to consider when shopping for long term disability plans are length of coverage , i.e. years benefits pay , plans can go to age 67 now . The elimination period which is the time length you can go without benefits , i.e. 30 days to 360 days . The benefits amount which is the amount paid to you on a monthly basis which can go up to 70 % of your current earnings . Riders to consider on your plan should be additional purchase option without proof of insurability , cost of living increases and return of premium in case you never use the coverage . I recommend using an experienced independent broker in order to navigate this maze of coverages in order to get the right plan at the best price .</x:v>
      </x:c>
      <x:c r="I140" s="8" t="str">
        <x:v>general_insurance</x:v>
      </x:c>
      <x:c r="J140" s="8" t="str">
        <x:v>LOCKED_HOLDOUT_CANDIDATE</x:v>
      </x:c>
      <x:c r="K140" s="10" t="str"/>
      <x:c r="L140" s="12" t="str"/>
      <x:c r="M140" s="12" t="str"/>
      <x:c r="N140" s="12" t="str"/>
      <x:c r="O140" s="12" t="str"/>
      <x:c r="P140" s="12" t="str"/>
    </x:row>
    <x:row r="141">
      <x:c r="A141" s="8" t="str">
        <x:v>ext-iqa-fail-030</x:v>
      </x:c>
      <x:c r="B141" s="8" t="str">
        <x:v>insuranceqa</x:v>
      </x:c>
      <x:c r="C141" s="8" t="str">
        <x:v>data/benchmarks/qa/insuranceqa/data_insuranceqa_1000.jsonl</x:v>
      </x:c>
      <x:c r="D141" s="8" t="str">
        <x:v>insuranceqa:893</x:v>
      </x:c>
      <x:c r="E141" s="8" t="str"/>
      <x:c r="F141" s="10" t="str">
        <x:v>Where Can I Buy Disability Insurance?</x:v>
      </x:c>
      <x:c r="G141" s="10" t="str">
        <x:v>Question: Where Can I Buy Disability Insurance?
Answer: Disability insurance can be purchased from a variety of companies . You may apply online , call a company direct or purchase it from your local insurance agent . However , it truly is one of the complex insurance policies on the market . I recommend using an experienced disability insurance broker to shop the market to find the best product at the best price for your unique situation .</x:v>
      </x:c>
      <x:c r="H141" s="10" t="str">
        <x:v>where do I get disability insurance ? In Washington State , you 'd get it from me ! ;-RRB- What you would want to do is meet with an agent and go over your options , with a great deal of time spent on understanding the definitions of disability . With disability coverage , the definition is everything . Without a good definition , the premium may be cheap , but collecting on a claim may be hard .</x:v>
      </x:c>
      <x:c r="I141" s="8" t="str">
        <x:v>health</x:v>
      </x:c>
      <x:c r="J141" s="8" t="str">
        <x:v>VALIDATION</x:v>
      </x:c>
      <x:c r="K141" s="10" t="str"/>
      <x:c r="L141" s="12" t="str"/>
      <x:c r="M141" s="12" t="str"/>
      <x:c r="N141" s="12" t="str"/>
      <x:c r="O141" s="12" t="str"/>
      <x:c r="P141" s="12" t="str"/>
    </x:row>
    <x:row r="142">
      <x:c r="A142" s="8" t="str">
        <x:v>ext-iqa-fail-031</x:v>
      </x:c>
      <x:c r="B142" s="8" t="str">
        <x:v>insuranceqa</x:v>
      </x:c>
      <x:c r="C142" s="8" t="str">
        <x:v>data/benchmarks/qa/insuranceqa/data_insuranceqa_1000.jsonl</x:v>
      </x:c>
      <x:c r="D142" s="8" t="str">
        <x:v>insuranceqa:274</x:v>
      </x:c>
      <x:c r="E142" s="8" t="str"/>
      <x:c r="F142" s="10" t="str">
        <x:v>What Feature Is Unique To Annuities?</x:v>
      </x:c>
      <x:c r="G142" s="10" t="str">
        <x:v>Question: What Feature Is Unique To Annuities?
Answer: The key features unique to Annuities are : # 1 interest earned is not taxed throughout the accumulation period . # 2 . Distributions are fully guaranteed and have multiple options such as period certain , lifetime of the annuitant among others # 3 . Unlike qualified plans such as an IRA , an annuity owner can also chose to not take distributions and let the funds in the annuity pass directly to their beneficiary . Other products have some of the features of annuities however only annuities combine the features outlined here . .</x:v>
      </x:c>
      <x:c r="H142" s="10" t="str">
        <x:v>Assuming the interpretation of the question is correct , qualified retirement plans can purchase a variety of financial products and tax deferred annuities is an option . If a qualified pan purchase a tax deferred annuity , the basis is taxable because the basis or original contributions were deducted under the defined contribution plan .</x:v>
      </x:c>
      <x:c r="I142" s="8" t="str">
        <x:v>general_insurance</x:v>
      </x:c>
      <x:c r="J142" s="8" t="str">
        <x:v>LOCKED_HOLDOUT_CANDIDATE</x:v>
      </x:c>
      <x:c r="K142" s="10" t="str"/>
      <x:c r="L142" s="12" t="str"/>
      <x:c r="M142" s="12" t="str"/>
      <x:c r="N142" s="12" t="str"/>
      <x:c r="O142" s="12" t="str"/>
      <x:c r="P142" s="12" t="str"/>
    </x:row>
    <x:row r="143">
      <x:c r="A143" s="8" t="str">
        <x:v>ext-iqa-fail-032</x:v>
      </x:c>
      <x:c r="B143" s="8" t="str">
        <x:v>insuranceqa</x:v>
      </x:c>
      <x:c r="C143" s="8" t="str">
        <x:v>data/benchmarks/qa/insuranceqa/data_insuranceqa_1000.jsonl</x:v>
      </x:c>
      <x:c r="D143" s="8" t="str">
        <x:v>insuranceqa:905</x:v>
      </x:c>
      <x:c r="E143" s="8" t="str"/>
      <x:c r="F143" s="10" t="str">
        <x:v>What Is The Waiting Period For Disability Insurance?</x:v>
      </x:c>
      <x:c r="G143" s="10" t="str">
        <x:v>Question: What Is The Waiting Period For Disability Insurance?
Answer: The waiting period , also known as the elimination period , varies from plan to plan . For short term disability insurance , the common elimination periods are 7 and 14 days . For long term disability insurance , the most favorable ep is 90 days , but some policies are written with 180 or even 365 eps . The longer eps are usually to offset the cost as it 's cheaper when the waiting period is longer .</x:v>
      </x:c>
      <x:c r="H143" s="10" t="str">
        <x:v>Long term care inusrance is a morbidity product like disability inusrance that offers diferring elimination periods or waiting periods from the triggering event that casues the policy owner to file a claim for benefits . Some long termcare inusrance policies offer nowaiting to 365 day elimination periods . 90 day elimination periods appear the most popular .</x:v>
      </x:c>
      <x:c r="I143" s="8" t="str">
        <x:v>health</x:v>
      </x:c>
      <x:c r="J143" s="8" t="str">
        <x:v>LOCKED_HOLDOUT_CANDIDATE</x:v>
      </x:c>
      <x:c r="K143" s="10" t="str"/>
      <x:c r="L143" s="12" t="str"/>
      <x:c r="M143" s="12" t="str"/>
      <x:c r="N143" s="12" t="str"/>
      <x:c r="O143" s="12" t="str"/>
      <x:c r="P143" s="12" t="str"/>
    </x:row>
    <x:row r="144">
      <x:c r="A144" s="8" t="str">
        <x:v>ext-iqa-fail-033</x:v>
      </x:c>
      <x:c r="B144" s="8" t="str">
        <x:v>insuranceqa</x:v>
      </x:c>
      <x:c r="C144" s="8" t="str">
        <x:v>data/benchmarks/qa/insuranceqa/data_insuranceqa_1000.jsonl</x:v>
      </x:c>
      <x:c r="D144" s="8" t="str">
        <x:v>insuranceqa:885</x:v>
      </x:c>
      <x:c r="E144" s="8" t="str"/>
      <x:c r="F144" s="10" t="str">
        <x:v>Can I Get Life Insurance After A Stroke?</x:v>
      </x:c>
      <x:c r="G144" s="10" t="str">
        <x:v>Question: Can I Get Life Insurance After A Stroke?
Answer: If you have had one stroke that had minimal effects and several years have passed since having the stroke , you may be able to get a medically underwritten policy of any amount for which you financially qualify , with immediate death benefit . If your stroke impacted your health enough that you needed to go on Disability but you are still able to do all your own activities of daily living and walk without personal assistance -LRB- can or walker is OK -RRB- , then there are a number of simplified issue policies that may or not be graded , that you can get . If your stroke caused you to require use of a wheelchair , home health or nursing home care -LRB- inability to do your own ADL 's -RRB- , or causes significant confusion , then guaranteed issue policies are available to most people . These are more restrictive in features than the other policies , but are available for final expense purposes . Contact an impaired risk underwriting agency that carries all these types of policies and understands life insurance underwriting for stroke , and you will get your best price .</x:v>
      </x:c>
      <x:c r="H144" s="10" t="str">
        <x:v>There are life insurance policies that do not require an exam for every age of applicant . There are options for every type of health . There are term policies , universal life policies , and whole life policies that do not require an exam . No Exam life insurance can be purchased in face amounts up to $ 500,000 . Some agents say that you will pay more if you buy nonmed life insurance , but that is not always the case . If your health is very poor , No Exam life insurance may be the only option available to you . If you think you are healthy but not sure , life insurance that does not require an exam might cost less than if you took an exam and found out your cholesterol was over 300 .</x:v>
      </x:c>
      <x:c r="I144" s="8" t="str">
        <x:v>life</x:v>
      </x:c>
      <x:c r="J144" s="8" t="str">
        <x:v>CALIBRATION</x:v>
      </x:c>
      <x:c r="K144" s="10" t="str"/>
      <x:c r="L144" s="12" t="str"/>
      <x:c r="M144" s="12" t="str"/>
      <x:c r="N144" s="12" t="str"/>
      <x:c r="O144" s="12" t="str"/>
      <x:c r="P144" s="12" t="str"/>
    </x:row>
    <x:row r="145">
      <x:c r="A145" s="8" t="str">
        <x:v>ext-iqa-fail-034</x:v>
      </x:c>
      <x:c r="B145" s="8" t="str">
        <x:v>insuranceqa</x:v>
      </x:c>
      <x:c r="C145" s="8" t="str">
        <x:v>data/benchmarks/qa/insuranceqa/data_insuranceqa_1000.jsonl</x:v>
      </x:c>
      <x:c r="D145" s="8" t="str">
        <x:v>insuranceqa:197</x:v>
      </x:c>
      <x:c r="E145" s="8" t="str"/>
      <x:c r="F145" s="10" t="str">
        <x:v>How Much Does It Cost For Level Term Life Insurance?</x:v>
      </x:c>
      <x:c r="G145" s="10" t="str">
        <x:v>Question: How Much Does It Cost For Level Term Life Insurance?
Answer: There is no one set cost to level Term Life Insurance . However , a rule of thumb is , the longer the term , the higher the premium . That is because the insurance companies average out what the policy would cost at your starting age , and the cost of insurance for the ending age of the term policy you chose . If you took out a 10 year Term policy at age 35 , the policy will end -LRB- or the price will go up drastically -RRB- at your age 45 . Mortality rates are not real high at age 45 , so the premium will be relatively low . If you locked that premium in for 30 years , the policy will end at your age 65 , which is when mortality rates are much higher . Therefore , the premium will be higher . However , the premium you have locked in is based on your health at age 35 . And that can make it be a very good deal .</x:v>
      </x:c>
      <x:c r="H145" s="10" t="str">
        <x:v>Great question . Often clients are afraid to ask I think they believe is it expensive but actually its relatively inexpensive . Typically if you insure two vehicles with a company the discount you gain by having a second policy on your auto insurance will if not cover the cost of a renters policy it will be close ! So the average cost is 60-120 dollars a year . So for ten dollars or less you have coverage for your phone , computers , books , clothes , medications , cd 's , movies , art , guns or whatever else you own ! Ten dollars a month is very inexpensive , also these are covered anywhere in the world !</x:v>
      </x:c>
      <x:c r="I145" s="8" t="str">
        <x:v>life</x:v>
      </x:c>
      <x:c r="J145" s="8" t="str">
        <x:v>CALIBRATION</x:v>
      </x:c>
      <x:c r="K145" s="10" t="str"/>
      <x:c r="L145" s="12" t="str"/>
      <x:c r="M145" s="12" t="str"/>
      <x:c r="N145" s="12" t="str"/>
      <x:c r="O145" s="12" t="str"/>
      <x:c r="P145" s="12" t="str"/>
    </x:row>
    <x:row r="146">
      <x:c r="A146" s="8" t="str">
        <x:v>ext-iqa-fail-035</x:v>
      </x:c>
      <x:c r="B146" s="8" t="str">
        <x:v>insuranceqa</x:v>
      </x:c>
      <x:c r="C146" s="8" t="str">
        <x:v>data/benchmarks/qa/insuranceqa/data_insuranceqa_1000.jsonl</x:v>
      </x:c>
      <x:c r="D146" s="8" t="str">
        <x:v>insuranceqa:836</x:v>
      </x:c>
      <x:c r="E146" s="8" t="str"/>
      <x:c r="F146" s="10" t="str">
        <x:v>Will Medicare Pay For Hospice?</x:v>
      </x:c>
      <x:c r="G146" s="10" t="str">
        <x:v>Question: Will Medicare Pay For Hospice?
Answer: That is a great question , and one with a great answer ! Yes , Medicare Part A pays for end of life treatment . You will need a Doctor 's certification that your loved one is expected to pass within 6 months , and that no further restorative procedures are to be implemented . It does n't matter if the hospice care is given in your home , or a facility , as long as it is Medicare approved . You may also need a living will , or something similar to qualify . It will also pay for up to 5 days of respite care , if you need to take a break . Thanks for asking !</x:v>
      </x:c>
      <x:c r="H146" s="10" t="str">
        <x:v>Tax deferred fixed annuities pay a guaranteed interest rate for a guaranteed period of time . Interest rates are constantly changing so its important to check with a brokerage annuity companies that display several insurance companies . As of this posting : 5 year rate is 2.85 % , 7 year rate is 3.20 % and 10 year rate is 3.45 % . Also check the insurance company to see if they are filed in your state .</x:v>
      </x:c>
      <x:c r="I146" s="8" t="str">
        <x:v>health</x:v>
      </x:c>
      <x:c r="J146" s="8" t="str">
        <x:v>CALIBRATION</x:v>
      </x:c>
      <x:c r="K146" s="10" t="str"/>
      <x:c r="L146" s="12" t="str"/>
      <x:c r="M146" s="12" t="str"/>
      <x:c r="N146" s="12" t="str"/>
      <x:c r="O146" s="12" t="str"/>
      <x:c r="P146" s="12" t="str"/>
    </x:row>
    <x:row r="147">
      <x:c r="A147" s="8" t="str">
        <x:v>ext-iqa-fail-036</x:v>
      </x:c>
      <x:c r="B147" s="8" t="str">
        <x:v>insuranceqa</x:v>
      </x:c>
      <x:c r="C147" s="8" t="str">
        <x:v>data/benchmarks/qa/insuranceqa/data_insuranceqa_1000.jsonl</x:v>
      </x:c>
      <x:c r="D147" s="8" t="str">
        <x:v>insuranceqa:588</x:v>
      </x:c>
      <x:c r="E147" s="8" t="str"/>
      <x:c r="F147" s="10" t="str">
        <x:v>How Much Does Life Insurance Underwriters Make?</x:v>
      </x:c>
      <x:c r="G147" s="10" t="str">
        <x:v>Question: How Much Does Life Insurance Underwriters Make?
Answer: Life insurance underwriters are generally paid on the basis of the amount of insurance they are permitted to underwrite , i.e. a $ 500,000 authority may define a `` junior '' underwriter who can make $ 50,000 to $ 75,000 . A senior underwriter with seasoned experience is going to make a six figure income . Senior underwriters who also are MDs can make considerably more ,</x:v>
      </x:c>
      <x:c r="H147" s="10" t="str">
        <x:v>Notwithstanding state peculiar legislation , a landlord can insist that a tenant have a renters policy . The landlord does this to clarify the relationship he has with the tenant . The landlord is not responsible for your property , even if it is destroyed along with his building . He is not responsible for personal injury and physical damage that comes from someone coming onto the property that you have rented . That is your responsibility and you would be the one sued . This problem goes away for a small premium .</x:v>
      </x:c>
      <x:c r="I147" s="8" t="str">
        <x:v>life</x:v>
      </x:c>
      <x:c r="J147" s="8" t="str">
        <x:v>LOCKED_HOLDOUT_CANDIDATE</x:v>
      </x:c>
      <x:c r="K147" s="10" t="str"/>
      <x:c r="L147" s="12" t="str"/>
      <x:c r="M147" s="12" t="str"/>
      <x:c r="N147" s="12" t="str"/>
      <x:c r="O147" s="12" t="str"/>
      <x:c r="P147" s="12" t="str"/>
    </x:row>
    <x:row r="148">
      <x:c r="A148" s="8" t="str">
        <x:v>ext-iqa-fail-037</x:v>
      </x:c>
      <x:c r="B148" s="8" t="str">
        <x:v>insuranceqa</x:v>
      </x:c>
      <x:c r="C148" s="8" t="str">
        <x:v>data/benchmarks/qa/insuranceqa/data_insuranceqa_1000.jsonl</x:v>
      </x:c>
      <x:c r="D148" s="8" t="str">
        <x:v>insuranceqa:545</x:v>
      </x:c>
      <x:c r="E148" s="8" t="str"/>
      <x:c r="F148" s="10" t="str">
        <x:v>What Is The Best Medicare Plan In California?</x:v>
      </x:c>
      <x:c r="G148" s="10" t="str">
        <x:v>Question: What Is The Best Medicare Plan In California?
Answer: California has a lot of good Medicare plans , and there is surely one that is `` best '' for you . Medicare insurance rates vary greatly by age , tobacco use , zip code and plan design . The older you are the higher your Medicare supplement rate will be . The exception is for those who are under age 65 and on disability and Medicare . In most states rates for under age 65 are astronomical . Tobacco use often adds 20 % to the rate but can be more , depending on the carrier . Online sites offering instant Medicare plan rates can be helpful but if you want the lowest rates you need to talk to an independent Medicare agent .</x:v>
      </x:c>
      <x:c r="H148" s="10" t="str">
        <x:v>In order to determine what is the best retirement plan , you first need to clarify what you are trying to accomplish . What does a successful retirement look like for you ? Once you have an idea what that means then you will be able to calculate what it will cost to fund it . The would will be able to determine what is best for you . Additional information on retirement planning is available on my website www.jpw.ca If you would like to work with a local Retirement Planner , you could start with a Google search . For example if you search for : retirement planner Halifax or retirement planning Halifax , my name along with several others will come up . You can use the same method to find Retirement Planners in your community . If you have further questions , or feel that I could be of assistance , please do not hesitate to contact me .</x:v>
      </x:c>
      <x:c r="I148" s="8" t="str">
        <x:v>health</x:v>
      </x:c>
      <x:c r="J148" s="8" t="str">
        <x:v>CALIBRATION</x:v>
      </x:c>
      <x:c r="K148" s="10" t="str"/>
      <x:c r="L148" s="12" t="str"/>
      <x:c r="M148" s="12" t="str"/>
      <x:c r="N148" s="12" t="str"/>
      <x:c r="O148" s="12" t="str"/>
      <x:c r="P148" s="12" t="str"/>
    </x:row>
    <x:row r="149">
      <x:c r="A149" s="8" t="str">
        <x:v>ext-iqa-fail-038</x:v>
      </x:c>
      <x:c r="B149" s="8" t="str">
        <x:v>insuranceqa</x:v>
      </x:c>
      <x:c r="C149" s="8" t="str">
        <x:v>data/benchmarks/qa/insuranceqa/data_insuranceqa_1000.jsonl</x:v>
      </x:c>
      <x:c r="D149" s="8" t="str">
        <x:v>insuranceqa:487</x:v>
      </x:c>
      <x:c r="E149" s="8" t="str"/>
      <x:c r="F149" s="10" t="str">
        <x:v>At What Age Can You Collect Medicare?</x:v>
      </x:c>
      <x:c r="G149" s="10" t="str">
        <x:v>Question: At What Age Can You Collect Medicare?
Answer: You can collect Medicare Part A and Part B at age 65 if you or your spouse has paid Medicare taxes for at least 40 quarters . You can collect Medicare under age 65 if you have been receiving Social Security Disability benefits for 24 months , and in several other circumstances .</x:v>
      </x:c>
      <x:c r="H149" s="10" t="str">
        <x:v>Rates are typically know to adjust at ages 18 , 21 , and 25 . Rates are also known to adjust based on credit history and marital status . Please remember every carrier and every policy is different . Every carrier has its own level of risk willing to accept . This will set the premium levels based on the risk they are willing to take on .</x:v>
      </x:c>
      <x:c r="I149" s="8" t="str">
        <x:v>health</x:v>
      </x:c>
      <x:c r="J149" s="8" t="str">
        <x:v>CALIBRATION</x:v>
      </x:c>
      <x:c r="K149" s="10" t="str">
        <x:v>possibly_trivial_fail_low_lexical_overlap</x:v>
      </x:c>
      <x:c r="L149" s="12" t="str"/>
      <x:c r="M149" s="12" t="str"/>
      <x:c r="N149" s="12" t="str"/>
      <x:c r="O149" s="12" t="str"/>
      <x:c r="P149" s="12" t="str"/>
    </x:row>
    <x:row r="150">
      <x:c r="A150" s="8" t="str">
        <x:v>ext-iqa-fail-039</x:v>
      </x:c>
      <x:c r="B150" s="8" t="str">
        <x:v>insuranceqa</x:v>
      </x:c>
      <x:c r="C150" s="8" t="str">
        <x:v>data/benchmarks/qa/insuranceqa/data_insuranceqa_1000.jsonl</x:v>
      </x:c>
      <x:c r="D150" s="8" t="str">
        <x:v>insuranceqa:438</x:v>
      </x:c>
      <x:c r="E150" s="8" t="str"/>
      <x:c r="F150" s="10" t="str">
        <x:v>How Would You Calculate The Expected Return On A Life Insurance Policy?</x:v>
      </x:c>
      <x:c r="G150" s="10" t="str">
        <x:v>Question: How Would You Calculate The Expected Return On A Life Insurance Policy?
Answer: Before you break out your HP12c calculator , consider this . Almost all proposals illustrate internal rate of return on both death benefit and cash values . If you have an existing life insurance policy you can order whats called an in force ledger and request the internal rate of return on both death benefit and cash values .</x:v>
      </x:c>
      <x:c r="H150" s="10" t="str">
        <x:v>Disability insurance is a morbidity product . Disability insurance is basically paycheck protection . And the price for that protection depends on your gender , age , smoking status , health history , current medical condition and vocation . It also depends on the length of coverage , the elimination period and owner occupation specialties .</x:v>
      </x:c>
      <x:c r="I150" s="8" t="str">
        <x:v>life</x:v>
      </x:c>
      <x:c r="J150" s="8" t="str">
        <x:v>LOCKED_HOLDOUT_CANDIDATE</x:v>
      </x:c>
      <x:c r="K150" s="10" t="str"/>
      <x:c r="L150" s="12" t="str"/>
      <x:c r="M150" s="12" t="str"/>
      <x:c r="N150" s="12" t="str"/>
      <x:c r="O150" s="12" t="str"/>
      <x:c r="P150" s="12" t="str"/>
    </x:row>
    <x:row r="151">
      <x:c r="A151" s="8" t="str">
        <x:v>ext-iqa-fail-040</x:v>
      </x:c>
      <x:c r="B151" s="8" t="str">
        <x:v>insuranceqa</x:v>
      </x:c>
      <x:c r="C151" s="8" t="str">
        <x:v>data/benchmarks/qa/insuranceqa/data_insuranceqa_1000.jsonl</x:v>
      </x:c>
      <x:c r="D151" s="8" t="str">
        <x:v>insuranceqa:263</x:v>
      </x:c>
      <x:c r="E151" s="8" t="str"/>
      <x:c r="F151" s="10" t="str">
        <x:v>Is Mutual Fund Better Than Stock?</x:v>
      </x:c>
      <x:c r="G151" s="10" t="str">
        <x:v>Question: Is Mutual Fund Better Than Stock?
Answer: A mutual fund is a share in an investment company . According to the prospectus it invests the funds using a particular investment strategy . The fund is generally quite diversified reducing the risk of a particular security suffering a great loss . At the same time this diversity dampens the effect of a particular security contained in the fund experiencing enormous gains . The mutually fund is generally viewed as being less volatile and more diversified .</x:v>
      </x:c>
      <x:c r="H151" s="10" t="str">
        <x:v>Term insurance is the best for most people because it provides the opportunity to purchase the most coverage for the least premium dollar and frees up more savings dollars or money to pay down debt . In the early years a family needs more protection while their debts are the highest , they have a mortgage , the kids are at home , and loss of income would be devastating . This is where the most life insurance coverage is needed for protection as the cash estate is growing . However , in the later years , when debts are lower or eliminated , the home mortgage is nearly gone , and the children are out of the home , less life insurance is needed and more retirement income is needed . Term insurance is the only type of insurance that will protect with the right amount of coverage without reducing the amount of money to invest . There is no mathematical reason to have cash value life insurance of any type .</x:v>
      </x:c>
      <x:c r="I151" s="8" t="str">
        <x:v>general_insurance</x:v>
      </x:c>
      <x:c r="J151" s="8" t="str">
        <x:v>VALIDATION</x:v>
      </x:c>
      <x:c r="K151" s="10" t="str"/>
      <x:c r="L151" s="12" t="str"/>
      <x:c r="M151" s="12" t="str"/>
      <x:c r="N151" s="12" t="str"/>
      <x:c r="O151" s="12" t="str"/>
      <x:c r="P151" s="12" t="str"/>
    </x:row>
    <x:row r="152">
      <x:c r="A152" s="8" t="str">
        <x:v>ext-iqa-fail-041</x:v>
      </x:c>
      <x:c r="B152" s="8" t="str">
        <x:v>insuranceqa</x:v>
      </x:c>
      <x:c r="C152" s="8" t="str">
        <x:v>data/benchmarks/qa/insuranceqa/data_insuranceqa_1000.jsonl</x:v>
      </x:c>
      <x:c r="D152" s="8" t="str">
        <x:v>insuranceqa:349</x:v>
      </x:c>
      <x:c r="E152" s="8" t="str"/>
      <x:c r="F152" s="10" t="str">
        <x:v>Is Zostavax Covered By Medicare?</x:v>
      </x:c>
      <x:c r="G152" s="10" t="str">
        <x:v>Question: Is Zostavax Covered By Medicare?
Answer: It will depend on the prescription drug plan you are in . Medicare only covers certain injectable , chemotherapy drugs under Part B . The best way to find out which plan covers your drugs is to go to Medicare.Gov and look under find Medicare Plans . If you have a problem doing this a good agent can help walk you through the process or look them up for you . If you have a prescription drug plan , you should have received a copy of their formulary . If not go on the company website and you can usually find out that way , or call the customer service number on the back of your card .</x:v>
      </x:c>
      <x:c r="H152" s="10" t="str">
        <x:v>It will depend on the prescription drug plan you are in . Most people on Medicare are beyond child bearing years .</x:v>
      </x:c>
      <x:c r="I152" s="8" t="str">
        <x:v>health</x:v>
      </x:c>
      <x:c r="J152" s="8" t="str">
        <x:v>VALIDATION</x:v>
      </x:c>
      <x:c r="K152" s="10" t="str"/>
      <x:c r="L152" s="12" t="str"/>
      <x:c r="M152" s="12" t="str"/>
      <x:c r="N152" s="12" t="str"/>
      <x:c r="O152" s="12" t="str"/>
      <x:c r="P152" s="12" t="str"/>
    </x:row>
    <x:row r="153">
      <x:c r="A153" s="8" t="str">
        <x:v>ext-iqa-fail-042</x:v>
      </x:c>
      <x:c r="B153" s="8" t="str">
        <x:v>insuranceqa</x:v>
      </x:c>
      <x:c r="C153" s="8" t="str">
        <x:v>data/benchmarks/qa/insuranceqa/data_insuranceqa_1000.jsonl</x:v>
      </x:c>
      <x:c r="D153" s="8" t="str">
        <x:v>insuranceqa:344</x:v>
      </x:c>
      <x:c r="E153" s="8" t="str"/>
      <x:c r="F153" s="10" t="str">
        <x:v>Does Medicare Cover Viagra Cialis?</x:v>
      </x:c>
      <x:c r="G153" s="10" t="str">
        <x:v>Question: Does Medicare Cover Viagra Cialis?
Answer: Medicare does not pay for Viagra , Cialis , Levitra or other erectile dysfunction drugs . They are not covered in Part B Medicare and excluded by Part D Medicare Drug Plans . The coverage ended in 2006 , when Congress determined them `` lifestyle '' drugs instead of medically necessary drugs . Since then , penile vacuum pumps , or , if those are ineffective , implanted penile inflation devices , are the only treatments for erectile dysfunction that are covered by Medicare .</x:v>
      </x:c>
      <x:c r="H153" s="10" t="str">
        <x:v>Medicare does not pay for Viagra , Cialis , Levitra or other erectile dysfunction drugs . Unfortunately , Medicare does not cover Cialis for BPH -LRB- benign prostatic hyperplasia -RRB- .</x:v>
      </x:c>
      <x:c r="I153" s="8" t="str">
        <x:v>health</x:v>
      </x:c>
      <x:c r="J153" s="8" t="str">
        <x:v>VALIDATION</x:v>
      </x:c>
      <x:c r="K153" s="10" t="str"/>
      <x:c r="L153" s="12" t="str"/>
      <x:c r="M153" s="12" t="str"/>
      <x:c r="N153" s="12" t="str"/>
      <x:c r="O153" s="12" t="str"/>
      <x:c r="P153" s="12" t="str"/>
    </x:row>
    <x:row r="154">
      <x:c r="A154" s="8" t="str">
        <x:v>ext-iqa-fail-043</x:v>
      </x:c>
      <x:c r="B154" s="8" t="str">
        <x:v>insuranceqa</x:v>
      </x:c>
      <x:c r="C154" s="8" t="str">
        <x:v>data/benchmarks/qa/insuranceqa/data_insuranceqa_1000.jsonl</x:v>
      </x:c>
      <x:c r="D154" s="8" t="str">
        <x:v>insuranceqa:525</x:v>
      </x:c>
      <x:c r="E154" s="8" t="str"/>
      <x:c r="F154" s="10" t="str">
        <x:v>Which Section Of Medicare Pays For Ambulatory Service?</x:v>
      </x:c>
      <x:c r="G154" s="10" t="str">
        <x:v>Question: Which Section Of Medicare Pays For Ambulatory Service?
Answer: Medicare Part B will cover ambulance services that are medically necessary . Even though original Medicare does not have networks , you need to understand that Medicare has a fee schedule for things such as medical transport companies . What Medicare is willing to pay for ambulance transport may not be enough to satisfy the bill presented by the ambulance company .</x:v>
      </x:c>
      <x:c r="H154" s="10" t="str">
        <x:v>Medicare Part B will cover ambulance services that are medically necessary . You will receive Medicare Part A benefits automatically when you qualify .</x:v>
      </x:c>
      <x:c r="I154" s="8" t="str">
        <x:v>health</x:v>
      </x:c>
      <x:c r="J154" s="8" t="str">
        <x:v>VALIDATION</x:v>
      </x:c>
      <x:c r="K154" s="10" t="str"/>
      <x:c r="L154" s="12" t="str"/>
      <x:c r="M154" s="12" t="str"/>
      <x:c r="N154" s="12" t="str"/>
      <x:c r="O154" s="12" t="str"/>
      <x:c r="P154" s="12" t="str"/>
    </x:row>
    <x:row r="155">
      <x:c r="A155" s="8" t="str">
        <x:v>ext-iqa-fail-044</x:v>
      </x:c>
      <x:c r="B155" s="8" t="str">
        <x:v>insuranceqa</x:v>
      </x:c>
      <x:c r="C155" s="8" t="str">
        <x:v>data/benchmarks/qa/insuranceqa/data_insuranceqa_1000.jsonl</x:v>
      </x:c>
      <x:c r="D155" s="8" t="str">
        <x:v>insuranceqa:371</x:v>
      </x:c>
      <x:c r="E155" s="8" t="str"/>
      <x:c r="F155" s="10" t="str">
        <x:v>What Is The Benefit Of Renters Insurance?</x:v>
      </x:c>
      <x:c r="G155" s="10" t="str">
        <x:v>Question: What Is The Benefit Of Renters Insurance?
Answer: Renters insurance is for renters of homes and apartments as house insurance is for those who own the house . Renters insurance protects YOUR property if there is a loss from say a fire . The biggest issue is what kind of policy you have . Does your insurance give yoy replacement cost or just current value . There is a big difference . Think about what you stuff costs today versus purchasing brand new .</x:v>
      </x:c>
      <x:c r="H155" s="10" t="str">
        <x:v>Renters insurance is for renters of homes and apartments as house insurance is for those who own the house . You need a tenants policy if your landlord requires it .</x:v>
      </x:c>
      <x:c r="I155" s="8" t="str">
        <x:v>household</x:v>
      </x:c>
      <x:c r="J155" s="8" t="str">
        <x:v>VALIDATION</x:v>
      </x:c>
      <x:c r="K155" s="10" t="str"/>
      <x:c r="L155" s="12" t="str"/>
      <x:c r="M155" s="12" t="str"/>
      <x:c r="N155" s="12" t="str"/>
      <x:c r="O155" s="12" t="str"/>
      <x:c r="P155" s="12" t="str"/>
    </x:row>
    <x:row r="156">
      <x:c r="A156" s="8" t="str">
        <x:v>ext-iqa-fail-045</x:v>
      </x:c>
      <x:c r="B156" s="8" t="str">
        <x:v>insuranceqa</x:v>
      </x:c>
      <x:c r="C156" s="8" t="str">
        <x:v>data/benchmarks/qa/insuranceqa/data_insuranceqa_1000.jsonl</x:v>
      </x:c>
      <x:c r="D156" s="8" t="str">
        <x:v>insuranceqa:357</x:v>
      </x:c>
      <x:c r="E156" s="8" t="str"/>
      <x:c r="F156" s="10" t="str">
        <x:v>Is travel insurance worth the money?</x:v>
      </x:c>
      <x:c r="G156" s="10" t="str">
        <x:v>Question: Is travel insurance worth the money?
Answer: To determine the value of a travel insurance policy review the coverage that you currently have . Some people have coverage that extends to the locality where they live , or the state in which they reside . Coverage outside of that specified area can be highly limited . The issue becomes more severe with most plans when you travel overseas . If your current coverage is inadequate to cover potential difficulties secure a travel insurance policy . Personally , I travel overseas frequently and never purchase travel insurance .</x:v>
      </x:c>
      <x:c r="H156" s="10" t="str">
        <x:v>To determine the value of a travel insurance policy review the coverage that you currently have . I believe so , as I both own one , and sell them to my clients .</x:v>
      </x:c>
      <x:c r="I156" s="8" t="str">
        <x:v>travel_assistance</x:v>
      </x:c>
      <x:c r="J156" s="8" t="str">
        <x:v>CALIBRATION</x:v>
      </x:c>
      <x:c r="K156" s="10" t="str"/>
      <x:c r="L156" s="12" t="str"/>
      <x:c r="M156" s="12" t="str"/>
      <x:c r="N156" s="12" t="str"/>
      <x:c r="O156" s="12" t="str"/>
      <x:c r="P156" s="12" t="str"/>
    </x:row>
    <x:row r="157">
      <x:c r="A157" s="8" t="str">
        <x:v>ext-iqa-fail-046</x:v>
      </x:c>
      <x:c r="B157" s="8" t="str">
        <x:v>insuranceqa</x:v>
      </x:c>
      <x:c r="C157" s="8" t="str">
        <x:v>data/benchmarks/qa/insuranceqa/data_insuranceqa_1000.jsonl</x:v>
      </x:c>
      <x:c r="D157" s="8" t="str">
        <x:v>insuranceqa:647</x:v>
      </x:c>
      <x:c r="E157" s="8" t="str"/>
      <x:c r="F157" s="10" t="str">
        <x:v>Why Is An Equity Indexed Annuity Considered To Be A Fixed Annuity?</x:v>
      </x:c>
      <x:c r="G157" s="10" t="str">
        <x:v>Question: Why Is An Equity Indexed Annuity Considered To Be A Fixed Annuity?
Answer: Because it a FIXED AND GUARANTEED RATEBOF RETURN . You ca n't lose your principle and average GUARANTEED rates are around 2 % on the low end to 4 % on the high end . You get a nominal/limited upside gain of the stock market along with knowing you ca n't lose any money . Somewhat fixed .</x:v>
      </x:c>
      <x:c r="H157" s="10" t="str">
        <x:v>You ca n't lose your principle and average GUARANTEED rates are around 2 % on the low end to 4 % on the high end . A fixed annuity is a way to give yourself an easily defined amount of money to provide a steady income stream from in retirement .</x:v>
      </x:c>
      <x:c r="I157" s="8" t="str">
        <x:v>life</x:v>
      </x:c>
      <x:c r="J157" s="8" t="str">
        <x:v>CALIBRATION</x:v>
      </x:c>
      <x:c r="K157" s="10" t="str"/>
      <x:c r="L157" s="12" t="str"/>
      <x:c r="M157" s="12" t="str"/>
      <x:c r="N157" s="12" t="str"/>
      <x:c r="O157" s="12" t="str"/>
      <x:c r="P157" s="12" t="str"/>
    </x:row>
    <x:row r="158">
      <x:c r="A158" s="8" t="str">
        <x:v>ext-iqa-fail-047</x:v>
      </x:c>
      <x:c r="B158" s="8" t="str">
        <x:v>insuranceqa</x:v>
      </x:c>
      <x:c r="C158" s="8" t="str">
        <x:v>data/benchmarks/qa/insuranceqa/data_insuranceqa_1000.jsonl</x:v>
      </x:c>
      <x:c r="D158" s="8" t="str">
        <x:v>insuranceqa:855</x:v>
      </x:c>
      <x:c r="E158" s="8" t="str"/>
      <x:c r="F158" s="10" t="str">
        <x:v>When Does Health Insurance End When Leaving A Job?</x:v>
      </x:c>
      <x:c r="G158" s="10" t="str">
        <x:v>Question: When Does Health Insurance End When Leaving A Job?
Answer: If you leave your job or are terminated your health insurance usually ends at the end of the month you left your job . At that time you would be eligible for COBRA continuation coverage for 18 months or you could purchase indivdiual health insurance . COBRA used to be the best option if you had a pre-exisitng condition but under the Affordable Care Act , commonly known as Obamacare , you can purchase individual coverage with no issues . You have to prove that you have a qualifying event under the IRS code which is a letter of Creditable Coverage from your former health insurance company or employer .</x:v>
      </x:c>
      <x:c r="H158" s="10" t="str">
        <x:v>If you leave your job or are terminated your health insurance usually ends at the end of the month you left your job . If you are talking about the open enrollment period then it ends on March 31st of this year for ACA plans unless there is a special circumstance like losing group coverage or coming off of COBRA .</x:v>
      </x:c>
      <x:c r="I158" s="8" t="str">
        <x:v>health</x:v>
      </x:c>
      <x:c r="J158" s="8" t="str">
        <x:v>LOCKED_HOLDOUT_CANDIDATE</x:v>
      </x:c>
      <x:c r="K158" s="10" t="str"/>
      <x:c r="L158" s="12" t="str"/>
      <x:c r="M158" s="12" t="str"/>
      <x:c r="N158" s="12" t="str"/>
      <x:c r="O158" s="12" t="str"/>
      <x:c r="P158" s="12" t="str"/>
    </x:row>
    <x:row r="159">
      <x:c r="A159" s="8" t="str">
        <x:v>ext-iqa-fail-048</x:v>
      </x:c>
      <x:c r="B159" s="8" t="str">
        <x:v>insuranceqa</x:v>
      </x:c>
      <x:c r="C159" s="8" t="str">
        <x:v>data/benchmarks/qa/insuranceqa/data_insuranceqa_1000.jsonl</x:v>
      </x:c>
      <x:c r="D159" s="8" t="str">
        <x:v>insuranceqa:433</x:v>
      </x:c>
      <x:c r="E159" s="8" t="str"/>
      <x:c r="F159" s="10" t="str">
        <x:v>How To Find Out What My Health Insurance Covers?</x:v>
      </x:c>
      <x:c r="G159" s="10" t="str">
        <x:v>Question: How To Find Out What My Health Insurance Covers?
Answer: Your best resource for information about a policy that is already in force is from the insurance carrier directly . There will be a toll free number on your card . If you have a direct relationship with an agent who helped you purchase the policy , that person can be of assistance if you run into any challenges . The people at the carrier 's call center are human too and sometimes you can get bad information simply due to human error . If you think an answer is wrong , call back and get another representative . If you get stuck , call your agent !</x:v>
      </x:c>
      <x:c r="H159" s="10" t="str">
        <x:v>Your best resource for information about a policy that is already in force is from the insurance carrier directly . Most health insurance plans do not cover In Vitro or any other infertility treatment .</x:v>
      </x:c>
      <x:c r="I159" s="8" t="str">
        <x:v>health</x:v>
      </x:c>
      <x:c r="J159" s="8" t="str">
        <x:v>VALIDATION</x:v>
      </x:c>
      <x:c r="K159" s="10" t="str"/>
      <x:c r="L159" s="12" t="str"/>
      <x:c r="M159" s="12" t="str"/>
      <x:c r="N159" s="12" t="str"/>
      <x:c r="O159" s="12" t="str"/>
      <x:c r="P159" s="12" t="str"/>
    </x:row>
    <x:row r="160">
      <x:c r="A160" s="8" t="str">
        <x:v>ext-iqa-fail-049</x:v>
      </x:c>
      <x:c r="B160" s="8" t="str">
        <x:v>insuranceqa</x:v>
      </x:c>
      <x:c r="C160" s="8" t="str">
        <x:v>data/benchmarks/qa/insuranceqa/data_insuranceqa_1000.jsonl</x:v>
      </x:c>
      <x:c r="D160" s="8" t="str">
        <x:v>insuranceqa:611</x:v>
      </x:c>
      <x:c r="E160" s="8" t="str"/>
      <x:c r="F160" s="10" t="str">
        <x:v>How To Get Life Insurance On Ex Husband?</x:v>
      </x:c>
      <x:c r="G160" s="10" t="str">
        <x:v>Question: How To Get Life Insurance On Ex Husband?
Answer: Depending on your divorce and how it has panned out . The ex spouse may see the need to have life insurance to provide protection when kids are involved . They may not , see a need at all and that would be where you petition the court and let the court decide the need for him .</x:v>
      </x:c>
      <x:c r="H160" s="10" t="str">
        <x:v>The ex spouse may see the need to have life insurance to provide protection when kids are involved . Whether or not you can keep life insurance on your ex husband will be up to you , your ex husband , and the court .</x:v>
      </x:c>
      <x:c r="I160" s="8" t="str">
        <x:v>life</x:v>
      </x:c>
      <x:c r="J160" s="8" t="str">
        <x:v>LOCKED_HOLDOUT_CANDIDATE</x:v>
      </x:c>
      <x:c r="K160" s="10" t="str"/>
      <x:c r="L160" s="12" t="str"/>
      <x:c r="M160" s="12" t="str"/>
      <x:c r="N160" s="12" t="str"/>
      <x:c r="O160" s="12" t="str"/>
      <x:c r="P160" s="12" t="str"/>
    </x:row>
    <x:row r="161">
      <x:c r="A161" s="8" t="str">
        <x:v>ext-iqa-fail-050</x:v>
      </x:c>
      <x:c r="B161" s="8" t="str">
        <x:v>insuranceqa</x:v>
      </x:c>
      <x:c r="C161" s="8" t="str">
        <x:v>data/benchmarks/qa/insuranceqa/data_insuranceqa_1000.jsonl</x:v>
      </x:c>
      <x:c r="D161" s="8" t="str">
        <x:v>insuranceqa:902</x:v>
      </x:c>
      <x:c r="E161" s="8" t="str"/>
      <x:c r="F161" s="10" t="str">
        <x:v>Can An 88 Year Old Get Life Insurance?</x:v>
      </x:c>
      <x:c r="G161" s="10" t="str">
        <x:v>Question: Can An 88 Year Old Get Life Insurance?
Answer: I actually had a case for an 88-year-old a couple of years ago . It was rather interesting . What we had going for us was the following : A number of companies will issue a policy up to age 90 . Out of these , some will specialize in ages over 65 . The insured had a number of medical issues , but they were well-controlled . The challenge was getting the money to pay for the coverage . Since the family would benefit , efforts were made to have the family help pay the premium . This is where things got a little tough . Assuming the money is there , this can be done .</x:v>
      </x:c>
      <x:c r="H161" s="10" t="str">
        <x:v>I actually had a case for an 88-year-old a couple of years ago . A 30 year old male nonsmoking with super preferred health covering $ 100,000 of ten year term life insurance is around $ 85 annually with one of the leading life insurance companies .</x:v>
      </x:c>
      <x:c r="I161" s="8" t="str">
        <x:v>life</x:v>
      </x:c>
      <x:c r="J161" s="8" t="str">
        <x:v>CALIBRATION</x:v>
      </x:c>
      <x:c r="K161" s="10" t="str"/>
      <x:c r="L161" s="12" t="str"/>
      <x:c r="M161" s="12" t="str"/>
      <x:c r="N161" s="12" t="str"/>
      <x:c r="O161" s="12" t="str"/>
      <x:c r="P161" s="12" t="str"/>
    </x:row>
    <x:row r="162">
      <x:c r="A162" s="8" t="str">
        <x:v>ext-iqa-fail-051</x:v>
      </x:c>
      <x:c r="B162" s="8" t="str">
        <x:v>insuranceqa</x:v>
      </x:c>
      <x:c r="C162" s="8" t="str">
        <x:v>data/benchmarks/qa/insuranceqa/data_insuranceqa_1000.jsonl</x:v>
      </x:c>
      <x:c r="D162" s="8" t="str">
        <x:v>insuranceqa:590</x:v>
      </x:c>
      <x:c r="E162" s="8" t="str"/>
      <x:c r="F162" s="10" t="str">
        <x:v>Why Do I Have To Have Homeowners Insurance?</x:v>
      </x:c>
      <x:c r="G162" s="10" t="str">
        <x:v>Question: Why Do I Have To Have Homeowners Insurance?
Answer: Technically you do not have to have homeowners insurance . It is not required at this time by law in any of the states in the United States to the best of my knowledge . Your mortgage lender will typically require homeowners insurance coverage to protect themselves against loss in the event of a covered loss . There are way to many reasons to list here as to why you should have coverage . Please contact a local agent to discuss your coverage needs and concerns .</x:v>
      </x:c>
      <x:c r="H162" s="10" t="str">
        <x:v>Technically you do not have to have homeowners insurance . Most homeowners need a homeowners policy all the time .</x:v>
      </x:c>
      <x:c r="I162" s="8" t="str">
        <x:v>general_insurance</x:v>
      </x:c>
      <x:c r="J162" s="8" t="str">
        <x:v>VALIDATION</x:v>
      </x:c>
      <x:c r="K162" s="10" t="str"/>
      <x:c r="L162" s="12" t="str"/>
      <x:c r="M162" s="12" t="str"/>
      <x:c r="N162" s="12" t="str"/>
      <x:c r="O162" s="12" t="str"/>
      <x:c r="P162" s="12" t="str"/>
    </x:row>
    <x:row r="163">
      <x:c r="A163" s="8" t="str">
        <x:v>ext-iqa-fail-052</x:v>
      </x:c>
      <x:c r="B163" s="8" t="str">
        <x:v>insuranceqa</x:v>
      </x:c>
      <x:c r="C163" s="8" t="str">
        <x:v>data/benchmarks/qa/insuranceqa/data_insuranceqa_1000.jsonl</x:v>
      </x:c>
      <x:c r="D163" s="8" t="str">
        <x:v>insuranceqa:923</x:v>
      </x:c>
      <x:c r="E163" s="8" t="str"/>
      <x:c r="F163" s="10" t="str">
        <x:v>Does Renters Insurance Cover Sewage Backup?</x:v>
      </x:c>
      <x:c r="G163" s="10" t="str">
        <x:v>Question: Does Renters Insurance Cover Sewage Backup?
Answer: Renters insurance does not cover sewage backup on its own . There is an endorsement available to add this coverage , usually for just a few dollars per month . It 's worth remembering that endorsements must be made before a loss occurs . You can not call your insurance agent and add the water and sewage backup endorsement after you discover the problem , there will be no coverage because the endorsement was not applied at the time the loss occurred .</x:v>
      </x:c>
      <x:c r="H163" s="10" t="str">
        <x:v>Renters insurance does not cover sewage backup on its own . I believe you will find that for the most part , property plicies will exclude any motor powered vehicles from coverage .</x:v>
      </x:c>
      <x:c r="I163" s="8" t="str">
        <x:v>household</x:v>
      </x:c>
      <x:c r="J163" s="8" t="str">
        <x:v>VALIDATION</x:v>
      </x:c>
      <x:c r="K163" s="10" t="str"/>
      <x:c r="L163" s="12" t="str"/>
      <x:c r="M163" s="12" t="str"/>
      <x:c r="N163" s="12" t="str"/>
      <x:c r="O163" s="12" t="str"/>
      <x:c r="P163" s="12" t="str"/>
    </x:row>
    <x:row r="164">
      <x:c r="A164" s="8" t="str">
        <x:v>ext-iqa-fail-053</x:v>
      </x:c>
      <x:c r="B164" s="8" t="str">
        <x:v>insuranceqa</x:v>
      </x:c>
      <x:c r="C164" s="8" t="str">
        <x:v>data/benchmarks/qa/insuranceqa/data_insuranceqa_1000.jsonl</x:v>
      </x:c>
      <x:c r="D164" s="8" t="str">
        <x:v>insuranceqa:262</x:v>
      </x:c>
      <x:c r="E164" s="8" t="str"/>
      <x:c r="F164" s="10" t="str">
        <x:v>Will Annuity Rates Go Up?</x:v>
      </x:c>
      <x:c r="G164" s="10" t="str">
        <x:v>Question: Will Annuity Rates Go Up?
Answer: Annuity Rates are directly tied to the Fed Funds Rate &amp; to 10 Year Treasury Rates . Both of these are at historical lows at the moment . Most financial experts claim that interest rates should rise over the next 5 years . If this happens , Annuity Rates will rise as along with them .</x:v>
      </x:c>
      <x:c r="H164" s="10" t="str">
        <x:v>Annuity Rates are directly tied to the Fed Funds Rate &amp; to 10 Year Treasury Rates . You ca n't lose your principle and average GUARANTEED rates are around 2 % on the low end to 4 % on the high end .</x:v>
      </x:c>
      <x:c r="I164" s="8" t="str">
        <x:v>life</x:v>
      </x:c>
      <x:c r="J164" s="8" t="str">
        <x:v>VALIDATION</x:v>
      </x:c>
      <x:c r="K164" s="10" t="str"/>
      <x:c r="L164" s="12" t="str"/>
      <x:c r="M164" s="12" t="str"/>
      <x:c r="N164" s="12" t="str"/>
      <x:c r="O164" s="12" t="str"/>
      <x:c r="P164" s="12" t="str"/>
    </x:row>
    <x:row r="165">
      <x:c r="A165" s="8" t="str">
        <x:v>ext-iqa-fail-054</x:v>
      </x:c>
      <x:c r="B165" s="8" t="str">
        <x:v>insuranceqa</x:v>
      </x:c>
      <x:c r="C165" s="8" t="str">
        <x:v>data/benchmarks/qa/insuranceqa/data_insuranceqa_1000.jsonl</x:v>
      </x:c>
      <x:c r="D165" s="8" t="str">
        <x:v>insuranceqa:849</x:v>
      </x:c>
      <x:c r="E165" s="8" t="str"/>
      <x:c r="F165" s="10" t="str">
        <x:v>What Is A Governmental 457 Retirement Plan?</x:v>
      </x:c>
      <x:c r="G165" s="10" t="str">
        <x:v>Question: What Is A Governmental 457 Retirement Plan?
Answer: Assuming youre referring to 457 -LRB- b -RRB- retirement plans , 457 -LRB- b -RRB- deferred compensation plans that are available in government and non-government organizations under 501 -LRB- c -RRB- . Theres no 59 penalty as long as the plan participant is retiring or ending employment . Government 457 can be rolled personal over to IRAs . Nonprofit workers can only roll their 457 plans over to another 457 plan . 2013 contribution limits are $ 17,500 and an extra $ 5,500 if you are age 50 or older .</x:v>
      </x:c>
      <x:c r="H165" s="10" t="str">
        <x:v>Assuming youre referring to 457 -LRB- b -RRB- retirement plans , 457 -LRB- b -RRB- deferred compensation plans that are available in government and non-government organizations under 501 -LRB- c -RRB- . Disciplined despots into a retirement plan from every paycheck , no matter how small can help you develop a habit that you 'll appreciate when you retire .</x:v>
      </x:c>
      <x:c r="I165" s="8" t="str">
        <x:v>retirement</x:v>
      </x:c>
      <x:c r="J165" s="8" t="str">
        <x:v>VALIDATION</x:v>
      </x:c>
      <x:c r="K165" s="10" t="str"/>
      <x:c r="L165" s="12" t="str"/>
      <x:c r="M165" s="12" t="str"/>
      <x:c r="N165" s="12" t="str"/>
      <x:c r="O165" s="12" t="str"/>
      <x:c r="P165" s="12" t="str"/>
    </x:row>
    <x:row r="166">
      <x:c r="A166" s="8" t="str">
        <x:v>ext-iqa-fail-055</x:v>
      </x:c>
      <x:c r="B166" s="8" t="str">
        <x:v>insuranceqa</x:v>
      </x:c>
      <x:c r="C166" s="8" t="str">
        <x:v>data/benchmarks/qa/insuranceqa/data_insuranceqa_1000.jsonl</x:v>
      </x:c>
      <x:c r="D166" s="8" t="str">
        <x:v>insuranceqa:556</x:v>
      </x:c>
      <x:c r="E166" s="8" t="str"/>
      <x:c r="F166" s="10" t="str">
        <x:v>What Is Multiplan Health Insurance?</x:v>
      </x:c>
      <x:c r="G166" s="10" t="str">
        <x:v>Question: What Is Multiplan Health Insurance?
Answer: Multiplan health insurance is not health insurance . Multiplan is a national PPO network that is used by some health insurance carriers either as a primary network or secondary . There are medical discount plans that promote the benefits of the Multiplan network but discount plans should never be considered a substitute for true major medical coverage .</x:v>
      </x:c>
      <x:c r="H166" s="10" t="str">
        <x:v>Multiplan is a national PPO network that is used by some health insurance carriers either as a primary network or secondary . Starting in 2014 most all US citizens will be required to have an approved form of health insurance .</x:v>
      </x:c>
      <x:c r="I166" s="8" t="str">
        <x:v>health</x:v>
      </x:c>
      <x:c r="J166" s="8" t="str">
        <x:v>VALIDATION</x:v>
      </x:c>
      <x:c r="K166" s="10" t="str"/>
      <x:c r="L166" s="12" t="str"/>
      <x:c r="M166" s="12" t="str"/>
      <x:c r="N166" s="12" t="str"/>
      <x:c r="O166" s="12" t="str"/>
      <x:c r="P166" s="12" t="str"/>
    </x:row>
    <x:row r="167">
      <x:c r="A167" s="8" t="str">
        <x:v>ext-iqa-fail-056</x:v>
      </x:c>
      <x:c r="B167" s="8" t="str">
        <x:v>insuranceqa</x:v>
      </x:c>
      <x:c r="C167" s="8" t="str">
        <x:v>data/benchmarks/qa/insuranceqa/data_insuranceqa_1000.jsonl</x:v>
      </x:c>
      <x:c r="D167" s="8" t="str">
        <x:v>insuranceqa:869</x:v>
      </x:c>
      <x:c r="E167" s="8" t="str"/>
      <x:c r="F167" s="10" t="str">
        <x:v>Does Subway Offer Health Insurance?</x:v>
      </x:c>
      <x:c r="G167" s="10" t="str">
        <x:v>Question: Does Subway Offer Health Insurance?
Answer: This is a good Question . With any Company , whether they provide employee health coverage or not will depend on many factors . Whether you are Part time or Full time , if there is a waiting period , etc etc. . It is important to know that even if your employer does not offer health benefits , you can apply for your OWN individual plan that you pay for and manage on your own . This may also be a good option because if you happen to leave that job , you wo n't have to worry about loosing your health coverage .</x:v>
      </x:c>
      <x:c r="H167" s="10" t="str">
        <x:v>With any Company , whether they provide employee health coverage or not will depend on many factors . It is possible for an employer to legally offer health insurance to some employees and not others using employment-based classifications .</x:v>
      </x:c>
      <x:c r="I167" s="8" t="str">
        <x:v>health</x:v>
      </x:c>
      <x:c r="J167" s="8" t="str">
        <x:v>CALIBRATION</x:v>
      </x:c>
      <x:c r="K167" s="10" t="str"/>
      <x:c r="L167" s="12" t="str"/>
      <x:c r="M167" s="12" t="str"/>
      <x:c r="N167" s="12" t="str"/>
      <x:c r="O167" s="12" t="str"/>
      <x:c r="P167" s="12" t="str"/>
    </x:row>
    <x:row r="168">
      <x:c r="A168" s="8" t="str">
        <x:v>ext-iqa-fail-057</x:v>
      </x:c>
      <x:c r="B168" s="8" t="str">
        <x:v>insuranceqa</x:v>
      </x:c>
      <x:c r="C168" s="8" t="str">
        <x:v>data/benchmarks/qa/insuranceqa/data_insuranceqa_1000.jsonl</x:v>
      </x:c>
      <x:c r="D168" s="8" t="str">
        <x:v>insuranceqa:467</x:v>
      </x:c>
      <x:c r="E168" s="8" t="str"/>
      <x:c r="F168" s="10" t="str">
        <x:v>How Does A Cash Balance Retirement Plan Work?</x:v>
      </x:c>
      <x:c r="G168" s="10" t="str">
        <x:v>Question: How Does A Cash Balance Retirement Plan Work?
Answer: Cash balance plans are qualified defined benefit plans under ERISA , the Employee Retirement Income Security Act of 1974 . Employers appreciate the discriminatory ability to favor business owners . Cash balance plans are also used in tandem with 401 -LRB- k -RRB- for enhanced contribution limits . The plans accumulate tax deferred and offer creditor protection .</x:v>
      </x:c>
      <x:c r="H168" s="10" t="str">
        <x:v>Cash balance plans are qualified defined benefit plans under ERISA , the Employee Retirement Income Security Act of 1974 . Unfortunately the ability to cash out a retirement plan is very easy to do .</x:v>
      </x:c>
      <x:c r="I168" s="8" t="str">
        <x:v>retirement</x:v>
      </x:c>
      <x:c r="J168" s="8" t="str">
        <x:v>LOCKED_HOLDOUT_CANDIDATE</x:v>
      </x:c>
      <x:c r="K168" s="10" t="str"/>
      <x:c r="L168" s="12" t="str"/>
      <x:c r="M168" s="12" t="str"/>
      <x:c r="N168" s="12" t="str"/>
      <x:c r="O168" s="12" t="str"/>
      <x:c r="P168" s="12" t="str"/>
    </x:row>
    <x:row r="169">
      <x:c r="A169" s="8" t="str">
        <x:v>ext-iqa-fail-058</x:v>
      </x:c>
      <x:c r="B169" s="8" t="str">
        <x:v>insuranceqa</x:v>
      </x:c>
      <x:c r="C169" s="8" t="str">
        <x:v>data/benchmarks/qa/insuranceqa/data_insuranceqa_1000.jsonl</x:v>
      </x:c>
      <x:c r="D169" s="8" t="str">
        <x:v>insuranceqa:513</x:v>
      </x:c>
      <x:c r="E169" s="8" t="str"/>
      <x:c r="F169" s="10" t="str">
        <x:v>What Is The Best Critical Illness Insurance?</x:v>
      </x:c>
      <x:c r="G169" s="10" t="str">
        <x:v>Question: What Is The Best Critical Illness Insurance?
Answer: The best critical illness insurance is that which has the best features . Some things to look for are : 1 -RRB- How much of the benefit is paid for each illness , 2 -RRB- What is the special limitation period -LRB- how long you would have to wait before the policy would pay after issue -RRB- , 3 -RRB- How many illness are covered , 4 -RRB- Is the policy guaranteed renewable , 5 -RRB- How long is the premium guaranteed , 6 -RRB- Is there a reduction of benefits after a certain age , and 7 -RRB- Are riders offered -LRB- e.g. for accidental death -RRB- .</x:v>
      </x:c>
      <x:c r="H169" s="10" t="str">
        <x:v>The best critical illness insurance is that which has the best features . There is no one critical illness carrier or product that is the best option for all situations and all people .</x:v>
      </x:c>
      <x:c r="I169" s="8" t="str">
        <x:v>general_insurance</x:v>
      </x:c>
      <x:c r="J169" s="8" t="str">
        <x:v>LOCKED_HOLDOUT_CANDIDATE</x:v>
      </x:c>
      <x:c r="K169" s="10" t="str"/>
      <x:c r="L169" s="12" t="str"/>
      <x:c r="M169" s="12" t="str"/>
      <x:c r="N169" s="12" t="str"/>
      <x:c r="O169" s="12" t="str"/>
      <x:c r="P169" s="12" t="str"/>
    </x:row>
    <x:row r="170">
      <x:c r="A170" s="8" t="str">
        <x:v>ext-iqa-fail-059</x:v>
      </x:c>
      <x:c r="B170" s="8" t="str">
        <x:v>insuranceqa</x:v>
      </x:c>
      <x:c r="C170" s="8" t="str">
        <x:v>data/benchmarks/qa/insuranceqa/data_insuranceqa_1000.jsonl</x:v>
      </x:c>
      <x:c r="D170" s="8" t="str">
        <x:v>insuranceqa:166</x:v>
      </x:c>
      <x:c r="E170" s="8" t="str"/>
      <x:c r="F170" s="10" t="str">
        <x:v>What Is The Best Supplemental Insurance Plan For Medicare?</x:v>
      </x:c>
      <x:c r="G170" s="10" t="str">
        <x:v>Question: What Is The Best Supplemental Insurance Plan For Medicare?
Answer: You will define what is best based on your particular needs and budget . All Medicare supplemental insurance plans with the same letter are identical in every way except the premium , the decision is much easier . Medigap plan F is the most popular , mostly because it is oversold . Far too many agents promote the plan because it is easy to explain . Medicare supplement plan F is also the most expensive plan ... and the one that pays agents the highest commission . I recently showed a couple how they could save over $ 1700 per year by switching from their current plan -LRB- with a big name carrier -RRB- to a smaller , but reputable carrier . There is no reason to pay more for the same coverage , even if you are rolling in dough . #GeorgiaMedicarePlans</x:v>
      </x:c>
      <x:c r="H170" s="10" t="str">
        <x:v>You will define what is best based on your particular needs and budget . If you 're referring to Medicare Supplements , there is only one `` best '' ...</x:v>
      </x:c>
      <x:c r="I170" s="8" t="str">
        <x:v>health</x:v>
      </x:c>
      <x:c r="J170" s="8" t="str">
        <x:v>LOCKED_HOLDOUT_CANDIDATE</x:v>
      </x:c>
      <x:c r="K170" s="10" t="str"/>
      <x:c r="L170" s="12" t="str"/>
      <x:c r="M170" s="12" t="str"/>
      <x:c r="N170" s="12" t="str"/>
      <x:c r="O170" s="12" t="str"/>
      <x:c r="P170" s="12" t="str"/>
    </x:row>
    <x:row r="171">
      <x:c r="A171" s="8" t="str">
        <x:v>ext-iqa-fail-060</x:v>
      </x:c>
      <x:c r="B171" s="8" t="str">
        <x:v>insuranceqa</x:v>
      </x:c>
      <x:c r="C171" s="8" t="str">
        <x:v>data/benchmarks/qa/insuranceqa/data_insuranceqa_1000.jsonl</x:v>
      </x:c>
      <x:c r="D171" s="8" t="str">
        <x:v>insuranceqa:970</x:v>
      </x:c>
      <x:c r="E171" s="8" t="str"/>
      <x:c r="F171" s="10" t="str">
        <x:v>Why Is It So Hard To Sell Life Insurance?</x:v>
      </x:c>
      <x:c r="G171" s="10" t="str">
        <x:v>Question: Why Is It So Hard To Sell Life Insurance?
Answer: The vast majority of consumer centered advisers sell the appropriate life insurance product to meet the prospective purchasers personal suitability requirements . Providing good financial advice is not selling , it is more like a stewardship vocation or family consultant that uses the highest best practices in fiduciary trust . Product suitability trumps just selling a product .</x:v>
      </x:c>
      <x:c r="H171" s="10" t="str">
        <x:v>The vast majority of consumer centered advisers sell the appropriate life insurance product to meet the prospective purchasers personal suitability requirements . As an agent the best time to explain a whole life policy is when the person needs a permanent solution .</x:v>
      </x:c>
      <x:c r="I171" s="8" t="str">
        <x:v>life</x:v>
      </x:c>
      <x:c r="J171" s="8" t="str">
        <x:v>CALIBRATION</x:v>
      </x:c>
      <x:c r="K171" s="10" t="str"/>
      <x:c r="L171" s="12" t="str"/>
      <x:c r="M171" s="12" t="str"/>
      <x:c r="N171" s="12" t="str"/>
      <x:c r="O171" s="12" t="str"/>
      <x:c r="P171" s="12" t="str"/>
    </x:row>
    <x:row r="172">
      <x:c r="A172" s="8" t="str">
        <x:v>ext-iqa-fail-061</x:v>
      </x:c>
      <x:c r="B172" s="8" t="str">
        <x:v>insuranceqa</x:v>
      </x:c>
      <x:c r="C172" s="8" t="str">
        <x:v>data/benchmarks/qa/insuranceqa/data_insuranceqa_1000.jsonl</x:v>
      </x:c>
      <x:c r="D172" s="8" t="str">
        <x:v>insuranceqa:976</x:v>
      </x:c>
      <x:c r="E172" s="8" t="str"/>
      <x:c r="F172" s="10" t="str">
        <x:v>Does Nationwide Offer Renters Insurance?</x:v>
      </x:c>
      <x:c r="G172" s="10" t="str">
        <x:v>Question: Does Nationwide Offer Renters Insurance?
Answer: Yes , indeed Nationwide does offer Renters Insurance . We have represented Nationwide in Connecticut since 1985 and regularly discuss the need for Renters Insurance with our clients who have that sort of need . The coverage is comprehensive and we work to customize a plan to best suit our clients need for protection at a reasonable and affordable price .</x:v>
      </x:c>
      <x:c r="H172" s="10" t="str">
        <x:v>The supplied context does not contain enough information to answer this question.</x:v>
      </x:c>
      <x:c r="I172" s="8" t="str">
        <x:v>household</x:v>
      </x:c>
      <x:c r="J172" s="8" t="str">
        <x:v>LOCKED_HOLDOUT_CANDIDATE</x:v>
      </x:c>
      <x:c r="K172" s="10" t="str"/>
      <x:c r="L172" s="12" t="str"/>
      <x:c r="M172" s="12" t="str"/>
      <x:c r="N172" s="12" t="str"/>
      <x:c r="O172" s="12" t="str"/>
      <x:c r="P172" s="12" t="str"/>
    </x:row>
    <x:row r="173">
      <x:c r="A173" s="8" t="str">
        <x:v>ext-iqa-fail-062</x:v>
      </x:c>
      <x:c r="B173" s="8" t="str">
        <x:v>insuranceqa</x:v>
      </x:c>
      <x:c r="C173" s="8" t="str">
        <x:v>data/benchmarks/qa/insuranceqa/data_insuranceqa_1000.jsonl</x:v>
      </x:c>
      <x:c r="D173" s="8" t="str">
        <x:v>insuranceqa:454</x:v>
      </x:c>
      <x:c r="E173" s="8" t="str"/>
      <x:c r="F173" s="10" t="str">
        <x:v>Does Home Insurance Automatically Renew?</x:v>
      </x:c>
      <x:c r="G173" s="10" t="str">
        <x:v>Question: Does Home Insurance Automatically Renew?
Answer: Here in Connecticut , Homeowners ' Insurance policies are among those that continuously renew provided that your home continues to meet our insurance company 's underwriting guidelines as they have filed with the State Insurance Department . That having been said , is you fail to pay your premium , if the claims history becomes adverse or if you leave your home abandoned and vacant , The insurance company may non renew or mid term cancel .</x:v>
      </x:c>
      <x:c r="H173" s="10" t="str">
        <x:v>The supplied context does not contain enough information to answer this question.</x:v>
      </x:c>
      <x:c r="I173" s="8" t="str">
        <x:v>household</x:v>
      </x:c>
      <x:c r="J173" s="8" t="str">
        <x:v>CALIBRATION</x:v>
      </x:c>
      <x:c r="K173" s="10" t="str"/>
      <x:c r="L173" s="12" t="str"/>
      <x:c r="M173" s="12" t="str"/>
      <x:c r="N173" s="12" t="str"/>
      <x:c r="O173" s="12" t="str"/>
      <x:c r="P173" s="12" t="str"/>
    </x:row>
    <x:row r="174">
      <x:c r="A174" s="8" t="str">
        <x:v>ext-iqa-fail-063</x:v>
      </x:c>
      <x:c r="B174" s="8" t="str">
        <x:v>insuranceqa</x:v>
      </x:c>
      <x:c r="C174" s="8" t="str">
        <x:v>data/benchmarks/qa/insuranceqa/data_insuranceqa_1000.jsonl</x:v>
      </x:c>
      <x:c r="D174" s="8" t="str">
        <x:v>insuranceqa:890</x:v>
      </x:c>
      <x:c r="E174" s="8" t="str"/>
      <x:c r="F174" s="10" t="str">
        <x:v>How Much Does Long Term Care Insurance Cover?</x:v>
      </x:c>
      <x:c r="G174" s="10" t="str">
        <x:v>Question: How Much Does Long Term Care Insurance Cover?
Answer: A quality long-term care insurance policy from a well-capitalized , highly rated insurance company will include at least the following : Facility careHome care Domestic care -LRB- housework , yard work , cleaning chores -RRB- Assisted living or residential living careAdult Day CareRespite care -LRB- time off for the primary family care giver -RRB- Home modifications so that insured can stay at home for as long as possible , the costs of which are not deducted from the pool of money available for daily care.There may be additional coverage offered by the carrier . Ask to see a `` specimen policy '' for the exact language of the benefits , features , and riders of the policy you are considering . Look for language that takes into account the possibility of future medical or technological advances that may become available but which are not yet known or invented yet . For example , `` assisted living '' facilities were not even available 25 years ago , but , people that bought quality policies before that time with contract language that allowed for future developments in the field of elder care are now in such facilities and being paid for those expenses .</x:v>
      </x:c>
      <x:c r="H174" s="10" t="str">
        <x:v>The supplied context does not contain enough information to answer this question.</x:v>
      </x:c>
      <x:c r="I174" s="8" t="str">
        <x:v>general_insurance</x:v>
      </x:c>
      <x:c r="J174" s="8" t="str">
        <x:v>VALIDATION</x:v>
      </x:c>
      <x:c r="K174" s="10" t="str"/>
      <x:c r="L174" s="12" t="str"/>
      <x:c r="M174" s="12" t="str"/>
      <x:c r="N174" s="12" t="str"/>
      <x:c r="O174" s="12" t="str"/>
      <x:c r="P174" s="12" t="str"/>
    </x:row>
    <x:row r="175">
      <x:c r="A175" s="8" t="str">
        <x:v>ext-iqa-fail-064</x:v>
      </x:c>
      <x:c r="B175" s="8" t="str">
        <x:v>insuranceqa</x:v>
      </x:c>
      <x:c r="C175" s="8" t="str">
        <x:v>data/benchmarks/qa/insuranceqa/data_insuranceqa_1000.jsonl</x:v>
      </x:c>
      <x:c r="D175" s="8" t="str">
        <x:v>insuranceqa:137</x:v>
      </x:c>
      <x:c r="E175" s="8" t="str"/>
      <x:c r="F175" s="10" t="str">
        <x:v>Why Get Critical Illness Insurance?</x:v>
      </x:c>
      <x:c r="G175" s="10" t="str">
        <x:v>Question: Why Get Critical Illness Insurance?
Answer: A Critical care policy pays you not the Doctor or Hospital , in the event of an critical illness , such as a heart attack , stroke , major organ failure , Cancer , loss of the inability to perform 2 Activities of Daily Living . The likely hood if you were to suffer a heart attack , stroke , cancer or the like is that you will likely survive . The bills , mortgage , utilities , &amp; such do not stop because you are ill . The money can also be used to offset health insurance copay 's , time off work , second opinion , or anything else . Face amounts usually run any where from $ 4,000.00 to $ 500,000.00 lump sum . Some policies offer a Return of Premium , meaning if you never use the insurance , your estate will receive 100 % of the premium back . HBWavp@gmail.com</x:v>
      </x:c>
      <x:c r="H175" s="10" t="str">
        <x:v>The supplied context does not contain enough information to answer this question.</x:v>
      </x:c>
      <x:c r="I175" s="8" t="str">
        <x:v>general_insurance</x:v>
      </x:c>
      <x:c r="J175" s="8" t="str">
        <x:v>LOCKED_HOLDOUT_CANDIDATE</x:v>
      </x:c>
      <x:c r="K175" s="10" t="str"/>
      <x:c r="L175" s="12" t="str"/>
      <x:c r="M175" s="12" t="str"/>
      <x:c r="N175" s="12" t="str"/>
      <x:c r="O175" s="12" t="str"/>
      <x:c r="P175" s="12" t="str"/>
    </x:row>
    <x:row r="176">
      <x:c r="A176" s="8" t="str">
        <x:v>ext-iqa-fail-065</x:v>
      </x:c>
      <x:c r="B176" s="8" t="str">
        <x:v>insuranceqa</x:v>
      </x:c>
      <x:c r="C176" s="8" t="str">
        <x:v>data/benchmarks/qa/insuranceqa/data_insuranceqa_1000.jsonl</x:v>
      </x:c>
      <x:c r="D176" s="8" t="str">
        <x:v>insuranceqa:875</x:v>
      </x:c>
      <x:c r="E176" s="8" t="str"/>
      <x:c r="F176" s="10" t="str">
        <x:v>Can You Visit A Doctor Without Health Insurance?</x:v>
      </x:c>
      <x:c r="G176" s="10" t="str">
        <x:v>Question: Can You Visit A Doctor Without Health Insurance?
Answer: Unless there is legislative restrictions that I am unaware of you can see a doctor without health insurance . If you do see a doctor and you do not have health insurance you will be expected to pay the full cost of the visit out of your own pocket though . This can be very costly .</x:v>
      </x:c>
      <x:c r="H176" s="10" t="str">
        <x:v>The supplied context does not contain enough information to answer this question.</x:v>
      </x:c>
      <x:c r="I176" s="8" t="str">
        <x:v>health</x:v>
      </x:c>
      <x:c r="J176" s="8" t="str">
        <x:v>VALIDATION</x:v>
      </x:c>
      <x:c r="K176" s="10" t="str"/>
      <x:c r="L176" s="12" t="str"/>
      <x:c r="M176" s="12" t="str"/>
      <x:c r="N176" s="12" t="str"/>
      <x:c r="O176" s="12" t="str"/>
      <x:c r="P176" s="12" t="str"/>
    </x:row>
    <x:row r="177">
      <x:c r="A177" s="8" t="str">
        <x:v>ext-iqa-fail-066</x:v>
      </x:c>
      <x:c r="B177" s="8" t="str">
        <x:v>insuranceqa</x:v>
      </x:c>
      <x:c r="C177" s="8" t="str">
        <x:v>data/benchmarks/qa/insuranceqa/data_insuranceqa_1000.jsonl</x:v>
      </x:c>
      <x:c r="D177" s="8" t="str">
        <x:v>insuranceqa:582</x:v>
      </x:c>
      <x:c r="E177" s="8" t="str"/>
      <x:c r="F177" s="10" t="str">
        <x:v>What Are The Current Interest Rates On Annuities?</x:v>
      </x:c>
      <x:c r="G177" s="10" t="str">
        <x:v>Question: What Are The Current Interest Rates On Annuities?
Answer: The Current Fixed Interest Rates on Annuities average 2.95 % for 5 years , 3.25 % for 10 years . The rates can change quickly so always call your annuity distributor before using any quotes including these quotes . Most advisers are selling 5 year fixed with an expectation that rates are going to rise in the future . The 35 basis point spread between the 5 and 10 year rate is not enough go long .</x:v>
      </x:c>
      <x:c r="H177" s="10" t="str">
        <x:v>The supplied context does not contain enough information to answer this question.</x:v>
      </x:c>
      <x:c r="I177" s="8" t="str">
        <x:v>general_insurance</x:v>
      </x:c>
      <x:c r="J177" s="8" t="str">
        <x:v>CALIBRATION</x:v>
      </x:c>
      <x:c r="K177" s="10" t="str"/>
      <x:c r="L177" s="12" t="str"/>
      <x:c r="M177" s="12" t="str"/>
      <x:c r="N177" s="12" t="str"/>
      <x:c r="O177" s="12" t="str"/>
      <x:c r="P177" s="12" t="str"/>
    </x:row>
    <x:row r="178">
      <x:c r="A178" s="8" t="str">
        <x:v>ext-iqa-fail-067</x:v>
      </x:c>
      <x:c r="B178" s="8" t="str">
        <x:v>insuranceqa</x:v>
      </x:c>
      <x:c r="C178" s="8" t="str">
        <x:v>data/benchmarks/qa/insuranceqa/data_insuranceqa_1000.jsonl</x:v>
      </x:c>
      <x:c r="D178" s="8" t="str">
        <x:v>insuranceqa:771</x:v>
      </x:c>
      <x:c r="E178" s="8" t="str"/>
      <x:c r="F178" s="10" t="str">
        <x:v>How Does Car Insurance Value Totaled Car?</x:v>
      </x:c>
      <x:c r="G178" s="10" t="str">
        <x:v>Question: How Does Car Insurance Value Totaled Car?
Answer: A car insurance company will generally provide you with the value of your car - - pre wreck . A car insurance company will typically take a look at similar vehicles and how much they are selling for in your area . They may also take a look at the Kelly Blue Book Value .</x:v>
      </x:c>
      <x:c r="H178" s="10" t="str">
        <x:v>The supplied context does not contain enough information to answer this question.</x:v>
      </x:c>
      <x:c r="I178" s="8" t="str">
        <x:v>motor</x:v>
      </x:c>
      <x:c r="J178" s="8" t="str">
        <x:v>VALIDATION</x:v>
      </x:c>
      <x:c r="K178" s="10" t="str"/>
      <x:c r="L178" s="12" t="str"/>
      <x:c r="M178" s="12" t="str"/>
      <x:c r="N178" s="12" t="str"/>
      <x:c r="O178" s="12" t="str"/>
      <x:c r="P178" s="12" t="str"/>
    </x:row>
    <x:row r="179">
      <x:c r="A179" s="8" t="str">
        <x:v>ext-iqa-fail-068</x:v>
      </x:c>
      <x:c r="B179" s="8" t="str">
        <x:v>insuranceqa</x:v>
      </x:c>
      <x:c r="C179" s="8" t="str">
        <x:v>data/benchmarks/qa/insuranceqa/data_insuranceqa_1000.jsonl</x:v>
      </x:c>
      <x:c r="D179" s="8" t="str">
        <x:v>insuranceqa:988</x:v>
      </x:c>
      <x:c r="E179" s="8" t="str"/>
      <x:c r="F179" s="10" t="str">
        <x:v>What Is A Group Universal Life Insurance Policy?</x:v>
      </x:c>
      <x:c r="G179" s="10" t="str">
        <x:v>Question: What Is A Group Universal Life Insurance Policy?
Answer: Group universal life is similar to individual universal life . Group policies involve the plan sponsor , often an employer , holding the master policy while the individual participants receive a certificate of insurance . It is a convenient and voluntary way to acquire cash value life insurance through the workplace . Usually the employee pays all premiums in which case all benefits would be immediately and fully vested . At employment termination portability features in these products generally allow for coverage to be taken by the participant as an individual policy .</x:v>
      </x:c>
      <x:c r="H179" s="10" t="str">
        <x:v>The supplied context does not contain enough information to answer this question.</x:v>
      </x:c>
      <x:c r="I179" s="8" t="str">
        <x:v>life</x:v>
      </x:c>
      <x:c r="J179" s="8" t="str">
        <x:v>VALIDATION</x:v>
      </x:c>
      <x:c r="K179" s="10" t="str"/>
      <x:c r="L179" s="12" t="str"/>
      <x:c r="M179" s="12" t="str"/>
      <x:c r="N179" s="12" t="str"/>
      <x:c r="O179" s="12" t="str"/>
      <x:c r="P179" s="12" t="str"/>
    </x:row>
    <x:row r="180">
      <x:c r="A180" s="8" t="str">
        <x:v>ext-iqa-fail-069</x:v>
      </x:c>
      <x:c r="B180" s="8" t="str">
        <x:v>insuranceqa</x:v>
      </x:c>
      <x:c r="C180" s="8" t="str">
        <x:v>data/benchmarks/qa/insuranceqa/data_insuranceqa_1000.jsonl</x:v>
      </x:c>
      <x:c r="D180" s="8" t="str">
        <x:v>insuranceqa:856</x:v>
      </x:c>
      <x:c r="E180" s="8" t="str"/>
      <x:c r="F180" s="10" t="str">
        <x:v>Can Group Health Insurance Deny Pregnancy?</x:v>
      </x:c>
      <x:c r="G180" s="10" t="str">
        <x:v>Question: Can Group Health Insurance Deny Pregnancy?
Answer: For all practical purposes the answer should be `` No '' . The Affordable Care Act -LRB- ObamaCare -RRB- requires coverage for maternity and newborn care to be covered as any other illness under its Minimum Essential Benefits requirements . Also , the Affordable Care Act forbids the application of pre-existing conditions exclusions or waiting periods to health insurance policies . During the last open enrolment period I enrolled a couple of previously uninsured women who were pregnant in the new ObamaCare compliant individual health plans offered in our state and they were covered immediately and had their delivery &amp; other associated expenses covered . These same people would have been declined for coverage due to their pregnancies being defined as pre-existing conditions before January 1 , 2014 .</x:v>
      </x:c>
      <x:c r="H180" s="10" t="str">
        <x:v>The supplied context does not contain enough information to answer this question.</x:v>
      </x:c>
      <x:c r="I180" s="8" t="str">
        <x:v>health</x:v>
      </x:c>
      <x:c r="J180" s="8" t="str">
        <x:v>LOCKED_HOLDOUT_CANDIDATE</x:v>
      </x:c>
      <x:c r="K180" s="10" t="str"/>
      <x:c r="L180" s="12" t="str"/>
      <x:c r="M180" s="12" t="str"/>
      <x:c r="N180" s="12" t="str"/>
      <x:c r="O180" s="12" t="str"/>
      <x:c r="P180" s="12" t="str"/>
    </x:row>
    <x:row r="181">
      <x:c r="A181" s="8" t="str">
        <x:v>ext-iqa-fail-070</x:v>
      </x:c>
      <x:c r="B181" s="8" t="str">
        <x:v>insuranceqa</x:v>
      </x:c>
      <x:c r="C181" s="8" t="str">
        <x:v>data/benchmarks/qa/insuranceqa/data_insuranceqa_1000.jsonl</x:v>
      </x:c>
      <x:c r="D181" s="8" t="str">
        <x:v>insuranceqa:564</x:v>
      </x:c>
      <x:c r="E181" s="8" t="str"/>
      <x:c r="F181" s="10" t="str">
        <x:v>How Can I Cancel Medicare Part B?</x:v>
      </x:c>
      <x:c r="G181" s="10" t="str">
        <x:v>Question: How Can I Cancel Medicare Part B?
Answer: You can call 1-800-MEDICARE . I highly discourage it however unless you have an employer group plan . You can be penalized by Medicare for every month that you do not carry Part B that you are eligible . If you are in a Medicare Advantage Plan you will be disenrolled because you must have part B to be enrolled in a Medicare Advantage . Not a good idea to cancel your part B . The potential cost over what you would save could be tremendous .</x:v>
      </x:c>
      <x:c r="H181" s="10" t="str">
        <x:v>The supplied context does not contain enough information to answer this question.</x:v>
      </x:c>
      <x:c r="I181" s="8" t="str">
        <x:v>health</x:v>
      </x:c>
      <x:c r="J181" s="8" t="str">
        <x:v>LOCKED_HOLDOUT_CANDIDATE</x:v>
      </x:c>
      <x:c r="K181" s="10" t="str"/>
      <x:c r="L181" s="12" t="str"/>
      <x:c r="M181" s="12" t="str"/>
      <x:c r="N181" s="12" t="str"/>
      <x:c r="O181" s="12" t="str"/>
      <x:c r="P181" s="12" t="str"/>
    </x:row>
    <x:row r="182">
      <x:c r="A182" s="8" t="str">
        <x:v>ext-iqa-fail-071</x:v>
      </x:c>
      <x:c r="B182" s="8" t="str">
        <x:v>insuranceqa</x:v>
      </x:c>
      <x:c r="C182" s="8" t="str">
        <x:v>data/benchmarks/qa/insuranceqa/data_insuranceqa_1000.jsonl</x:v>
      </x:c>
      <x:c r="D182" s="8" t="str">
        <x:v>insuranceqa:883</x:v>
      </x:c>
      <x:c r="E182" s="8" t="str"/>
      <x:c r="F182" s="10" t="str">
        <x:v>How Much Should Health Insurance Cost?</x:v>
      </x:c>
      <x:c r="G182" s="10" t="str">
        <x:v>Question: How Much Should Health Insurance Cost?
Answer: How much you should be paying is a hard figure to try and quantify . The average cost in the country for a health insurance plan is $ 328 per month - however , this is only reflective upon a silver level plan -LRB- not all 2014 state figure averages are available yet -RRB- . While you can try to come up with an `` average '' cost , there 's too many factors that go into premium pricing to say how in relation that compares to you . In short , an `` average '' premium is a rather useless figure to the individual . It 's only representative to a large group - you could have people paying a small nominal amount -LRB- after factoring in subsidies -RRB- per month to several thousand dollars per month . Even for that there 's a ton of information to sift through to get an accurate representation . Under the Affordable Care Act , you have the options for bronze , silver , gold , and platinum level plans -LRB- as you go up in metal , the price goes up , but provides better benefits -RRB- - some areas also have a catastrophic plan available . In addition , your age is a big factor as well . The younger you are , the cheaper your premium - the older you are , the higher your premium . Also , if you use tobacco products , your premium can be increased up to 50 % as well . You may be able to qualify for a subsidy that can be used to reduce the cost of your health insurance premiums . I always recommend consulting with an experienced broker . We can help you determine the plan that 's going to be most suitable for your needs and budget . Please feel free to contact me for further assistance . Thanks very much .</x:v>
      </x:c>
      <x:c r="H182" s="10" t="str">
        <x:v>How much you should be paying is a hard figure to try and quantify . The average cost in the country for a health insurance plan is $ 328 per month - however , this is only reflective upon a silver level plan -LRB- not all 2014 state figure averages are available yet -RRB- . While you can try to come up with an `` average '' cost , there 's too many factors that go into premium pricing to say how in relation that compares to you . In short , an `` average '' premium is a rather useless figure to the individual . It 's only representative to a large group - you could have people paying a small nominal amount -LRB- after factoring in subsidies -RRB- per month to several thousand dollars per month . Even for that there 's a ton of information to sift through to get an accurate representation . Under the Affordable Care Act , you have the options for bronze , silver , gold , and platinum level plans -LRB- as you go up in metal , the price goes up , but provides better benefits -RRB- - some areas also have a catastrophic plan available . In addition , your age is a big factor as well . The younger you are , the cheaper your premium - the older you are , the higher your premium . Also , if you use tobacco products , your premium can be increased up to 60 % as well . You may be able to qualify for a subsidy that can be used to reduce the cost of your health insurance premiums . I always recommend consulting with an experienced broker . We can help you determine the plan that 's going to be most suitable for your needs and budget . Please feel free to contact me for further assistance . Thanks very much .</x:v>
      </x:c>
      <x:c r="I182" s="8" t="str">
        <x:v>health</x:v>
      </x:c>
      <x:c r="J182" s="8" t="str">
        <x:v>CALIBRATION</x:v>
      </x:c>
      <x:c r="K182" s="10" t="str"/>
      <x:c r="L182" s="12" t="str"/>
      <x:c r="M182" s="12" t="str"/>
      <x:c r="N182" s="12" t="str"/>
      <x:c r="O182" s="12" t="str"/>
      <x:c r="P182" s="12" t="str"/>
    </x:row>
    <x:row r="183">
      <x:c r="A183" s="8" t="str">
        <x:v>ext-iqa-fail-072</x:v>
      </x:c>
      <x:c r="B183" s="8" t="str">
        <x:v>insuranceqa</x:v>
      </x:c>
      <x:c r="C183" s="8" t="str">
        <x:v>data/benchmarks/qa/insuranceqa/data_insuranceqa_1000.jsonl</x:v>
      </x:c>
      <x:c r="D183" s="8" t="str">
        <x:v>insuranceqa:408</x:v>
      </x:c>
      <x:c r="E183" s="8" t="str"/>
      <x:c r="F183" s="10" t="str">
        <x:v>Does Medicare Cover Breast Ultrasounds?</x:v>
      </x:c>
      <x:c r="G183" s="10" t="str">
        <x:v>Question: Does Medicare Cover Breast Ultrasounds?
Answer: Ultrasounds are covered under Medicare . If they 're completed as an inpatient in a hospital , it would be covered by Part A . If they 're completed on an outpatient basis , it would be covered under Part B. Medicare typically pays for about 80 % of the expenses - you would be responsible for paying the other 20 % . A Medicare supplement policy can help pay the remaining 20 % .</x:v>
      </x:c>
      <x:c r="H183" s="10" t="str">
        <x:v>Ultrasounds are covered under Medicare . If they 're completed as an inpatient in a hospital , it would be covered by Part A . If they 're completed on an outpatient basis , it would be covered under Part B. Medicare typically pays for about 90 % of the expenses - you would be responsible for paying the other 20 % . A Medicare supplement policy can help pay the remaining 20 % .</x:v>
      </x:c>
      <x:c r="I183" s="8" t="str">
        <x:v>health</x:v>
      </x:c>
      <x:c r="J183" s="8" t="str">
        <x:v>CALIBRATION</x:v>
      </x:c>
      <x:c r="K183" s="10" t="str"/>
      <x:c r="L183" s="12" t="str"/>
      <x:c r="M183" s="12" t="str"/>
      <x:c r="N183" s="12" t="str"/>
      <x:c r="O183" s="12" t="str"/>
      <x:c r="P183" s="12" t="str"/>
    </x:row>
    <x:row r="184">
      <x:c r="A184" s="8" t="str">
        <x:v>ext-iqa-fail-073</x:v>
      </x:c>
      <x:c r="B184" s="8" t="str">
        <x:v>insuranceqa</x:v>
      </x:c>
      <x:c r="C184" s="8" t="str">
        <x:v>data/benchmarks/qa/insuranceqa/data_insuranceqa_1000.jsonl</x:v>
      </x:c>
      <x:c r="D184" s="8" t="str">
        <x:v>insuranceqa:847</x:v>
      </x:c>
      <x:c r="E184" s="8" t="str"/>
      <x:c r="F184" s="10" t="str">
        <x:v>How To Keep Health Insurance Between Jobs?</x:v>
      </x:c>
      <x:c r="G184" s="10" t="str">
        <x:v>Question: How To Keep Health Insurance Between Jobs?
Answer: How to keep health insurance between jobs ? if your employer is large enough -LRB- 20 people at work on a given day -RRB- you have an option for COBRA continuation which means you can continue your group coverage for up to 18 months or longer -LRB- depending on certain conditions -RRB- at your expense plus a small handling charge -LRB- 102 % of premium cost -RRB- . If you find that cost to be too much for your budget , you can look to both the individual market or temporary health insurance market for possible solutions . You may not get exactly the same coverage as offered by your former employer , but the cost might be considerably less .</x:v>
      </x:c>
      <x:c r="H184" s="10" t="str">
        <x:v>How to keep health insurance between jobs ? if your employer is large enough -LRB- 20 people at work on a given day -RRB- you have an option for COBRA continuation which means you can continue your group coverage for up to 18 months or longer -LRB- depending on certain conditions -RRB- at your expense plus a small handling charge -LRB- 92 % of premium cost -RRB- . If you find that cost to be too much for your budget , you can look to both the individual market or temporary health insurance market for possible solutions . You may not get exactly the same coverage as offered by your former employer , but the cost might be considerably less .</x:v>
      </x:c>
      <x:c r="I184" s="8" t="str">
        <x:v>health</x:v>
      </x:c>
      <x:c r="J184" s="8" t="str">
        <x:v>LOCKED_HOLDOUT_CANDIDATE</x:v>
      </x:c>
      <x:c r="K184" s="10" t="str"/>
      <x:c r="L184" s="12" t="str"/>
      <x:c r="M184" s="12" t="str"/>
      <x:c r="N184" s="12" t="str"/>
      <x:c r="O184" s="12" t="str"/>
      <x:c r="P184" s="12" t="str"/>
    </x:row>
    <x:row r="185">
      <x:c r="A185" s="8" t="str">
        <x:v>ext-iqa-fail-074</x:v>
      </x:c>
      <x:c r="B185" s="8" t="str">
        <x:v>insuranceqa</x:v>
      </x:c>
      <x:c r="C185" s="8" t="str">
        <x:v>data/benchmarks/qa/insuranceqa/data_insuranceqa_1000.jsonl</x:v>
      </x:c>
      <x:c r="D185" s="8" t="str">
        <x:v>insuranceqa:635</x:v>
      </x:c>
      <x:c r="E185" s="8" t="str"/>
      <x:c r="F185" s="10" t="str">
        <x:v>Does Homeowners Insurance Cover Property During Move?</x:v>
      </x:c>
      <x:c r="G185" s="10" t="str">
        <x:v>Question: Does Homeowners Insurance Cover Property During Move?
Answer: The personal property covered under a homeowners policy is covered at full value in a new home for 30 days under most circumstances . However , the limit of coverage is only 10 % of the normal personal property limit while the property is outside the old residence and not in the new . If you are planning a move , contact your insurance agent for advice on how to minimize your exposure and provide adequate protection for your property .</x:v>
      </x:c>
      <x:c r="H185" s="10" t="str">
        <x:v>The personal property covered under a homeowners policy is covered at full value in a new home for 30 days under most circumstances . However , the limit of coverage is only 20 % of the normal personal property limit while the property is outside the old residence and not in the new . If you are planning a move , contact your insurance agent for advice on how to minimize your exposure and provide adequate protection for your property .</x:v>
      </x:c>
      <x:c r="I185" s="8" t="str">
        <x:v>household</x:v>
      </x:c>
      <x:c r="J185" s="8" t="str">
        <x:v>VALIDATION</x:v>
      </x:c>
      <x:c r="K185" s="10" t="str"/>
      <x:c r="L185" s="12" t="str"/>
      <x:c r="M185" s="12" t="str"/>
      <x:c r="N185" s="12" t="str"/>
      <x:c r="O185" s="12" t="str"/>
      <x:c r="P185" s="12" t="str"/>
    </x:row>
    <x:row r="186">
      <x:c r="A186" s="8" t="str">
        <x:v>ext-iqa-fail-075</x:v>
      </x:c>
      <x:c r="B186" s="8" t="str">
        <x:v>insuranceqa</x:v>
      </x:c>
      <x:c r="C186" s="8" t="str">
        <x:v>data/benchmarks/qa/insuranceqa/data_insuranceqa_1000.jsonl</x:v>
      </x:c>
      <x:c r="D186" s="8" t="str">
        <x:v>insuranceqa:384</x:v>
      </x:c>
      <x:c r="E186" s="8" t="str"/>
      <x:c r="F186" s="10" t="str">
        <x:v>What Is Extended Coverage Homeowners Insurance?</x:v>
      </x:c>
      <x:c r="G186" s="10" t="str">
        <x:v>Question: What Is Extended Coverage Homeowners Insurance?
Answer: Different companies and different states have different nomenclature for coverages . What this typically means is limit that coverage extends to another higher limit in the event of a total loss exceeding the Coverage A -LRB- homeowner Dwelling limit -RRB- . If you have a replacement value of say 400,000 on the house , then the maximum that would normally be paid for replacing the house would be $ 400,000 . But setting the value of replacement is not exact science and is also a moving target . If your home is destroyed by a fire it may be possible to rebuild within that 400,000 limit . But suppose the the city you live in is ripped apart by a tornado . Now there could be escalating costs of material and labor . What the extension does is give you an extension to another limit if needed . The extensions are usually sold in percentage increments such as 25 % ,50 % or even 100 % . So , back to the 400,000 coverage on the house . If 25 % extension then the limit of coverage is increased to a maximum of 500,000 -LRB- 400,000 X 1.25 -RRB- I hope that helps . If you live in one of the following states I would be glad to assist you : AZ , CA , MO , TX and GA. -LRB- call 1.866-933-4372 -RRB- otherwise seek out an Independent agent in your area who represents sever companies . Jack Heller , CPCU</x:v>
      </x:c>
      <x:c r="H186" s="10" t="str">
        <x:v>Different companies and different states have different nomenclature for coverages . What this typically means is limit that coverage extends to another higher limit in the event of a total loss exceeding the Coverage A -LRB- homeowner Dwelling limit -RRB- . If you have a replacement value of say 400,000 on the house , then the maximum that would normally be paid for replacing the house would be $ 400,000 . But setting the value of replacement is not exact science and is also a moving target . If your home is destroyed by a fire it may be possible to rebuild within that 400,000 limit . But suppose the the city you live in is ripped apart by a tornado . Now there could be escalating costs of material and labor . What the extension does is give you an extension to another limit if needed . The extensions are usually sold in percentage increments such as 35 % ,50 % or even 100 % . So , back to the 400,000 coverage on the house . If 25 % extension then the limit of coverage is increased to a maximum of 500,000 -LRB- 400,000 X 1.25 -RRB- I hope that helps . If you live in one of the following states I would be glad to assist you : AZ , CA , MO , TX and GA. -LRB- call 1.866-933-4372 -RRB- otherwise seek out an Independent agent in your area who represents sever companies . Jack Heller , CPCU</x:v>
      </x:c>
      <x:c r="I186" s="8" t="str">
        <x:v>general_insurance</x:v>
      </x:c>
      <x:c r="J186" s="8" t="str">
        <x:v>VALIDATION</x:v>
      </x:c>
      <x:c r="K186" s="10" t="str"/>
      <x:c r="L186" s="12" t="str"/>
      <x:c r="M186" s="12" t="str"/>
      <x:c r="N186" s="12" t="str"/>
      <x:c r="O186" s="12" t="str"/>
      <x:c r="P186" s="12" t="str"/>
    </x:row>
    <x:row r="187">
      <x:c r="A187" s="8" t="str">
        <x:v>ext-iqa-fail-076</x:v>
      </x:c>
      <x:c r="B187" s="8" t="str">
        <x:v>insuranceqa</x:v>
      </x:c>
      <x:c r="C187" s="8" t="str">
        <x:v>data/benchmarks/qa/insuranceqa/data_insuranceqa_1000.jsonl</x:v>
      </x:c>
      <x:c r="D187" s="8" t="str">
        <x:v>insuranceqa:735</x:v>
      </x:c>
      <x:c r="E187" s="8" t="str"/>
      <x:c r="F187" s="10" t="str">
        <x:v>Why Is A 401K Loan A Bad Idea?</x:v>
      </x:c>
      <x:c r="G187" s="10" t="str">
        <x:v>Question: Why Is A 401K Loan A Bad Idea?
Answer: That is a great question ! There are some reasons why taking a loan out of your 401k might not be the best option . Before doing so , please consult your plan administrator and be certain to understand the rules for your particular plan . The first reason is that you may lose the ability to contribute to your fund while your loan is outstanding . Some companies will disallow contributions or matches until the loan is repaid . That can seriously derail your long term growth potential of your plan . Other companies will deduct the loan payments from your check , reducing your flexibility with other payments . The second reason is that you lose your tax sheltered advantage . The interest that you are paying yourself on the loan -LRB- you are both borrower and lender in the transaction -RRB- is considered a taxable income by the IRS , and reduces your returns . It 's also possible that the opportunity cost of having invested that repaid interest could be more than what you 'd make having used it in an investment . The third reason is that if you were to God forbid lose your job , the loan amount is repayable within 60 days . If that is n't done , you are subject to a 10 % penalty on the balance , -LRB- if you 're under 59 1/2 -RRB- and are due for whatever State and Federal taxes apply , as it is no longer considered a loan , but an early withdrawal . An alternative to consider might be a home equity line of credit , if the interest rates and your equity allow . Some things to consider . Again , I 'd advise you to speak with your plan administrator and see exactly what your plan rules are . Thanks for asking !</x:v>
      </x:c>
      <x:c r="H187" s="10" t="str">
        <x:v>That is a great question ! There are some reasons why taking a loan out of your 401k might not be the best option . Before doing so , please consult your plan administrator and be certain to understand the rules for your particular plan . The first reason is that you may lose the ability to contribute to your fund while your loan is outstanding . Some companies will disallow contributions or matches until the loan is repaid . That can seriously derail your long term growth potential of your plan . Other companies will deduct the loan payments from your check , reducing your flexibility with other payments . The second reason is that you lose your tax sheltered advantage . The interest that you are paying yourself on the loan -LRB- you are both borrower and lender in the transaction -RRB- is considered a taxable income by the IRS , and reduces your returns . It 's also possible that the opportunity cost of having invested that repaid interest could be more than what you 'd make having used it in an investment . The third reason is that if you were to God forbid lose your job , the loan amount is repayable within 60 days . If that is n't done , you are subject to a 20 % penalty on the balance , -LRB- if you 're under 59 1/2 -RRB- and are due for whatever State and Federal taxes apply , as it is no longer considered a loan , but an early withdrawal . An alternative to consider might be a home equity line of credit , if the interest rates and your equity allow . Some things to consider . Again , I 'd advise you to speak with your plan administrator and see exactly what your plan rules are . Thanks for asking !</x:v>
      </x:c>
      <x:c r="I187" s="8" t="str">
        <x:v>retirement</x:v>
      </x:c>
      <x:c r="J187" s="8" t="str">
        <x:v>VALIDATION</x:v>
      </x:c>
      <x:c r="K187" s="10" t="str"/>
      <x:c r="L187" s="12" t="str"/>
      <x:c r="M187" s="12" t="str"/>
      <x:c r="N187" s="12" t="str"/>
      <x:c r="O187" s="12" t="str"/>
      <x:c r="P187" s="12" t="str"/>
    </x:row>
    <x:row r="188">
      <x:c r="A188" s="8" t="str">
        <x:v>ext-iqa-fail-077</x:v>
      </x:c>
      <x:c r="B188" s="8" t="str">
        <x:v>insuranceqa</x:v>
      </x:c>
      <x:c r="C188" s="8" t="str">
        <x:v>data/benchmarks/qa/insuranceqa/data_insuranceqa_1000.jsonl</x:v>
      </x:c>
      <x:c r="D188" s="8" t="str">
        <x:v>insuranceqa:862</x:v>
      </x:c>
      <x:c r="E188" s="8" t="str"/>
      <x:c r="F188" s="10" t="str">
        <x:v>Where Do Health Insurance Companies Get Their Money?</x:v>
      </x:c>
      <x:c r="G188" s="10" t="str">
        <x:v>Question: Where Do Health Insurance Companies Get Their Money?
Answer: Health insurance companies earn their money in basically two ways . First , they collect premiums from people who buy health insurance with goal of paying out less in claims than they collect . For example under the new Affordable Care Act insurance carriers have to spend 80-85 % of their premiums in health care with the remaining 15-20 % for overhead anda small profit . The second way insruance compaies earnincome is from investing their reserves in marketable sercurities , bonds and real estate . Carriers need to maintain reserves for financial stability and based on government regulations .</x:v>
      </x:c>
      <x:c r="H188" s="10" t="str">
        <x:v>Health insurance companies earn their money in basically two ways . First , they collect premiums from people who buy health insurance with goal of paying out less in claims than they collect . For example under the new Affordable Care Act insurance carriers have to spend 80-95 % of their premiums in health care with the remaining 15-20 % for overhead anda small profit . The second way insruance compaies earnincome is from investing their reserves in marketable sercurities , bonds and real estate . Carriers need to maintain reserves for financial stability and based on government regulations .</x:v>
      </x:c>
      <x:c r="I188" s="8" t="str">
        <x:v>health</x:v>
      </x:c>
      <x:c r="J188" s="8" t="str">
        <x:v>LOCKED_HOLDOUT_CANDIDATE</x:v>
      </x:c>
      <x:c r="K188" s="10" t="str"/>
      <x:c r="L188" s="12" t="str"/>
      <x:c r="M188" s="12" t="str"/>
      <x:c r="N188" s="12" t="str"/>
      <x:c r="O188" s="12" t="str"/>
      <x:c r="P188" s="12" t="str"/>
    </x:row>
    <x:row r="189">
      <x:c r="A189" s="8" t="str">
        <x:v>ext-iqa-fail-078</x:v>
      </x:c>
      <x:c r="B189" s="8" t="str">
        <x:v>insuranceqa</x:v>
      </x:c>
      <x:c r="C189" s="8" t="str">
        <x:v>data/benchmarks/qa/insuranceqa/data_insuranceqa_1000.jsonl</x:v>
      </x:c>
      <x:c r="D189" s="8" t="str">
        <x:v>insuranceqa:387</x:v>
      </x:c>
      <x:c r="E189" s="8" t="str"/>
      <x:c r="F189" s="10" t="str">
        <x:v>What Is The Cost Of Medigap Insurance In 2013?</x:v>
      </x:c>
      <x:c r="G189" s="10" t="str">
        <x:v>Question: What Is The Cost Of Medigap Insurance In 2013?
Answer: Medigap rates vary considerably by zip code , age , tobacco use and plan . The older you are the higher your Medicare supplement rate will be . The exception is for those who are under age 65 and on disability and Medicare . In most states rates for under age 65 are astronomical . Many carriers offer competitive rates from age 65 to 74 . Above age 74 some plans -LRB- surprisingly -RRB- become more competitive while others less so . Tobacco use often adds 20 % to the rate but can be more , depending on the carrier . Plan F is the most expensive -LRB- and most popular -RRB- followed by D or G -LRB- depending on your state -RRB- , N then Hi F . You can generally find a site that offers `` instant Medigap quotes '' but keep in mind the most competitive rates are usually not illustrated online . #MedigapPlanFRates #MedicareSupplementPlanFRates #GeorgiaMedigapPlanFRates #GeorgiaMedicareSupplementPlanFRates #GeorgiaMedicarePlans #GaMedigapQuotes</x:v>
      </x:c>
      <x:c r="H189" s="10" t="str">
        <x:v>Medigap rates vary considerably by zip code , age , tobacco use and plan . The older you are the higher your Medicare supplement rate will be . The exception is for those who are under age 65 and on disability and Medicare . In most states rates for under age 65 are astronomical . Many carriers offer competitive rates from age 65 to 74 . Above age 74 some plans -LRB- surprisingly -RRB- become more competitive while others less so . Tobacco use often adds 30 % to the rate but can be more , depending on the carrier . Plan F is the most expensive -LRB- and most popular -RRB- followed by D or G -LRB- depending on your state -RRB- , N then Hi F . You can generally find a site that offers `` instant Medigap quotes '' but keep in mind the most competitive rates are usually not illustrated online . #MedigapPlanFRates #MedicareSupplementPlanFRates #GeorgiaMedigapPlanFRates #GeorgiaMedicareSupplementPlanFRates #GeorgiaMedicarePlans #GaMedigapQuotes</x:v>
      </x:c>
      <x:c r="I189" s="8" t="str">
        <x:v>health</x:v>
      </x:c>
      <x:c r="J189" s="8" t="str">
        <x:v>VALIDATION</x:v>
      </x:c>
      <x:c r="K189" s="10" t="str"/>
      <x:c r="L189" s="12" t="str"/>
      <x:c r="M189" s="12" t="str"/>
      <x:c r="N189" s="12" t="str"/>
      <x:c r="O189" s="12" t="str"/>
      <x:c r="P189" s="12" t="str"/>
    </x:row>
    <x:row r="190">
      <x:c r="A190" s="8" t="str">
        <x:v>ext-iqa-fail-079</x:v>
      </x:c>
      <x:c r="B190" s="8" t="str">
        <x:v>insuranceqa</x:v>
      </x:c>
      <x:c r="C190" s="8" t="str">
        <x:v>data/benchmarks/qa/insuranceqa/data_insuranceqa_1000.jsonl</x:v>
      </x:c>
      <x:c r="D190" s="8" t="str">
        <x:v>insuranceqa:71</x:v>
      </x:c>
      <x:c r="E190" s="8" t="str"/>
      <x:c r="F190" s="10" t="str">
        <x:v>Does Medicare Cover Circumcision?</x:v>
      </x:c>
      <x:c r="G190" s="10" t="str">
        <x:v>Question: Does Medicare Cover Circumcision?
Answer: Since Medicare covers people over the age of 65 , and those with certain disabilities that have received Social Security benefits for 25 months , it would be very rare for Medicare to cover a circumcision . It would be possible , if someone with Medicare had a true medical need to be circumcisized later in the life , but very rare , as most circumcisions are done at birth . Given the fact that 40 % of births in American are covered by Medicaid , a better question may be `` Does Medicaid cover circumcisions ? '' That varies by state , as 18 states currently do not cover this procedure , primarily due to the fact that it is most often elective , or not necessary . the 18 states that do n't cover circumcisions , along with the year they stopped : Colorado 2011 South Carolina 2011 Louisiana 2005 Idaho 2005 Minnesota 2005 Maine 2004 Montana 2003 Utah 2003 Florida 2003 Missouri 2002 Arizona 2002 North Carolina 2002 California before 1999 North Dakota before 1999 Oregon before 1999 Mississippi before 1999 Nevada before 1999 Washington before 1999</x:v>
      </x:c>
      <x:c r="H190" s="10" t="str">
        <x:v>Since Medicare covers people over the age of 65 , and those with certain disabilities that have received Social Security benefits for 25 months , it would be very rare for Medicare to cover a circumcision . It would be possible , if someone with Medicare had a true medical need to be circumcisized later in the life , but very rare , as most circumcisions are done at birth . Given the fact that 50 % of births in American are covered by Medicaid , a better question may be `` Does Medicaid cover circumcisions ? '' That varies by state , as 18 states currently do not cover this procedure , primarily due to the fact that it is most often elective , or not necessary . the 18 states that do n't cover circumcisions , along with the year they stopped : Colorado 2011 South Carolina 2011 Louisiana 2005 Idaho 2005 Minnesota 2005 Maine 2004 Montana 2003 Utah 2003 Florida 2003 Missouri 2002 Arizona 2002 North Carolina 2002 California before 1999 North Dakota before 1999 Oregon before 1999 Mississippi before 1999 Nevada before 1999 Washington before 1999</x:v>
      </x:c>
      <x:c r="I190" s="8" t="str">
        <x:v>health</x:v>
      </x:c>
      <x:c r="J190" s="8" t="str">
        <x:v>LOCKED_HOLDOUT_CANDIDATE</x:v>
      </x:c>
      <x:c r="K190" s="10" t="str"/>
      <x:c r="L190" s="12" t="str"/>
      <x:c r="M190" s="12" t="str"/>
      <x:c r="N190" s="12" t="str"/>
      <x:c r="O190" s="12" t="str"/>
      <x:c r="P190" s="12" t="str"/>
    </x:row>
    <x:row r="191">
      <x:c r="A191" s="8" t="str">
        <x:v>ext-iqa-fail-080</x:v>
      </x:c>
      <x:c r="B191" s="8" t="str">
        <x:v>insuranceqa</x:v>
      </x:c>
      <x:c r="C191" s="8" t="str">
        <x:v>data/benchmarks/qa/insuranceqa/data_insuranceqa_1000.jsonl</x:v>
      </x:c>
      <x:c r="D191" s="8" t="str">
        <x:v>insuranceqa:234</x:v>
      </x:c>
      <x:c r="E191" s="8" t="str"/>
      <x:c r="F191" s="10" t="str">
        <x:v>Does Renters Insurance Cover Theft While Traveling?</x:v>
      </x:c>
      <x:c r="G191" s="10" t="str">
        <x:v>Question: Does Renters Insurance Cover Theft While Traveling?
Answer: Talk to your insurance Professional about the coverage provided by your policy , but in general , personal property outside your home is usually covered , including while travelling . Now , most policies will cover your belongings up to a certain total percentage of your current Personal Property stated amount . So , for example , if you have $ 50,000 stated coverage in your policy , you may have coverage up to 10 % while travelling . Likewise there may be certain `` inside limits '' for categories of property such as camera equipment that may further limit the amount of coverage that you actually have .</x:v>
      </x:c>
      <x:c r="H191" s="10" t="str">
        <x:v>Talk to your insurance Professional about the coverage provided by your policy , but in general , personal property outside your home is usually covered , including while travelling . Now , most policies will cover your belongings up to a certain total percentage of your current Personal Property stated amount . So , for example , if you have $ 50,000 stated coverage in your policy , you may have coverage up to 20 % while travelling . Likewise there may be certain `` inside limits '' for categories of property such as camera equipment that may further limit the amount of coverage that you actually have .</x:v>
      </x:c>
      <x:c r="I191" s="8" t="str">
        <x:v>household</x:v>
      </x:c>
      <x:c r="J191" s="8" t="str">
        <x:v>VALIDATION</x:v>
      </x:c>
      <x:c r="K191" s="10" t="str"/>
      <x:c r="L191" s="12" t="str"/>
      <x:c r="M191" s="12" t="str"/>
      <x:c r="N191" s="12" t="str"/>
      <x:c r="O191" s="12" t="str"/>
      <x:c r="P191" s="12" t="str"/>
    </x:row>
    <x:row r="192">
      <x:c r="A192" s="8" t="str">
        <x:v>ext-helvetia-pass-001</x:v>
      </x:c>
      <x:c r="B192" s="8" t="str">
        <x:v>helvetia_pdf</x:v>
      </x:c>
      <x:c r="C192" s="8" t="str">
        <x:v>data/raw/pdfs/assistance-brochure.pdf</x:v>
      </x:c>
      <x:c r="D192" s="8" t="str">
        <x:v>assistance-brochure</x:v>
      </x:c>
      <x:c r="E192" s="8" t="n">
        <x:v>2</x:v>
      </x:c>
      <x:c r="F192" s="10" t="str">
        <x:v>According to assistance-brochure.pdf, what provision is stated in the supplied policy context?</x:v>
      </x:c>
      <x:c r="G192" s="10" t="str">
        <x:v>Helvetia Assistance. Entirely according to your needs. Our Assistance insurance consists of four components you can combine individually. Cancellation cost insurance Cancellation cost insurance covers you for unforeseen events occurring before your departure that make it impossible for you to set off on your journey. Assistance for persons Assistance for persons provides insurance to cover you if anything happens while you're travelling. 1 2 2/8 | Helvetia Assistance – product information sheet</x:v>
      </x:c>
      <x:c r="H192" s="10" t="str">
        <x:v>Our Assistance insurance consists of four components you can combine individually.</x:v>
      </x:c>
      <x:c r="I192" s="8" t="str">
        <x:v>travel_assistance</x:v>
      </x:c>
      <x:c r="J192" s="8" t="str">
        <x:v>CALIBRATION</x:v>
      </x:c>
      <x:c r="K192" s="10" t="str"/>
      <x:c r="L192" s="12" t="str"/>
      <x:c r="M192" s="12" t="str"/>
      <x:c r="N192" s="12" t="str"/>
      <x:c r="O192" s="12" t="str"/>
      <x:c r="P192" s="12" t="str"/>
    </x:row>
    <x:row r="193">
      <x:c r="A193" s="8" t="str">
        <x:v>ext-helvetia-pass-002</x:v>
      </x:c>
      <x:c r="B193" s="8" t="str">
        <x:v>helvetia_pdf</x:v>
      </x:c>
      <x:c r="C193" s="8" t="str">
        <x:v>data/raw/pdfs/assistance-sti.pdf</x:v>
      </x:c>
      <x:c r="D193" s="8" t="str">
        <x:v>assistance-sti</x:v>
      </x:c>
      <x:c r="E193" s="8" t="n">
        <x:v>3</x:v>
      </x:c>
      <x:c r="F193" s="10" t="str">
        <x:v>According to assistance-sti.pdf, what provision is stated in the supplied policy context?</x:v>
      </x:c>
      <x:c r="G193" s="10" t="str">
        <x:v>4/18 | Helvetia Swiss Insurance Company Ltd. STI Helvetia private customers insurance, Assistance – September 2025 edition 5/18 | Helvetia Swiss Insurance Company Ltd. STI Helvetia private customers insurance, Assistance – September 2025 edition Cancellation costs Insured events Do you want to know how you are insured? Your insurance coverage is listed in your policy as you requested and applies solely to private individuals. A1 Illness, accidents and death a) suf fered by the insured person b) suf fered by an accompanying traveller booked simultaneously c) suf fered by a person close to the insured person or accom panying traveller d) suf fered by the deputy at the workplace If one of the persons listed here dies, falls ill, suffers from pregnancy related problems or has an accident, and is not able to commence the journey or holiday on doctorʼs orders, or if the attending physician certifies that the person has experienced a deterioration of an existing chronic ailment. A2 Loss of employment If, foll</x:v>
      </x:c>
      <x:c r="H193" s="10" t="str">
        <x:v>STI Helvetia private customers insurance, Assistance – September 2025 edition 5/18 | Helvetia Swiss Insurance Company Ltd.</x:v>
      </x:c>
      <x:c r="I193" s="8" t="str">
        <x:v>travel_assistance</x:v>
      </x:c>
      <x:c r="J193" s="8" t="str">
        <x:v>CALIBRATION</x:v>
      </x:c>
      <x:c r="K193" s="10" t="str"/>
      <x:c r="L193" s="12" t="str"/>
      <x:c r="M193" s="12" t="str"/>
      <x:c r="N193" s="12" t="str"/>
      <x:c r="O193" s="12" t="str"/>
      <x:c r="P193" s="12" t="str"/>
    </x:row>
    <x:row r="194">
      <x:c r="A194" s="8" t="str">
        <x:v>ext-helvetia-pass-003</x:v>
      </x:c>
      <x:c r="B194" s="8" t="str">
        <x:v>helvetia_pdf</x:v>
      </x:c>
      <x:c r="C194" s="8" t="str">
        <x:v>data/raw/pdfs/brochure-household-contents-and-private-liability.pdf</x:v>
      </x:c>
      <x:c r="D194" s="8" t="str">
        <x:v>brochure-household-contents-and-private-liability</x:v>
      </x:c>
      <x:c r="E194" s="8" t="n">
        <x:v>2</x:v>
      </x:c>
      <x:c r="F194" s="10" t="str">
        <x:v>According to brochure-household-contents-and-private-liability.pdf, what provision is stated in the supplied policy context?</x:v>
      </x:c>
      <x:c r="G194" s="10" t="str">
        <x:v>There are dangers lurking in the digital world too. Imagine you order something online and the wrong goods are delivered or your order never even turns up. Protect yourself with cyber insurance. Household contents insurance All-round protection for your personal possessions Household contents and private liability insurance 2/8</x:v>
      </x:c>
      <x:c r="H194" s="10" t="str">
        <x:v>Household contents insurance All-round protection for your personal possessions Household contents and private liability insurance 2/8</x:v>
      </x:c>
      <x:c r="I194" s="8" t="str">
        <x:v>household</x:v>
      </x:c>
      <x:c r="J194" s="8" t="str">
        <x:v>LOCKED_HOLDOUT_CANDIDATE</x:v>
      </x:c>
      <x:c r="K194" s="10" t="str"/>
      <x:c r="L194" s="12" t="str"/>
      <x:c r="M194" s="12" t="str"/>
      <x:c r="N194" s="12" t="str"/>
      <x:c r="O194" s="12" t="str"/>
      <x:c r="P194" s="12" t="str"/>
    </x:row>
    <x:row r="195">
      <x:c r="A195" s="8" t="str">
        <x:v>ext-helvetia-pass-004</x:v>
      </x:c>
      <x:c r="B195" s="8" t="str">
        <x:v>helvetia_pdf</x:v>
      </x:c>
      <x:c r="C195" s="8" t="str">
        <x:v>data/raw/pdfs/brochure-services.pdf</x:v>
      </x:c>
      <x:c r="D195" s="8" t="str">
        <x:v>brochure-services</x:v>
      </x:c>
      <x:c r="E195" s="8" t="n">
        <x:v>2</x:v>
      </x:c>
      <x:c r="F195" s="10" t="str">
        <x:v>According to brochure-services.pdf, what provision is stated in the supplied policy context?</x:v>
      </x:c>
      <x:c r="G195"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195" s="10" t="str">
        <x:v>As a Swiss insurance company we stand for quality, friendliness and service.</x:v>
      </x:c>
      <x:c r="I195" s="8" t="str">
        <x:v>general_insurance</x:v>
      </x:c>
      <x:c r="J195" s="8" t="str">
        <x:v>LOCKED_HOLDOUT_CANDIDATE</x:v>
      </x:c>
      <x:c r="K195" s="10" t="str"/>
      <x:c r="L195" s="12" t="str"/>
      <x:c r="M195" s="12" t="str"/>
      <x:c r="N195" s="12" t="str"/>
      <x:c r="O195" s="12" t="str"/>
      <x:c r="P195" s="12" t="str"/>
    </x:row>
    <x:row r="196">
      <x:c r="A196" s="8" t="str">
        <x:v>ext-helvetia-pass-005</x:v>
      </x:c>
      <x:c r="B196" s="8" t="str">
        <x:v>helvetia_pdf</x:v>
      </x:c>
      <x:c r="C196" s="8" t="str">
        <x:v>data/raw/pdfs/buildings-insurance-sti.pdf</x:v>
      </x:c>
      <x:c r="D196" s="8" t="str">
        <x:v>buildings-insurance-sti</x:v>
      </x:c>
      <x:c r="E196" s="8" t="n">
        <x:v>2</x:v>
      </x:c>
      <x:c r="F196" s="10" t="str">
        <x:v>According to buildings-insurance-sti.pdf, what provision is stated in the supplied policy context?</x:v>
      </x:c>
      <x:c r="G196"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Table of contents</x:v>
      </x:c>
      <x:c r="H196"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x:v>
      </x:c>
      <x:c r="I196" s="8" t="str">
        <x:v>household</x:v>
      </x:c>
      <x:c r="J196" s="8" t="str">
        <x:v>CALIBRATION</x:v>
      </x:c>
      <x:c r="K196" s="10" t="str"/>
      <x:c r="L196" s="12" t="str"/>
      <x:c r="M196" s="12" t="str"/>
      <x:c r="N196" s="12" t="str"/>
      <x:c r="O196" s="12" t="str"/>
      <x:c r="P196" s="12" t="str"/>
    </x:row>
    <x:row r="197">
      <x:c r="A197" s="8" t="str">
        <x:v>ext-helvetia-pass-006</x:v>
      </x:c>
      <x:c r="B197" s="8" t="str">
        <x:v>helvetia_pdf</x:v>
      </x:c>
      <x:c r="C197" s="8" t="str">
        <x:v>data/raw/pdfs/household-contents-private-liability-sti.pdf</x:v>
      </x:c>
      <x:c r="D197" s="8" t="str">
        <x:v>household-contents-private-liability-sti</x:v>
      </x:c>
      <x:c r="E197" s="8" t="n">
        <x:v>1</x:v>
      </x:c>
      <x:c r="F197" s="10" t="str">
        <x:v>According to household-contents-private-liability-sti.pdf, what provision is stated in the supplied policy context?</x:v>
      </x:c>
      <x:c r="G197" s="10" t="str">
        <x:v>Standard Terms of Insurance (STI) Helvetia private customers insurance Household contents and private liability September 2025 edition</x:v>
      </x:c>
      <x:c r="H197" s="10" t="str">
        <x:v>Standard Terms of Insurance (STI) Helvetia private customers insurance Household contents and private liability September 2025 edition</x:v>
      </x:c>
      <x:c r="I197" s="8" t="str">
        <x:v>household</x:v>
      </x:c>
      <x:c r="J197" s="8" t="str">
        <x:v>LOCKED_HOLDOUT_CANDIDATE</x:v>
      </x:c>
      <x:c r="K197" s="10" t="str"/>
      <x:c r="L197" s="12" t="str"/>
      <x:c r="M197" s="12" t="str"/>
      <x:c r="N197" s="12" t="str"/>
      <x:c r="O197" s="12" t="str"/>
      <x:c r="P197" s="12" t="str"/>
    </x:row>
    <x:row r="198">
      <x:c r="A198" s="8" t="str">
        <x:v>ext-helvetia-pass-007</x:v>
      </x:c>
      <x:c r="B198" s="8" t="str">
        <x:v>helvetia_pdf</x:v>
      </x:c>
      <x:c r="C198" s="8" t="str">
        <x:v>data/raw/pdfs/legal-protection-sti.pdf</x:v>
      </x:c>
      <x:c r="D198" s="8" t="str">
        <x:v>legal-protection-sti</x:v>
      </x:c>
      <x:c r="E198" s="8" t="n">
        <x:v>2</x:v>
      </x:c>
      <x:c r="F198" s="10" t="str">
        <x:v>According to legal-protection-sti.pdf, what provision is stated in the supplied policy context?</x:v>
      </x:c>
      <x:c r="G198"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3/16 | Helvetia Swiss Insurance Company Ltd. STI Helvetia private customers insurance, Legal protection – September 2021 edition</x:v>
      </x:c>
      <x:c r="H198"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x:v>
      </x:c>
      <x:c r="I198" s="8" t="str">
        <x:v>household</x:v>
      </x:c>
      <x:c r="J198" s="8" t="str">
        <x:v>CALIBRATION</x:v>
      </x:c>
      <x:c r="K198" s="10" t="str"/>
      <x:c r="L198" s="12" t="str"/>
      <x:c r="M198" s="12" t="str"/>
      <x:c r="N198" s="12" t="str"/>
      <x:c r="O198" s="12" t="str"/>
      <x:c r="P198" s="12" t="str"/>
    </x:row>
    <x:row r="199">
      <x:c r="A199" s="8" t="str">
        <x:v>ext-helvetia-pass-008</x:v>
      </x:c>
      <x:c r="B199" s="8" t="str">
        <x:v>helvetia_pdf</x:v>
      </x:c>
      <x:c r="C199" s="8" t="str">
        <x:v>data/raw/pdfs/motor-vehicle-insurance-product-sheet.pdf</x:v>
      </x:c>
      <x:c r="D199" s="8" t="str">
        <x:v>motor-vehicle-insurance-product-sheet</x:v>
      </x:c>
      <x:c r="E199" s="8" t="n">
        <x:v>2</x:v>
      </x:c>
      <x:c r="F199" s="10" t="str">
        <x:v>According to motor-vehicle-insurance-product-sheet.pdf, what provision is stated in the supplied policy context?</x:v>
      </x:c>
      <x:c r="G199"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199" s="10" t="str">
        <x:v>Helvetia’s liability insurance protects you against unexpected financial burdens arising from an accident you cause.</x:v>
      </x:c>
      <x:c r="I199" s="8" t="str">
        <x:v>motor</x:v>
      </x:c>
      <x:c r="J199" s="8" t="str">
        <x:v>VALIDATION</x:v>
      </x:c>
      <x:c r="K199" s="10" t="str"/>
      <x:c r="L199" s="12" t="str"/>
      <x:c r="M199" s="12" t="str"/>
      <x:c r="N199" s="12" t="str"/>
      <x:c r="O199" s="12" t="str"/>
      <x:c r="P199" s="12" t="str"/>
    </x:row>
    <x:row r="200">
      <x:c r="A200" s="8" t="str">
        <x:v>ext-helvetia-pass-009</x:v>
      </x:c>
      <x:c r="B200" s="8" t="str">
        <x:v>helvetia_pdf</x:v>
      </x:c>
      <x:c r="C200" s="8" t="str">
        <x:v>data/raw/pdfs/motor-vehicle-insurance-sti.pdf</x:v>
      </x:c>
      <x:c r="D200" s="8" t="str">
        <x:v>motor-vehicle-insurance-sti</x:v>
      </x:c>
      <x:c r="E200" s="8" t="n">
        <x:v>2</x:v>
      </x:c>
      <x:c r="F200" s="10" t="str">
        <x:v>According to motor-vehicle-insurance-sti.pdf, what provision is stated in the supplied policy context?</x:v>
      </x:c>
      <x:c r="G200"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The original German wording governs the legal interpretation of your policy.</x:v>
      </x:c>
      <x:c r="H200"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x:v>
      </x:c>
      <x:c r="I200" s="8" t="str">
        <x:v>motor</x:v>
      </x:c>
      <x:c r="J200" s="8" t="str">
        <x:v>LOCKED_HOLDOUT_CANDIDATE</x:v>
      </x:c>
      <x:c r="K200" s="10" t="str"/>
      <x:c r="L200" s="12" t="str"/>
      <x:c r="M200" s="12" t="str"/>
      <x:c r="N200" s="12" t="str"/>
      <x:c r="O200" s="12" t="str"/>
      <x:c r="P200" s="12" t="str"/>
    </x:row>
    <x:row r="201">
      <x:c r="A201" s="8" t="str">
        <x:v>ext-helvetia-pass-010</x:v>
      </x:c>
      <x:c r="B201" s="8" t="str">
        <x:v>helvetia_pdf</x:v>
      </x:c>
      <x:c r="C201" s="8" t="str">
        <x:v>data/raw/pdfs/mutual-provisions-pkv.pdf</x:v>
      </x:c>
      <x:c r="D201" s="8" t="str">
        <x:v>mutual-provisions-pkv</x:v>
      </x:c>
      <x:c r="E201" s="8" t="n">
        <x:v>2</x:v>
      </x:c>
      <x:c r="F201" s="10" t="str">
        <x:v>According to mutual-provisions-pkv.pdf, what provision is stated in the supplied policy context?</x:v>
      </x:c>
      <x:c r="G201"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x:v>
      </x:c>
      <x:c r="H201"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x:v>
      </x:c>
      <x:c r="I201" s="8" t="str">
        <x:v>household</x:v>
      </x:c>
      <x:c r="J201" s="8" t="str">
        <x:v>CALIBRATION</x:v>
      </x:c>
      <x:c r="K201" s="10" t="str"/>
      <x:c r="L201" s="12" t="str"/>
      <x:c r="M201" s="12" t="str"/>
      <x:c r="N201" s="12" t="str"/>
      <x:c r="O201" s="12" t="str"/>
      <x:c r="P201" s="12" t="str"/>
    </x:row>
    <x:row r="202">
      <x:c r="A202" s="8" t="str">
        <x:v>ext-helvetia-pass-011</x:v>
      </x:c>
      <x:c r="B202" s="8" t="str">
        <x:v>helvetia_pdf</x:v>
      </x:c>
      <x:c r="C202" s="8" t="str">
        <x:v>data/raw/pdfs/rental-guarantee-insurance-sti.pdf</x:v>
      </x:c>
      <x:c r="D202" s="8" t="str">
        <x:v>rental-guarantee-insurance-sti</x:v>
      </x:c>
      <x:c r="E202" s="8" t="n">
        <x:v>3</x:v>
      </x:c>
      <x:c r="F202" s="10" t="str">
        <x:v>According to rental-guarantee-insurance-sti.pdf, what provision is stated in the supplied policy context?</x:v>
      </x:c>
      <x:c r="G202"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202" s="10" t="str">
        <x:v>3/7 | Helvetia Swiss Insurance Company Ltd STI Helvetia private rental guarantee insurance – September 2025 edition 1 Contracting party Your contracting party is: Helvetia Swiss Insurance Company Ltd Dufourstrasse 40 9001 St.</x:v>
      </x:c>
      <x:c r="I202" s="8" t="str">
        <x:v>rental_guarantee</x:v>
      </x:c>
      <x:c r="J202" s="8" t="str">
        <x:v>LOCKED_HOLDOUT_CANDIDATE</x:v>
      </x:c>
      <x:c r="K202" s="10" t="str"/>
      <x:c r="L202" s="12" t="str"/>
      <x:c r="M202" s="12" t="str"/>
      <x:c r="N202" s="12" t="str"/>
      <x:c r="O202" s="12" t="str"/>
      <x:c r="P202" s="12" t="str"/>
    </x:row>
    <x:row r="203">
      <x:c r="A203" s="8" t="str">
        <x:v>ext-helvetia-pass-012</x:v>
      </x:c>
      <x:c r="B203" s="8" t="str">
        <x:v>helvetia_pdf</x:v>
      </x:c>
      <x:c r="C203" s="8" t="str">
        <x:v>data/raw/pdfs/assistance-brochure.pdf</x:v>
      </x:c>
      <x:c r="D203" s="8" t="str">
        <x:v>assistance-brochure</x:v>
      </x:c>
      <x:c r="E203" s="8" t="n">
        <x:v>2</x:v>
      </x:c>
      <x:c r="F203" s="10" t="str">
        <x:v>According to assistance-brochure.pdf, what provision is stated in the supplied policy context?</x:v>
      </x:c>
      <x:c r="G203" s="10" t="str">
        <x:v>Helvetia Assistance. Entirely according to your needs. Our Assistance insurance consists of four components you can combine individually. Cancellation cost insurance Cancellation cost insurance covers you for unforeseen events occurring before your departure that make it impossible for you to set off on your journey. Assistance for persons Assistance for persons provides insurance to cover you if anything happens while you're travelling. 1 2 2/8 | Helvetia Assistance – product information sheet</x:v>
      </x:c>
      <x:c r="H203" s="10" t="str">
        <x:v>Cancellation cost insurance Cancellation cost insurance covers you for unforeseen events occurring before your departure that make it impossible for you to set off on your journey.</x:v>
      </x:c>
      <x:c r="I203" s="8" t="str">
        <x:v>travel_assistance</x:v>
      </x:c>
      <x:c r="J203" s="8" t="str">
        <x:v>CALIBRATION</x:v>
      </x:c>
      <x:c r="K203" s="10" t="str"/>
      <x:c r="L203" s="12" t="str"/>
      <x:c r="M203" s="12" t="str"/>
      <x:c r="N203" s="12" t="str"/>
      <x:c r="O203" s="12" t="str"/>
      <x:c r="P203" s="12" t="str"/>
    </x:row>
    <x:row r="204">
      <x:c r="A204" s="8" t="str">
        <x:v>ext-helvetia-pass-013</x:v>
      </x:c>
      <x:c r="B204" s="8" t="str">
        <x:v>helvetia_pdf</x:v>
      </x:c>
      <x:c r="C204" s="8" t="str">
        <x:v>data/raw/pdfs/assistance-sti.pdf</x:v>
      </x:c>
      <x:c r="D204" s="8" t="str">
        <x:v>assistance-sti</x:v>
      </x:c>
      <x:c r="E204" s="8" t="n">
        <x:v>3</x:v>
      </x:c>
      <x:c r="F204" s="10" t="str">
        <x:v>According to assistance-sti.pdf, what provision is stated in the supplied policy context?</x:v>
      </x:c>
      <x:c r="G204" s="10" t="str">
        <x:v>4/18 | Helvetia Swiss Insurance Company Ltd. STI Helvetia private customers insurance, Assistance – September 2025 edition 5/18 | Helvetia Swiss Insurance Company Ltd. STI Helvetia private customers insurance, Assistance – September 2025 edition Cancellation costs Insured events Do you want to know how you are insured? Your insurance coverage is listed in your policy as you requested and applies solely to private individuals. A1 Illness, accidents and death a) suf fered by the insured person b) suf fered by an accompanying traveller booked simultaneously c) suf fered by a person close to the insured person or accom panying traveller d) suf fered by the deputy at the workplace If one of the persons listed here dies, falls ill, suffers from pregnancy related problems or has an accident, and is not able to commence the journey or holiday on doctorʼs orders, or if the attending physician certifies that the person has experienced a deterioration of an existing chronic ailment. A2 Loss of employment If, following the booking of the holiday or travel service, the employ ment contract of the insured person or the simultaneously booked accompanying traveller is</x:v>
      </x:c>
      <x:c r="H204" s="10" t="str">
        <x:v>STI Helvetia private customers insurance, Assistance – September 2025 edition Cancellation costs Insured events Do you want to know how you are insured?</x:v>
      </x:c>
      <x:c r="I204" s="8" t="str">
        <x:v>travel_assistance</x:v>
      </x:c>
      <x:c r="J204" s="8" t="str">
        <x:v>CALIBRATION</x:v>
      </x:c>
      <x:c r="K204" s="10" t="str"/>
      <x:c r="L204" s="12" t="str"/>
      <x:c r="M204" s="12" t="str"/>
      <x:c r="N204" s="12" t="str"/>
      <x:c r="O204" s="12" t="str"/>
      <x:c r="P204" s="12" t="str"/>
    </x:row>
    <x:row r="205">
      <x:c r="A205" s="8" t="str">
        <x:v>ext-helvetia-pass-014</x:v>
      </x:c>
      <x:c r="B205" s="8" t="str">
        <x:v>helvetia_pdf</x:v>
      </x:c>
      <x:c r="C205" s="8" t="str">
        <x:v>data/raw/pdfs/brochure-household-contents-and-private-liability.pdf</x:v>
      </x:c>
      <x:c r="D205" s="8" t="str">
        <x:v>brochure-household-contents-and-private-liability</x:v>
      </x:c>
      <x:c r="E205" s="8" t="n">
        <x:v>3</x:v>
      </x:c>
      <x:c r="F205" s="10" t="str">
        <x:v>According to brochure-household-contents-and-private-liability.pdf, what provision is stated in the supplied policy context?</x:v>
      </x:c>
      <x:c r="G205" s="10" t="str">
        <x:v>Scope of the insurance cover Household contents includes all movables (such as clothes, furniture, consumer electronics, pets, etc.) required for living and recreation. Insured persons All persons permanently residing in the same household as the policyholder. Insured risks • Fire and natural forces • Theft and robbery • Damage and destruction of all kinds due to external causes Insured benefit New for old replacement price for an identical or equivalent household item at the time of the damage. Geographical scope of the policy • At home in Switzerland and the Principality of Liechtenstein • Worldwide for trips and excursions of up to one year’s duration Tailor the policy to your needs • Cover garden areas against fire/ natural forces • Cover for losses resulting from Internet use (cyber risks) • Earthquake insurance • Various all-risks insurances for everyday items (e.g. sports equipment, cameras, mobile phones, etc.) • Theft Plus insurance • Cover for necessary follow-up costs (e.g. clean-up costs) • </x:v>
      </x:c>
      <x:c r="H205" s="10" t="str">
        <x:v>Scope of the insurance cover Household contents includes all movables (such as clothes, furniture, consumer electronics, pets, etc.) required for living and recreation.</x:v>
      </x:c>
      <x:c r="I205" s="8" t="str">
        <x:v>household</x:v>
      </x:c>
      <x:c r="J205" s="8" t="str">
        <x:v>LOCKED_HOLDOUT_CANDIDATE</x:v>
      </x:c>
      <x:c r="K205" s="10" t="str"/>
      <x:c r="L205" s="12" t="str"/>
      <x:c r="M205" s="12" t="str"/>
      <x:c r="N205" s="12" t="str"/>
      <x:c r="O205" s="12" t="str"/>
      <x:c r="P205" s="12" t="str"/>
    </x:row>
    <x:row r="206">
      <x:c r="A206" s="8" t="str">
        <x:v>ext-helvetia-pass-015</x:v>
      </x:c>
      <x:c r="B206" s="8" t="str">
        <x:v>helvetia_pdf</x:v>
      </x:c>
      <x:c r="C206" s="8" t="str">
        <x:v>data/raw/pdfs/brochure-services.pdf</x:v>
      </x:c>
      <x:c r="D206" s="8" t="str">
        <x:v>brochure-services</x:v>
      </x:c>
      <x:c r="E206" s="8" t="n">
        <x:v>2</x:v>
      </x:c>
      <x:c r="F206" s="10" t="str">
        <x:v>According to brochure-services.pdf, what provision is stated in the supplied policy context?</x:v>
      </x:c>
      <x:c r="G206"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206" s="10" t="str">
        <x:v>Scope of insurance cover The service product provides you with the following benefits:</x:v>
      </x:c>
      <x:c r="I206" s="8" t="str">
        <x:v>general_insurance</x:v>
      </x:c>
      <x:c r="J206" s="8" t="str">
        <x:v>LOCKED_HOLDOUT_CANDIDATE</x:v>
      </x:c>
      <x:c r="K206" s="10" t="str"/>
      <x:c r="L206" s="12" t="str"/>
      <x:c r="M206" s="12" t="str"/>
      <x:c r="N206" s="12" t="str"/>
      <x:c r="O206" s="12" t="str"/>
      <x:c r="P206" s="12" t="str"/>
    </x:row>
    <x:row r="207">
      <x:c r="A207" s="8" t="str">
        <x:v>ext-helvetia-pass-016</x:v>
      </x:c>
      <x:c r="B207" s="8" t="str">
        <x:v>helvetia_pdf</x:v>
      </x:c>
      <x:c r="C207" s="8" t="str">
        <x:v>data/raw/pdfs/buildings-insurance-sti.pdf</x:v>
      </x:c>
      <x:c r="D207" s="8" t="str">
        <x:v>buildings-insurance-sti</x:v>
      </x:c>
      <x:c r="E207" s="8" t="n">
        <x:v>3</x:v>
      </x:c>
      <x:c r="F207" s="10" t="str">
        <x:v>According to buildings-insurance-sti.pdf, what provision is stated in the supplied policy context?</x:v>
      </x:c>
      <x:c r="G207" s="10" t="str">
        <x:v>4/28 | Helvetia Swiss Insurance Company Ltd STI Helvetia Buildings Insurance – September 2022 edition 5/28 | Helvetia Swiss Insurance Company Ltd STI Helvetia Buildings Insurance – September 2022 edition Natural forces Theft Liquids and gas Destruction, damage or loss as a result of: C1 Flooding and inundation; C2 Storms (wind of 75 km/h or more that uproots trees or takes the roofs off buildings in the vicinity of the insured property); C3 Hail; C4 Avalanches; C5 Snow pressure; C6 Rockslides and rock impacts; C7 Landslides. Damage conclusively proven by physical traces, witnesses or circumstances to have been caused by: D1 Theft or attempted theft. Destruction, damage or loss as a result of: E1 Leakage of liquids and gas: a) from pipelines or connected instal lations or apparatus; b) from decorative fountains, aquaria waterbeds, pools, liquids from humidifiers; c) and the resultant loss of liquids or gas; E2 Water condensation from cooling equipment and devices; E3 Penetration of rain and melting snow into the building through the roof, from roof gutters or from outdoor drain pipes, through closed windows, doors and skylights; E4 Backpressure from sewage ducts as well as underground slope water, ground water, rock water and seepage water inside the building; E5 Pipelines frozen or damaged by frost, tanks and containers serving the insured company and/or the insured buildings as well as adjacent installations, apparatus and machinery. Costs for the thawing of frozen pipelines are co</x:v>
      </x:c>
      <x:c r="H207" s="10" t="str">
        <x:v>Damage conclusively proven by physical traces, witnesses or circumstances to have been caused by: D1 Theft or attempted theft.</x:v>
      </x:c>
      <x:c r="I207" s="8" t="str">
        <x:v>general_insurance</x:v>
      </x:c>
      <x:c r="J207" s="8" t="str">
        <x:v>CALIBRATION</x:v>
      </x:c>
      <x:c r="K207" s="10" t="str"/>
      <x:c r="L207" s="12" t="str"/>
      <x:c r="M207" s="12" t="str"/>
      <x:c r="N207" s="12" t="str"/>
      <x:c r="O207" s="12" t="str"/>
      <x:c r="P207" s="12" t="str"/>
    </x:row>
    <x:row r="208">
      <x:c r="A208" s="8" t="str">
        <x:v>ext-helvetia-pass-017</x:v>
      </x:c>
      <x:c r="B208" s="8" t="str">
        <x:v>helvetia_pdf</x:v>
      </x:c>
      <x:c r="C208" s="8" t="str">
        <x:v>data/raw/pdfs/household-contents-private-liability-sti.pdf</x:v>
      </x:c>
      <x:c r="D208" s="8" t="str">
        <x:v>household-contents-private-liability-sti</x:v>
      </x:c>
      <x:c r="E208" s="8" t="n">
        <x:v>2</x:v>
      </x:c>
      <x:c r="F208" s="10" t="str">
        <x:v>According to household-contents-private-liability-sti.pdf, what provision is stated in the supplied policy context?</x:v>
      </x:c>
      <x:c r="G208" s="10" t="str">
        <x:v>Household contents insurance 4 Fire 4 Natural forces 5 Theft 5 Liquids and gas 5 Household contents all risks 5 Glass breakage 10 Earthquake and volcanic eruption 11 Particular objects of value 12 Extended warranty 13 Accident treatment costs for dogs, cats and other domestic animals 14 Health insurance for dogs and cats 15 Accident treatment costs and health insurance for horses 15 Cyber: Damage caused by use of Internet technologies 16 Personal liability insurance 18 Basic cover 20 Voluntary liability 28 Supplementary insurance 30 Term of liability cover 34 Explanation of terms 36 Table of contents The original German wording governs the legal interpretation of your policy. 3/40 | Helvetia Swiss Insurance Company Ltd. STI Helvetia private customers insurance, Household contents and private liability – September 2025 edition</x:v>
      </x:c>
      <x:c r="H208" s="10" t="str">
        <x:v>STI Helvetia private customers insurance, Household contents and private liability – September 2025 edition</x:v>
      </x:c>
      <x:c r="I208" s="8" t="str">
        <x:v>household</x:v>
      </x:c>
      <x:c r="J208" s="8" t="str">
        <x:v>LOCKED_HOLDOUT_CANDIDATE</x:v>
      </x:c>
      <x:c r="K208" s="10" t="str"/>
      <x:c r="L208" s="12" t="str"/>
      <x:c r="M208" s="12" t="str"/>
      <x:c r="N208" s="12" t="str"/>
      <x:c r="O208" s="12" t="str"/>
      <x:c r="P208" s="12" t="str"/>
    </x:row>
    <x:row r="209">
      <x:c r="A209" s="8" t="str">
        <x:v>ext-helvetia-pass-018</x:v>
      </x:c>
      <x:c r="B209" s="8" t="str">
        <x:v>helvetia_pdf</x:v>
      </x:c>
      <x:c r="C209" s="8" t="str">
        <x:v>data/raw/pdfs/legal-protection-sti.pdf</x:v>
      </x:c>
      <x:c r="D209" s="8" t="str">
        <x:v>legal-protection-sti</x:v>
      </x:c>
      <x:c r="E209" s="8" t="n">
        <x:v>2</x:v>
      </x:c>
      <x:c r="F209" s="10" t="str">
        <x:v>According to legal-protection-sti.pdf, what provision is stated in the supplied policy context?</x:v>
      </x:c>
      <x:c r="G209"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3/16 | Helvetia Swiss Insurance Company Ltd. STI Helvetia private customers insurance, Legal protection – September 2021 edition</x:v>
      </x:c>
      <x:c r="H209" s="10" t="str">
        <x:v>STI Helvetia private customers insurance, Legal protection – September 2021 edition</x:v>
      </x:c>
      <x:c r="I209" s="8" t="str">
        <x:v>legal_protection</x:v>
      </x:c>
      <x:c r="J209" s="8" t="str">
        <x:v>CALIBRATION</x:v>
      </x:c>
      <x:c r="K209" s="10" t="str"/>
      <x:c r="L209" s="12" t="str"/>
      <x:c r="M209" s="12" t="str"/>
      <x:c r="N209" s="12" t="str"/>
      <x:c r="O209" s="12" t="str"/>
      <x:c r="P209" s="12" t="str"/>
    </x:row>
    <x:row r="210">
      <x:c r="A210" s="8" t="str">
        <x:v>ext-helvetia-pass-019</x:v>
      </x:c>
      <x:c r="B210" s="8" t="str">
        <x:v>helvetia_pdf</x:v>
      </x:c>
      <x:c r="C210" s="8" t="str">
        <x:v>data/raw/pdfs/motor-vehicle-insurance-product-sheet.pdf</x:v>
      </x:c>
      <x:c r="D210" s="8" t="str">
        <x:v>motor-vehicle-insurance-product-sheet</x:v>
      </x:c>
      <x:c r="E210" s="8" t="n">
        <x:v>2</x:v>
      </x:c>
      <x:c r="F210" s="10" t="str">
        <x:v>According to motor-vehicle-insurance-product-sheet.pdf, what provision is stated in the supplied policy context?</x:v>
      </x:c>
      <x:c r="G210"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10" s="10" t="str">
        <x:v>Cover for property damage and personal injury caused by you</x:v>
      </x:c>
      <x:c r="I210" s="8" t="str">
        <x:v>motor</x:v>
      </x:c>
      <x:c r="J210" s="8" t="str">
        <x:v>VALIDATION</x:v>
      </x:c>
      <x:c r="K210" s="10" t="str"/>
      <x:c r="L210" s="12" t="str"/>
      <x:c r="M210" s="12" t="str"/>
      <x:c r="N210" s="12" t="str"/>
      <x:c r="O210" s="12" t="str"/>
      <x:c r="P210" s="12" t="str"/>
    </x:row>
    <x:row r="211">
      <x:c r="A211" s="8" t="str">
        <x:v>ext-helvetia-pass-020</x:v>
      </x:c>
      <x:c r="B211" s="8" t="str">
        <x:v>helvetia_pdf</x:v>
      </x:c>
      <x:c r="C211" s="8" t="str">
        <x:v>data/raw/pdfs/motor-vehicle-insurance-sti.pdf</x:v>
      </x:c>
      <x:c r="D211" s="8" t="str">
        <x:v>motor-vehicle-insurance-sti</x:v>
      </x:c>
      <x:c r="E211" s="8" t="n">
        <x:v>4</x:v>
      </x:c>
      <x:c r="F211" s="10" t="str">
        <x:v>According to motor-vehicle-insurance-sti.pdf, what provision is stated in the supplied policy context?</x:v>
      </x:c>
      <x:c r="G211"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x:v>
      </x:c>
      <x:c r="H211" s="10" t="str">
        <x:v>4/31 | Helvetia Swiss Insurance Company Ltd STI Helvetia Motor Vehicle Insurance – Edition March 2026 Motor Vehicle Customer information 1 Contracting parties The contracting parties are as follows Helvetia Swiss Insurance Company Ltd.</x:v>
      </x:c>
      <x:c r="I211" s="8" t="str">
        <x:v>motor</x:v>
      </x:c>
      <x:c r="J211" s="8" t="str">
        <x:v>LOCKED_HOLDOUT_CANDIDATE</x:v>
      </x:c>
      <x:c r="K211" s="10" t="str"/>
      <x:c r="L211" s="12" t="str"/>
      <x:c r="M211" s="12" t="str"/>
      <x:c r="N211" s="12" t="str"/>
      <x:c r="O211" s="12" t="str"/>
      <x:c r="P211" s="12" t="str"/>
    </x:row>
    <x:row r="212">
      <x:c r="A212" s="8" t="str">
        <x:v>ext-helvetia-pass-021</x:v>
      </x:c>
      <x:c r="B212" s="8" t="str">
        <x:v>helvetia_pdf</x:v>
      </x:c>
      <x:c r="C212" s="8" t="str">
        <x:v>data/raw/pdfs/mutual-provisions-pkv.pdf</x:v>
      </x:c>
      <x:c r="D212" s="8" t="str">
        <x:v>mutual-provisions-pkv</x:v>
      </x:c>
      <x:c r="E212" s="8" t="n">
        <x:v>2</x:v>
      </x:c>
      <x:c r="F212" s="10" t="str">
        <x:v>According to mutual-provisions-pkv.pdf, what provision is stated in the supplied policy context?</x:v>
      </x:c>
      <x:c r="G212"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the Federal Law on Insurance Supervision (ISL) and the Private Insurer Supervision Ordinance. Please send all communicat</x:v>
      </x:c>
      <x:c r="H212" s="10" t="str">
        <x:v>We place great value in ensuring that you can quickly and dependably obtain information about your insurance contract.</x:v>
      </x:c>
      <x:c r="I212" s="8" t="str">
        <x:v>general_insurance</x:v>
      </x:c>
      <x:c r="J212" s="8" t="str">
        <x:v>CALIBRATION</x:v>
      </x:c>
      <x:c r="K212" s="10" t="str"/>
      <x:c r="L212" s="12" t="str"/>
      <x:c r="M212" s="12" t="str"/>
      <x:c r="N212" s="12" t="str"/>
      <x:c r="O212" s="12" t="str"/>
      <x:c r="P212" s="12" t="str"/>
    </x:row>
    <x:row r="213">
      <x:c r="A213" s="8" t="str">
        <x:v>ext-helvetia-pass-022</x:v>
      </x:c>
      <x:c r="B213" s="8" t="str">
        <x:v>helvetia_pdf</x:v>
      </x:c>
      <x:c r="C213" s="8" t="str">
        <x:v>data/raw/pdfs/rental-guarantee-insurance-sti.pdf</x:v>
      </x:c>
      <x:c r="D213" s="8" t="str">
        <x:v>rental-guarantee-insurance-sti</x:v>
      </x:c>
      <x:c r="E213" s="8" t="n">
        <x:v>3</x:v>
      </x:c>
      <x:c r="F213" s="10" t="str">
        <x:v>According to rental-guarantee-insurance-sti.pdf, what provision is stated in the supplied policy context?</x:v>
      </x:c>
      <x:c r="G213"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x:v>
      </x:c>
      <x:c r="H213" s="10" t="str">
        <x:v>Gallen In the course of concluding and executing the contract, Helvetia Swiss Insurance Company Ltd is entitled to act on behalf of the other contracting parties (e.</x:v>
      </x:c>
      <x:c r="I213" s="8" t="str">
        <x:v>rental_guarantee</x:v>
      </x:c>
      <x:c r="J213" s="8" t="str">
        <x:v>LOCKED_HOLDOUT_CANDIDATE</x:v>
      </x:c>
      <x:c r="K213" s="10" t="str"/>
      <x:c r="L213" s="12" t="str"/>
      <x:c r="M213" s="12" t="str"/>
      <x:c r="N213" s="12" t="str"/>
      <x:c r="O213" s="12" t="str"/>
      <x:c r="P213" s="12" t="str"/>
    </x:row>
    <x:row r="214">
      <x:c r="A214" s="8" t="str">
        <x:v>ext-helvetia-pass-023</x:v>
      </x:c>
      <x:c r="B214" s="8" t="str">
        <x:v>helvetia_pdf</x:v>
      </x:c>
      <x:c r="C214" s="8" t="str">
        <x:v>data/raw/pdfs/assistance-brochure.pdf</x:v>
      </x:c>
      <x:c r="D214" s="8" t="str">
        <x:v>assistance-brochure</x:v>
      </x:c>
      <x:c r="E214" s="8" t="n">
        <x:v>2</x:v>
      </x:c>
      <x:c r="F214" s="10" t="str">
        <x:v>According to assistance-brochure.pdf, what provision is stated in the supplied policy context?</x:v>
      </x:c>
      <x:c r="G214" s="10" t="str">
        <x:v>Helvetia Assistance. Entirely according to your needs. Our Assistance insurance consists of four components you can combine individually. Cancellation cost insurance Cancellation cost insurance covers you for unforeseen events occurring before your departure that make it impossible for you to set off on your journey. Assistance for persons Assistance for persons provides insurance to cover you if anything happens while you're travelling. 1 2 2/8 | Helvetia Assistance – product information sheet</x:v>
      </x:c>
      <x:c r="H214" s="10" t="str">
        <x:v>Assistance for persons Assistance for persons provides insurance to cover you if anything happens while you're travelling.</x:v>
      </x:c>
      <x:c r="I214" s="8" t="str">
        <x:v>travel_assistance</x:v>
      </x:c>
      <x:c r="J214" s="8" t="str">
        <x:v>CALIBRATION</x:v>
      </x:c>
      <x:c r="K214" s="10" t="str"/>
      <x:c r="L214" s="12" t="str"/>
      <x:c r="M214" s="12" t="str"/>
      <x:c r="N214" s="12" t="str"/>
      <x:c r="O214" s="12" t="str"/>
      <x:c r="P214" s="12" t="str"/>
    </x:row>
    <x:row r="215">
      <x:c r="A215" s="8" t="str">
        <x:v>ext-helvetia-pass-024</x:v>
      </x:c>
      <x:c r="B215" s="8" t="str">
        <x:v>helvetia_pdf</x:v>
      </x:c>
      <x:c r="C215" s="8" t="str">
        <x:v>data/raw/pdfs/assistance-sti.pdf</x:v>
      </x:c>
      <x:c r="D215" s="8" t="str">
        <x:v>assistance-sti</x:v>
      </x:c>
      <x:c r="E215" s="8" t="n">
        <x:v>3</x:v>
      </x:c>
      <x:c r="F215" s="10" t="str">
        <x:v>According to assistance-sti.pdf, what provision is stated in the supplied policy context?</x:v>
      </x:c>
      <x:c r="G215" s="10" t="str">
        <x:v>4/18 | Helvetia Swiss Insurance Company Ltd. STI Helvetia private customers insurance, Assistance – September 2025 edition 5/18 | Helvetia Swiss Insurance Company Ltd. STI Helvetia private customers insurance, Assistance – September 2025 edition Cancellation costs Insured events Do you want to know how you are insured? Your insurance coverage is listed in your policy as you requested and applies solely to private individuals. A1 Illness, accidents and death a) suf fered by the insured person b) suf fered by an accompanying traveller booked simultaneously c) suf fered by a person close to the insured person or accom panying traveller d) suf fered by the deputy at the workplace If one of the persons listed here dies, falls ill, suffers from pregnancy related problems or has an accident, and is not able to commence the journey or holiday on doctorʼs orders, or if the attending physician certifies that the person has experienced a deterioration of an existing chronic ailment. A2 Loss of employment If, following the booking of the holiday or travel service, the employ ment contract of the insured person or the simultaneously booked accompanying traveller is unexpectedly terminated. A3 Failure and delays If, either before beginning a journey or while en route to th</x:v>
      </x:c>
      <x:c r="H215" s="10" t="str">
        <x:v>Your insurance coverage is listed in your policy as you requested and applies solely to private individuals.</x:v>
      </x:c>
      <x:c r="I215" s="8" t="str">
        <x:v>travel_assistance</x:v>
      </x:c>
      <x:c r="J215" s="8" t="str">
        <x:v>CALIBRATION</x:v>
      </x:c>
      <x:c r="K215" s="10" t="str"/>
      <x:c r="L215" s="12" t="str"/>
      <x:c r="M215" s="12" t="str"/>
      <x:c r="N215" s="12" t="str"/>
      <x:c r="O215" s="12" t="str"/>
      <x:c r="P215" s="12" t="str"/>
    </x:row>
    <x:row r="216">
      <x:c r="A216" s="8" t="str">
        <x:v>ext-helvetia-pass-025</x:v>
      </x:c>
      <x:c r="B216" s="8" t="str">
        <x:v>helvetia_pdf</x:v>
      </x:c>
      <x:c r="C216" s="8" t="str">
        <x:v>data/raw/pdfs/brochure-household-contents-and-private-liability.pdf</x:v>
      </x:c>
      <x:c r="D216" s="8" t="str">
        <x:v>brochure-household-contents-and-private-liability</x:v>
      </x:c>
      <x:c r="E216" s="8" t="n">
        <x:v>3</x:v>
      </x:c>
      <x:c r="F216" s="10" t="str">
        <x:v>According to brochure-household-contents-and-private-liability.pdf, what provision is stated in the supplied policy context?</x:v>
      </x:c>
      <x:c r="G216" s="10" t="str">
        <x:v>Scope of the insurance cover Household contents includes all movables (such as clothes, furniture, consumer electronics, pets, etc.) required for living and recreation. Insured persons All persons permanently residing in the same household as the policyholder. Insured risks • Fire and natural forces • Theft and robbery • Damage and destruction of all kinds due to external causes Insured benefit New for old replacement price for an identical or equivalent household item at the time of the damage. Geographical scope of the policy • At home in Switzerland and the Principality of Liechtenstein • Worldwide for trips and excursions of up to one year’s duration Tailor the policy to your needs • Cover garden areas against fire/ natural forces • Cover for losses resulting from Internet use (cyber risks) • Earthquake insurance • Various all-risks insurances for everyday items (e.g. sports equipment, cameras, mobile phones, etc.) • Theft Plus insurance • Cover for necessary follow-up costs (e.g. clean-up costs) • Cover for damage and destruction of special valuables (e.g. jewellery, antiques, collections</x:v>
      </x:c>
      <x:c r="H216" s="10" t="str">
        <x:v>Insured persons All persons permanently residing in the same household as the policyholder.</x:v>
      </x:c>
      <x:c r="I216" s="8" t="str">
        <x:v>household</x:v>
      </x:c>
      <x:c r="J216" s="8" t="str">
        <x:v>LOCKED_HOLDOUT_CANDIDATE</x:v>
      </x:c>
      <x:c r="K216" s="10" t="str"/>
      <x:c r="L216" s="12" t="str"/>
      <x:c r="M216" s="12" t="str"/>
      <x:c r="N216" s="12" t="str"/>
      <x:c r="O216" s="12" t="str"/>
      <x:c r="P216" s="12" t="str"/>
    </x:row>
    <x:row r="217">
      <x:c r="A217" s="8" t="str">
        <x:v>ext-helvetia-pass-026</x:v>
      </x:c>
      <x:c r="B217" s="8" t="str">
        <x:v>helvetia_pdf</x:v>
      </x:c>
      <x:c r="C217" s="8" t="str">
        <x:v>data/raw/pdfs/brochure-services.pdf</x:v>
      </x:c>
      <x:c r="D217" s="8" t="str">
        <x:v>brochure-services</x:v>
      </x:c>
      <x:c r="E217" s="8" t="n">
        <x:v>2</x:v>
      </x:c>
      <x:c r="F217" s="10" t="str">
        <x:v>According to brochure-services.pdf, what provision is stated in the supplied policy context?</x:v>
      </x:c>
      <x:c r="G217"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217" s="10" t="str">
        <x:v>helvetia.ch/kundenportal “Helvetia guarantees claims payment within 48h following a successful claims review.” 2/4 | Helvetia services – product information sheet</x:v>
      </x:c>
      <x:c r="I217" s="8" t="str">
        <x:v>general_insurance</x:v>
      </x:c>
      <x:c r="J217" s="8" t="str">
        <x:v>LOCKED_HOLDOUT_CANDIDATE</x:v>
      </x:c>
      <x:c r="K217" s="10" t="str"/>
      <x:c r="L217" s="12" t="str"/>
      <x:c r="M217" s="12" t="str"/>
      <x:c r="N217" s="12" t="str"/>
      <x:c r="O217" s="12" t="str"/>
      <x:c r="P217" s="12" t="str"/>
    </x:row>
    <x:row r="218">
      <x:c r="A218" s="8" t="str">
        <x:v>ext-helvetia-pass-027</x:v>
      </x:c>
      <x:c r="B218" s="8" t="str">
        <x:v>helvetia_pdf</x:v>
      </x:c>
      <x:c r="C218" s="8" t="str">
        <x:v>data/raw/pdfs/buildings-insurance-sti.pdf</x:v>
      </x:c>
      <x:c r="D218" s="8" t="str">
        <x:v>buildings-insurance-sti</x:v>
      </x:c>
      <x:c r="E218" s="8" t="n">
        <x:v>3</x:v>
      </x:c>
      <x:c r="F218" s="10" t="str">
        <x:v>According to buildings-insurance-sti.pdf, what provision is stated in the supplied policy context?</x:v>
      </x:c>
      <x:c r="G218" s="10" t="str">
        <x:v>ave been caused by: D1 Theft or attempted theft. Destruction, damage or loss as a result of: E1 Leakage of liquids and gas: a) from pipelines or connected instal lations or apparatus; b) from decorative fountains, aquaria waterbeds, pools, liquids from humidifiers; c) and the resultant loss of liquids or gas; E2 Water condensation from cooling equipment and devices; E3 Penetration of rain and melting snow into the building through the roof, from roof gutters or from outdoor drain pipes, through closed windows, doors and skylights; E4 Backpressure from sewage ducts as well as underground slope water, ground water, rock water and seepage water inside the building; E5 Pipelines frozen or damaged by frost, tanks and containers serving the insured company and/or the insured buildings as well as adjacent installations, apparatus and machinery. Costs for the thawing of frozen pipelines are covered; E6 Fungal or pest infestation of any kind if proven to have been caused by insured water damage, if reported to Helvetia immediately, and provided that the construction has not been modified or extended in any way in the meantime. Sum insured according to policy Sum insured according to policy money assets from coin-operated vending machines CHF 500 Sum insured according to policy Insured if specified in the policy Sum insured according to policy Sum insured according to policy Sum insured according to policy Insured if specified in the policy CHF 2ʼ000 Sum insured according to policy Sum insured according to policy Sum insured according to policy CHF 5ʼ000 CHF 5ʼ000 CHF 5ʼ000 CHF 5ʼ000 CHF 5ʼ000 CHF 5ʼ000 Sum insured according to policy Sum insured according to policy CHF 1ʼ000 for theft without use of force Sum insured according to policy CHF 5ʼ000 CHF 5ʼ000 CHF 5ʼ000 Sum insured according to policy Sum insured according to policy Sum insured according to policy Sum insured according to policy Sum insured according to policy Sum insured according to policy Sum i</x:v>
      </x:c>
      <x:c r="H218" s="10" t="str">
        <x:v>Costs for the thawing of frozen pipelines are covered; E6 Fungal or pest infestation of any kind if proven to have been caused by insured water damage, if reported to Helvetia immediately, and provided that the construction has not been modified or extended in any way in the meantime.</x:v>
      </x:c>
      <x:c r="I218" s="8" t="str">
        <x:v>general_insurance</x:v>
      </x:c>
      <x:c r="J218" s="8" t="str">
        <x:v>CALIBRATION</x:v>
      </x:c>
      <x:c r="K218" s="10" t="str"/>
      <x:c r="L218" s="12" t="str"/>
      <x:c r="M218" s="12" t="str"/>
      <x:c r="N218" s="12" t="str"/>
      <x:c r="O218" s="12" t="str"/>
      <x:c r="P218" s="12" t="str"/>
    </x:row>
    <x:row r="219">
      <x:c r="A219" s="8" t="str">
        <x:v>ext-helvetia-pass-028</x:v>
      </x:c>
      <x:c r="B219" s="8" t="str">
        <x:v>helvetia_pdf</x:v>
      </x:c>
      <x:c r="C219" s="8" t="str">
        <x:v>data/raw/pdfs/household-contents-private-liability-sti.pdf</x:v>
      </x:c>
      <x:c r="D219" s="8" t="str">
        <x:v>household-contents-private-liability-sti</x:v>
      </x:c>
      <x:c r="E219" s="8" t="n">
        <x:v>3</x:v>
      </x:c>
      <x:c r="F219" s="10" t="str">
        <x:v>According to household-contents-private-liability-sti.pdf, what provision is stated in the supplied policy context?</x:v>
      </x:c>
      <x:c r="G219" s="10" t="str">
        <x:v>Natural forces Theft Liquids and gas Household contents all risks Destruction, damage or loss as a result of C1 flooding and inundation; C2 storms (wind of 75 km / h or more that uproots trees or takes the roofs of f buildings in the vicinity of the insured property); C3 hail; C4 avalanches; C5 snow pressure; C6 rockslides and rock impacts; C7 land slides. Damage conclusively proven by physical traces, witnesses or circumstances to have been caused by D1 burglary: theft by criminals who enter a building or a room of a building by force or break into a container in the room. Burglary also includes: ■ Theft by opening the doors with the correct keys or codes is deemed to be burglary , provided that the perpetrator obtained the keys or codes by means of burglary or robbery; ■ Breaking open of garden sheds, allotment sheds and apiaries. In the case of attempted burglary and burglary on the owner-inhabited premises at the insured location, compensation will also be paid for the resultant building damage within the scope of the insured sum for household contents; D2 robbery: theft under threat or use of violence against persons as well as theft from persons unable to resist as a result of death,</x:v>
      </x:c>
      <x:c r="H219" s="10" t="str">
        <x:v>Natural forces Theft Liquids and gas Household contents all risks Destruction, damage or loss as a result of C1 flooding and inundation; C2 storms (wind of 75 km / h or more that uproots trees or takes the roofs of f buildings in the vicinity of the insured property); C3 hail; C4 avalanches; C5 snow pressure; C6 rockslides and rock impacts; C7 land slides.</x:v>
      </x:c>
      <x:c r="I219" s="8" t="str">
        <x:v>household</x:v>
      </x:c>
      <x:c r="J219" s="8" t="str">
        <x:v>LOCKED_HOLDOUT_CANDIDATE</x:v>
      </x:c>
      <x:c r="K219" s="10" t="str"/>
      <x:c r="L219" s="12" t="str"/>
      <x:c r="M219" s="12" t="str"/>
      <x:c r="N219" s="12" t="str"/>
      <x:c r="O219" s="12" t="str"/>
      <x:c r="P219" s="12" t="str"/>
    </x:row>
    <x:row r="220">
      <x:c r="A220" s="8" t="str">
        <x:v>ext-helvetia-pass-029</x:v>
      </x:c>
      <x:c r="B220" s="8" t="str">
        <x:v>helvetia_pdf</x:v>
      </x:c>
      <x:c r="C220" s="8" t="str">
        <x:v>data/raw/pdfs/legal-protection-sti.pdf</x:v>
      </x:c>
      <x:c r="D220" s="8" t="str">
        <x:v>legal-protection-sti</x:v>
      </x:c>
      <x:c r="E220" s="8" t="n">
        <x:v>3</x:v>
      </x:c>
      <x:c r="F220" s="10" t="str">
        <x:v>According to legal-protection-sti.pdf, what provision is stated in the supplied policy context?</x:v>
      </x:c>
      <x:c r="G220" s="10" t="str">
        <x:v>Personal legal protection Traffic legal protection Unless listed separately in the STI, the policy does not cover claims B1 The protection of the legal interests of the insured person by the insurer; B2 Payment of: ■ the cost of lawyers engaged on the insured person’s behalf; ■ the cost of mediators engaged on the insured person’s behalf; ■ the cost of experts; ■ procedural and court costs to be borne by the insured person, incl. clerical and judgement fees; ■ any compensation awarded to the counterparty; ■ any bail paid in order to avoid detention while awaiting trial. This benefit is paid in the form of an advance only and must be repaid to the insurer by the insured person; ■ travel expenses incurred as a result of being required to appear before a foreign court of law; ■ translation costs; B3 The insured person must return any court or prevailingparty costs awarded to him/ her to Coop Rechtsschutz up to the amount of the benefits paid. C1 The protection of the legal interests of the insured person by the insurer; C2 Payment of: ■ the cost of lawyers engaged on the insured person’s behalf; ■ the cost of mediators engaged on the insured person’s behalf; ■ the cost of experts; ■ procedural and court costs to be borne by the insured person, incl. clerical and jud</x:v>
      </x:c>
      <x:c r="H220" s="10" t="str">
        <x:v>Personal legal protection Traffic legal protection Unless listed separately in the STI, the policy does not cover claims B1 The protection of the legal interests of the insured person by the insurer; B2 Payment of: ■ the cost of lawyers engaged on the insured person’s behalf; ■ the cost of mediators engaged on the insured person’s behalf; ■ the cost of experts; ■ procedural and court costs to be borne by the insured person, incl.</x:v>
      </x:c>
      <x:c r="I220" s="8" t="str">
        <x:v>legal_protection</x:v>
      </x:c>
      <x:c r="J220" s="8" t="str">
        <x:v>CALIBRATION</x:v>
      </x:c>
      <x:c r="K220" s="10" t="str"/>
      <x:c r="L220" s="12" t="str"/>
      <x:c r="M220" s="12" t="str"/>
      <x:c r="N220" s="12" t="str"/>
      <x:c r="O220" s="12" t="str"/>
      <x:c r="P220" s="12" t="str"/>
    </x:row>
    <x:row r="221">
      <x:c r="A221" s="8" t="str">
        <x:v>ext-helvetia-pass-030</x:v>
      </x:c>
      <x:c r="B221" s="8" t="str">
        <x:v>helvetia_pdf</x:v>
      </x:c>
      <x:c r="C221" s="8" t="str">
        <x:v>data/raw/pdfs/motor-vehicle-insurance-product-sheet.pdf</x:v>
      </x:c>
      <x:c r="D221" s="8" t="str">
        <x:v>motor-vehicle-insurance-product-sheet</x:v>
      </x:c>
      <x:c r="E221" s="8" t="n">
        <x:v>2</x:v>
      </x:c>
      <x:c r="F221" s="10" t="str">
        <x:v>According to motor-vehicle-insurance-product-sheet.pdf, what provision is stated in the supplied policy context?</x:v>
      </x:c>
      <x:c r="G221"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21" s="10" t="str">
        <x:v>Owner and driver of the insured vehicle Insured benefits</x:v>
      </x:c>
      <x:c r="I221" s="8" t="str">
        <x:v>motor</x:v>
      </x:c>
      <x:c r="J221" s="8" t="str">
        <x:v>VALIDATION</x:v>
      </x:c>
      <x:c r="K221" s="10" t="str"/>
      <x:c r="L221" s="12" t="str"/>
      <x:c r="M221" s="12" t="str"/>
      <x:c r="N221" s="12" t="str"/>
      <x:c r="O221" s="12" t="str"/>
      <x:c r="P221" s="12" t="str"/>
    </x:row>
    <x:row r="222">
      <x:c r="A222" s="8" t="str">
        <x:v>ext-helvetia-pass-031</x:v>
      </x:c>
      <x:c r="B222" s="8" t="str">
        <x:v>helvetia_pdf</x:v>
      </x:c>
      <x:c r="C222" s="8" t="str">
        <x:v>data/raw/pdfs/motor-vehicle-insurance-sti.pdf</x:v>
      </x:c>
      <x:c r="D222" s="8" t="str">
        <x:v>motor-vehicle-insurance-sti</x:v>
      </x:c>
      <x:c r="E222" s="8" t="n">
        <x:v>4</x:v>
      </x:c>
      <x:c r="F222" s="10" t="str">
        <x:v>According to motor-vehicle-insurance-sti.pdf, what provision is stated in the supplied policy context?</x:v>
      </x:c>
      <x:c r="G222"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Liechtenstein, the law of Liechtenstein applies together with the provisions of the Liechtenstein</x:v>
      </x:c>
      <x:c r="H222" s="10" t="str">
        <x:v>Gallen or Helvetia Swiss Life Insurance Company Ltd St.</x:v>
      </x:c>
      <x:c r="I222" s="8" t="str">
        <x:v>motor</x:v>
      </x:c>
      <x:c r="J222" s="8" t="str">
        <x:v>LOCKED_HOLDOUT_CANDIDATE</x:v>
      </x:c>
      <x:c r="K222" s="10" t="str"/>
      <x:c r="L222" s="12" t="str"/>
      <x:c r="M222" s="12" t="str"/>
      <x:c r="N222" s="12" t="str"/>
      <x:c r="O222" s="12" t="str"/>
      <x:c r="P222" s="12" t="str"/>
    </x:row>
    <x:row r="223">
      <x:c r="A223" s="8" t="str">
        <x:v>ext-helvetia-pass-032</x:v>
      </x:c>
      <x:c r="B223" s="8" t="str">
        <x:v>helvetia_pdf</x:v>
      </x:c>
      <x:c r="C223" s="8" t="str">
        <x:v>data/raw/pdfs/mutual-provisions-pkv.pdf</x:v>
      </x:c>
      <x:c r="D223" s="8" t="str">
        <x:v>mutual-provisions-pkv</x:v>
      </x:c>
      <x:c r="E223" s="8" t="n">
        <x:v>2</x:v>
      </x:c>
      <x:c r="F223" s="10" t="str">
        <x:v>According to mutual-provisions-pkv.pdf, what provision is stated in the supplied policy context?</x:v>
      </x:c>
      <x:c r="G223"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the Federal Law on Insurance Supervision (ISL) and the Private Insurer Supervision Ordinance. Please send all communication in writing or any other text form addressed to Helvetia to the General Agency stated in t</x:v>
      </x:c>
      <x:c r="H223" s="10" t="str">
        <x:v>This is why the Standard Terms of Insurance (STIs) are structured like a reference document.</x:v>
      </x:c>
      <x:c r="I223" s="8" t="str">
        <x:v>general_insurance</x:v>
      </x:c>
      <x:c r="J223" s="8" t="str">
        <x:v>CALIBRATION</x:v>
      </x:c>
      <x:c r="K223" s="10" t="str"/>
      <x:c r="L223" s="12" t="str"/>
      <x:c r="M223" s="12" t="str"/>
      <x:c r="N223" s="12" t="str"/>
      <x:c r="O223" s="12" t="str"/>
      <x:c r="P223" s="12" t="str"/>
    </x:row>
    <x:row r="224">
      <x:c r="A224" s="8" t="str">
        <x:v>ext-helvetia-pass-033</x:v>
      </x:c>
      <x:c r="B224" s="8" t="str">
        <x:v>helvetia_pdf</x:v>
      </x:c>
      <x:c r="C224" s="8" t="str">
        <x:v>data/raw/pdfs/rental-guarantee-insurance-sti.pdf</x:v>
      </x:c>
      <x:c r="D224" s="8" t="str">
        <x:v>rental-guarantee-insurance-sti</x:v>
      </x:c>
      <x:c r="E224" s="8" t="n">
        <x:v>3</x:v>
      </x:c>
      <x:c r="F224" s="10" t="str">
        <x:v>According to rental-guarantee-insurance-sti.pdf, what provision is stated in the supplied policy context?</x:v>
      </x:c>
      <x:c r="G224"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x:v>
      </x:c>
      <x:c r="H224" s="10" t="str">
        <x:v>The contractual basis comprises the application, the customer information, the Standard Terms of Insurance and, further special conditions or supplemen - tary provisions, and also the policy.</x:v>
      </x:c>
      <x:c r="I224" s="8" t="str">
        <x:v>rental_guarantee</x:v>
      </x:c>
      <x:c r="J224" s="8" t="str">
        <x:v>LOCKED_HOLDOUT_CANDIDATE</x:v>
      </x:c>
      <x:c r="K224" s="10" t="str"/>
      <x:c r="L224" s="12" t="str"/>
      <x:c r="M224" s="12" t="str"/>
      <x:c r="N224" s="12" t="str"/>
      <x:c r="O224" s="12" t="str"/>
      <x:c r="P224" s="12" t="str"/>
    </x:row>
    <x:row r="225">
      <x:c r="A225" s="8" t="str">
        <x:v>ext-helvetia-pass-034</x:v>
      </x:c>
      <x:c r="B225" s="8" t="str">
        <x:v>helvetia_pdf</x:v>
      </x:c>
      <x:c r="C225" s="8" t="str">
        <x:v>data/raw/pdfs/assistance-brochure.pdf</x:v>
      </x:c>
      <x:c r="D225" s="8" t="str">
        <x:v>assistance-brochure</x:v>
      </x:c>
      <x:c r="E225" s="8" t="n">
        <x:v>3</x:v>
      </x:c>
      <x:c r="F225" s="10" t="str">
        <x:v>According to assistance-brochure.pdf, what provision is stated in the supplied policy context?</x:v>
      </x:c>
      <x:c r="G225" s="10" t="str">
        <x:v>“All-round insurance: in your leisure time, while travelling, worldwide.” Good to know With Assistance for persons insurance, all booked holidays, trips, events and concerts are insured throughout the year. 3/8 | Helvetia Assistance – product information sheet</x:v>
      </x:c>
      <x:c r="H225" s="10" t="str">
        <x:v>“All-round insurance: in your leisure time, while travelling, worldwide.” Good to know With Assistance for persons insurance, all booked holidays, trips, events and concerts are insured throughout the year.</x:v>
      </x:c>
      <x:c r="I225" s="8" t="str">
        <x:v>travel_assistance</x:v>
      </x:c>
      <x:c r="J225" s="8" t="str">
        <x:v>CALIBRATION</x:v>
      </x:c>
      <x:c r="K225" s="10" t="str"/>
      <x:c r="L225" s="12" t="str"/>
      <x:c r="M225" s="12" t="str"/>
      <x:c r="N225" s="12" t="str"/>
      <x:c r="O225" s="12" t="str"/>
      <x:c r="P225" s="12" t="str"/>
    </x:row>
    <x:row r="226">
      <x:c r="A226" s="8" t="str">
        <x:v>ext-helvetia-pass-035</x:v>
      </x:c>
      <x:c r="B226" s="8" t="str">
        <x:v>helvetia_pdf</x:v>
      </x:c>
      <x:c r="C226" s="8" t="str">
        <x:v>data/raw/pdfs/assistance-sti.pdf</x:v>
      </x:c>
      <x:c r="D226" s="8" t="str">
        <x:v>assistance-sti</x:v>
      </x:c>
      <x:c r="E226" s="8" t="n">
        <x:v>3</x:v>
      </x:c>
      <x:c r="F226" s="10" t="str">
        <x:v>According to assistance-sti.pdf, what provision is stated in the supplied policy context?</x:v>
      </x:c>
      <x:c r="G226" s="10" t="str">
        <x:v>a Swiss Insurance Company Ltd. STI Helvetia private customers insurance, Assistance – September 2025 edition Cancellation costs Insured events Do you want to know how you are insured? Your insurance coverage is listed in your policy as you requested and applies solely to private individuals. A1 Illness, accidents and death a) suf fered by the insured person b) suf fered by an accompanying traveller booked simultaneously c) suf fered by a person close to the insured person or accom panying traveller d) suf fered by the deputy at the workplace If one of the persons listed here dies, falls ill, suffers from pregnancy related problems or has an accident, and is not able to commence the journey or holiday on doctorʼs orders, or if the attending physician certifies that the person has experienced a deterioration of an existing chronic ailment. A2 Loss of employment If, following the booking of the holiday or travel service, the employ ment contract of the insured person or the simultaneously booked accompanying traveller is unexpectedly terminated. A3 Failure and delays If, either before beginning a journey or while en route to the point of departure of a booked trip, the insured person experiences one of the following events: a) failure or delay of public transport or means of transportation; b) the vehicle or taxi used for transportation cannot be driven (is unroadworthy) due to breakdown, accident, theft, fire or natural forces. A4 Burglary , events related to fire, water events or natural forces at the place of residence If the property of the insured person at their place of residence or second home is severely damaged as a result of burglary, fire, water or natural forces, thus requiring their presence during the planned trip. A5 Events during a journey or at the final destination If, as confirmed by an official body (primarily the Federal Department of Foreign Affairs and th</x:v>
      </x:c>
      <x:c r="H226" s="10" t="str">
        <x:v>A2 Loss of employment If, following the booking of the holiday or travel service, the employ ment contract of the insured person or the simultaneously booked accompanying traveller is unexpectedly terminated.</x:v>
      </x:c>
      <x:c r="I226" s="8" t="str">
        <x:v>travel_assistance</x:v>
      </x:c>
      <x:c r="J226" s="8" t="str">
        <x:v>CALIBRATION</x:v>
      </x:c>
      <x:c r="K226" s="10" t="str"/>
      <x:c r="L226" s="12" t="str"/>
      <x:c r="M226" s="12" t="str"/>
      <x:c r="N226" s="12" t="str"/>
      <x:c r="O226" s="12" t="str"/>
      <x:c r="P226" s="12" t="str"/>
    </x:row>
    <x:row r="227">
      <x:c r="A227" s="8" t="str">
        <x:v>ext-helvetia-pass-036</x:v>
      </x:c>
      <x:c r="B227" s="8" t="str">
        <x:v>helvetia_pdf</x:v>
      </x:c>
      <x:c r="C227" s="8" t="str">
        <x:v>data/raw/pdfs/brochure-household-contents-and-private-liability.pdf</x:v>
      </x:c>
      <x:c r="D227" s="8" t="str">
        <x:v>brochure-household-contents-and-private-liability</x:v>
      </x:c>
      <x:c r="E227" s="8" t="n">
        <x:v>3</x:v>
      </x:c>
      <x:c r="F227" s="10" t="str">
        <x:v>According to brochure-household-contents-and-private-liability.pdf, what provision is stated in the supplied policy context?</x:v>
      </x:c>
      <x:c r="G227" s="10" t="str">
        <x:v>Scope of the insurance cover Household contents includes all movables (such as clothes, furniture, consumer electronics, pets, etc.) required for living and recreation. Insured persons All persons permanently residing in the same household as the policyholder. Insured risks • Fire and natural forces • Theft and robbery • Damage and destruction of all kinds due to external causes Insured benefit New for old replacement price for an identical or equivalent household item at the time of the damage. Geographical scope of the policy • At home in Switzerland and the Principality of Liechtenstein • Worldwide for trips and excursions of up to one year’s duration Tailor the policy to your needs • Cover garden areas against fire/ natural forces • Cover for losses resulting from Internet use (cyber risks) • Earthquake insurance • Various all-risks insurances for everyday items (e.g. sports equipment, cameras, mobile phones, etc.) • Theft Plus insurance • Cover for necessary follow-up costs (e.g. clean-up costs) • Cover for damage and destruction of special valuables (e.g. jewellery, antiques, collections, etc.) Helvetia household insurance protects everything you love and value. Helvetia customer portal Your insurance at a glance. helvetia.ch/customer-portal Household contents and private liability insurance 3/8</x:v>
      </x:c>
      <x:c r="H227" s="10" t="str">
        <x:v>Damage and destruction of all kinds due to external causes Insured benefit New for old replacement price for an identical or equivalent household item at the time of the damage.</x:v>
      </x:c>
      <x:c r="I227" s="8" t="str">
        <x:v>household</x:v>
      </x:c>
      <x:c r="J227" s="8" t="str">
        <x:v>LOCKED_HOLDOUT_CANDIDATE</x:v>
      </x:c>
      <x:c r="K227" s="10" t="str"/>
      <x:c r="L227" s="12" t="str"/>
      <x:c r="M227" s="12" t="str"/>
      <x:c r="N227" s="12" t="str"/>
      <x:c r="O227" s="12" t="str"/>
      <x:c r="P227" s="12" t="str"/>
    </x:row>
    <x:row r="228">
      <x:c r="A228" s="8" t="str">
        <x:v>ext-helvetia-pass-037</x:v>
      </x:c>
      <x:c r="B228" s="8" t="str">
        <x:v>helvetia_pdf</x:v>
      </x:c>
      <x:c r="C228" s="8" t="str">
        <x:v>data/raw/pdfs/brochure-services.pdf</x:v>
      </x:c>
      <x:c r="D228" s="8" t="str">
        <x:v>brochure-services</x:v>
      </x:c>
      <x:c r="E228" s="8" t="n">
        <x:v>3</x:v>
      </x:c>
      <x:c r="F228" s="10" t="str">
        <x:v>According to brochure-services.pdf, what provision is stated in the supplied policy context?</x:v>
      </x:c>
      <x:c r="G228" s="10" t="str">
        <x:v>Innovative, customer-focused, there for you. Waiver of premiums In the event of earning disability, you will benefit from a waiver of insurance premiums until the agreed end of the contract. However, you will continue to benefit from insurance cover. Locksmith service If access to your owner-occupied residential premises is not possible due to a sudden and unforeseen event and no other proportionate measures can reasonably be expected to be taken, Helvetia will organize a tradesman to provide access. Card blocking service At your request, we can block lost credit and debit cards as well as SIM cards. Home Assistance Home Assistance includes: • Tradesman service • Organization of construction management • Removal of wasps’, hornets’ and bees’ nests • Immediate measures in the event of a technical defect • Organization of a security service Psychological follow-up support We will pay the cost of psychological support provided by a qualified doctor, psychologist or psychiatrist after an insured event. Waiver of gross negligence</x:v>
      </x:c>
      <x:c r="H228" s="10" t="str">
        <x:v>Waiver of premiums In the event of earning disability, you will benefit from a waiver of insurance premiums until the agreed end of the contract.</x:v>
      </x:c>
      <x:c r="I228" s="8" t="str">
        <x:v>health</x:v>
      </x:c>
      <x:c r="J228" s="8" t="str">
        <x:v>LOCKED_HOLDOUT_CANDIDATE</x:v>
      </x:c>
      <x:c r="K228" s="10" t="str"/>
      <x:c r="L228" s="12" t="str"/>
      <x:c r="M228" s="12" t="str"/>
      <x:c r="N228" s="12" t="str"/>
      <x:c r="O228" s="12" t="str"/>
      <x:c r="P228" s="12" t="str"/>
    </x:row>
    <x:row r="229">
      <x:c r="A229" s="8" t="str">
        <x:v>ext-helvetia-pass-038</x:v>
      </x:c>
      <x:c r="B229" s="8" t="str">
        <x:v>helvetia_pdf</x:v>
      </x:c>
      <x:c r="C229" s="8" t="str">
        <x:v>data/raw/pdfs/buildings-insurance-sti.pdf</x:v>
      </x:c>
      <x:c r="D229" s="8" t="str">
        <x:v>buildings-insurance-sti</x:v>
      </x:c>
      <x:c r="E229" s="8" t="n">
        <x:v>3</x:v>
      </x:c>
      <x:c r="F229" s="10" t="str">
        <x:v>According to buildings-insurance-sti.pdf, what provision is stated in the supplied policy context?</x:v>
      </x:c>
      <x:c r="G229" s="10" t="str">
        <x:v>nsured according to policy Insured if specified in the policy Sum insured according to policy Sum insured according to policy Sum insured according to policy Insured if specified in the policy CHF 2ʼ000 Sum insured according to policy Sum insured according to policy Sum insured according to policy CHF 5ʼ000 CHF 5ʼ000 CHF 5ʼ000 CHF 5ʼ000 CHF 5ʼ000 CHF 5ʼ000 Sum insured according to policy Sum insured according to policy CHF 1ʼ000 for theft without use of force Sum insured according to policy CHF 5ʼ000 CHF 5ʼ000 CHF 5ʼ000 Sum insured according to policy Sum insured according to policy Sum insured according to policy Sum insured according to policy Sum insured according to policy Sum insured according to policy Sum insured according to policy Building property insurance The insurance covers Fire Do you want to know what you are covered for? The coverage and sums insured of the insurance you required are listed in your policy. The explanation of terms must be used additionally to determine the insurance coverage. Underinsurance Destruction, damage or loss as a result of: B1 Fire, smoke (sudden and accidental influence) and water used to extinguish fire; B2 Lightning and overvoltage; B3 Explosion, detonation and implosion; B4 Crash-landings or emergency landings of aircraft, spacecraft or parts thereof, meteorites and other celestial bodies; B5 Pressure waves emitted by aircraft flying at supersonic speeds; B6 Scorch and smoulder damage. A1 Building ■ Sum insured according to policy A2 Supplementary insurance coverage for cantonal buildings insurance Insured if specified in the policy A3 Parts of the building not insured by cantonal buildings insurance ■ Sum insured according to policy A4 Costs for locating, exposing and repairing pipes A4.1 Costs for locating,</x:v>
      </x:c>
      <x:c r="H229" s="10" t="str">
        <x:v>The coverage and sums insured of the insurance you required are listed in your policy.</x:v>
      </x:c>
      <x:c r="I229" s="8" t="str">
        <x:v>general_insurance</x:v>
      </x:c>
      <x:c r="J229" s="8" t="str">
        <x:v>CALIBRATION</x:v>
      </x:c>
      <x:c r="K229" s="10" t="str"/>
      <x:c r="L229" s="12" t="str"/>
      <x:c r="M229" s="12" t="str"/>
      <x:c r="N229" s="12" t="str"/>
      <x:c r="O229" s="12" t="str"/>
      <x:c r="P229" s="12" t="str"/>
    </x:row>
    <x:row r="230">
      <x:c r="A230" s="8" t="str">
        <x:v>ext-helvetia-pass-039</x:v>
      </x:c>
      <x:c r="B230" s="8" t="str">
        <x:v>helvetia_pdf</x:v>
      </x:c>
      <x:c r="C230" s="8" t="str">
        <x:v>data/raw/pdfs/household-contents-private-liability-sti.pdf</x:v>
      </x:c>
      <x:c r="D230" s="8" t="str">
        <x:v>household-contents-private-liability-sti</x:v>
      </x:c>
      <x:c r="E230" s="8" t="n">
        <x:v>3</x:v>
      </x:c>
      <x:c r="F230" s="10" t="str">
        <x:v>According to household-contents-private-liability-sti.pdf, what provision is stated in the supplied policy context?</x:v>
      </x:c>
      <x:c r="G230" s="10" t="str">
        <x:v>Natural forces Theft Liquids and gas Household contents all risks Destruction, damage or loss as a result of C1 flooding and inundation; C2 storms (wind of 75 km / h or more that uproots trees or takes the roofs of f buildings in the vicinity of the insured property); C3 hail; C4 avalanches; C5 snow pressure; C6 rockslides and rock impacts; C7 land slides. Damage conclusively proven by physical traces, witnesses or circumstances to have been caused by D1 burglary: theft by criminals who enter a building or a room of a building by force or break into a container in the room. Burglary also includes: ■ Theft by opening the doors with the correct keys or codes is deemed to be burglary , provided that the perpetrator obtained the keys or codes by means of burglary or robbery; ■ Breaking open of garden sheds, allotment sheds and apiaries. In the case of attempted burglary and burglary on the owner-inhabited premises at the insured location, compensation will also be paid for the resultant building damage within the scope of the insured sum for household contents; D2 robbery: theft under threat or use of violence against persons as well as theft from persons unable to resist as a result of death, unconsciousness or accident. The insurance also covers snatch theft. It does not include pickpocketing and confidence tricks; D3 vandalism: damage caused through mali cious intent during a burglary or robbery , even if th</x:v>
      </x:c>
      <x:c r="H230" s="10" t="str">
        <x:v>Damage conclusively proven by physical traces, witnesses or circumstances to have been caused by D1 burglary: theft by criminals who enter a building or a room of a building by force or break into a container in the room.</x:v>
      </x:c>
      <x:c r="I230" s="8" t="str">
        <x:v>household</x:v>
      </x:c>
      <x:c r="J230" s="8" t="str">
        <x:v>LOCKED_HOLDOUT_CANDIDATE</x:v>
      </x:c>
      <x:c r="K230" s="10" t="str"/>
      <x:c r="L230" s="12" t="str"/>
      <x:c r="M230" s="12" t="str"/>
      <x:c r="N230" s="12" t="str"/>
      <x:c r="O230" s="12" t="str"/>
      <x:c r="P230" s="12" t="str"/>
    </x:row>
    <x:row r="231">
      <x:c r="A231" s="8" t="str">
        <x:v>ext-helvetia-pass-040</x:v>
      </x:c>
      <x:c r="B231" s="8" t="str">
        <x:v>helvetia_pdf</x:v>
      </x:c>
      <x:c r="C231" s="8" t="str">
        <x:v>data/raw/pdfs/legal-protection-sti.pdf</x:v>
      </x:c>
      <x:c r="D231" s="8" t="str">
        <x:v>legal-protection-sti</x:v>
      </x:c>
      <x:c r="E231" s="8" t="n">
        <x:v>3</x:v>
      </x:c>
      <x:c r="F231" s="10" t="str">
        <x:v>According to legal-protection-sti.pdf, what provision is stated in the supplied policy context?</x:v>
      </x:c>
      <x:c r="G231" s="10" t="str">
        <x:v>Personal legal protection Traffic legal protection Unless listed separately in the STI, the policy does not cover claims B1 The protection of the legal interests of the insured person by the insurer; B2 Payment of: ■ the cost of lawyers engaged on the insured person’s behalf; ■ the cost of mediators engaged on the insured person’s behalf; ■ the cost of experts; ■ procedural and court costs to be borne by the insured person, incl. clerical and judgement fees; ■ any compensation awarded to the counterparty; ■ any bail paid in order to avoid detention while awaiting trial. This benefit is paid in the form of an advance only and must be repaid to the insurer by the insured person; ■ travel expenses incurred as a result of being required to appear before a foreign court of law; ■ translation costs; B3 The insured person must return any court or prevailingparty costs awarded to him/ her to Coop Rechtsschutz up to the amount of the benefits paid. C1 The protection of the legal interests of the insured person by the insurer; C2 Payment of: ■ the cost of lawyers engaged on the insured person’s behalf; ■ the cost of mediators engaged on the insured person’s behalf; ■ the cost of experts; ■ procedural and court costs to be borne by the insured person, incl. clerical and judgement fees; ■ any compensation awarded to the counterparty; ■ any bail paid in order to avoid detention while awaiting trial. This benefit is </x:v>
      </x:c>
      <x:c r="H231" s="10" t="str">
        <x:v>clerical and judgement fees; ■ any compensation awarded to the counterparty; ■ any bail paid in order to avoid detention while awaiting trial.</x:v>
      </x:c>
      <x:c r="I231" s="8" t="str">
        <x:v>legal_protection</x:v>
      </x:c>
      <x:c r="J231" s="8" t="str">
        <x:v>CALIBRATION</x:v>
      </x:c>
      <x:c r="K231" s="10" t="str"/>
      <x:c r="L231" s="12" t="str"/>
      <x:c r="M231" s="12" t="str"/>
      <x:c r="N231" s="12" t="str"/>
      <x:c r="O231" s="12" t="str"/>
      <x:c r="P231" s="12" t="str"/>
    </x:row>
    <x:row r="232">
      <x:c r="A232" s="8" t="str">
        <x:v>ext-helvetia-pass-041</x:v>
      </x:c>
      <x:c r="B232" s="8" t="str">
        <x:v>helvetia_pdf</x:v>
      </x:c>
      <x:c r="C232" s="8" t="str">
        <x:v>data/raw/pdfs/motor-vehicle-insurance-product-sheet.pdf</x:v>
      </x:c>
      <x:c r="D232" s="8" t="str">
        <x:v>motor-vehicle-insurance-product-sheet</x:v>
      </x:c>
      <x:c r="E232" s="8" t="n">
        <x:v>2</x:v>
      </x:c>
      <x:c r="F232" s="10" t="str">
        <x:v>According to motor-vehicle-insurance-product-sheet.pdf, what provision is stated in the supplied policy context?</x:v>
      </x:c>
      <x:c r="G232"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32" s="10" t="str">
        <x:v>Injury or death of persons and animals Helvetia customer portal Your insurance at a glance. [motor-vehicle-insurance-product-sheet.pdf, page 2]</x:v>
      </x:c>
      <x:c r="I232" s="8" t="str">
        <x:v>motor</x:v>
      </x:c>
      <x:c r="J232" s="8" t="str">
        <x:v>VALIDATION</x:v>
      </x:c>
      <x:c r="K232" s="10" t="str"/>
      <x:c r="L232" s="12" t="str"/>
      <x:c r="M232" s="12" t="str"/>
      <x:c r="N232" s="12" t="str"/>
      <x:c r="O232" s="12" t="str"/>
      <x:c r="P232" s="12" t="str"/>
    </x:row>
    <x:row r="233">
      <x:c r="A233" s="8" t="str">
        <x:v>ext-helvetia-pass-042</x:v>
      </x:c>
      <x:c r="B233" s="8" t="str">
        <x:v>helvetia_pdf</x:v>
      </x:c>
      <x:c r="C233" s="8" t="str">
        <x:v>data/raw/pdfs/motor-vehicle-insurance-sti.pdf</x:v>
      </x:c>
      <x:c r="D233" s="8" t="str">
        <x:v>motor-vehicle-insurance-sti</x:v>
      </x:c>
      <x:c r="E233" s="8" t="n">
        <x:v>4</x:v>
      </x:c>
      <x:c r="F233" s="10" t="str">
        <x:v>According to motor-vehicle-insurance-sti.pdf, what provision is stated in the supplied policy context?</x:v>
      </x:c>
      <x:c r="G233"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x:v>
      </x:c>
      <x:c r="H233" s="10" t="str">
        <x:v>Alban-Anlage 26 CH-4002 Basel or Coop Rechtsschutz AG Entfelderstrasse 2 CH-5000 Aarau In the course of concluding and executing the contract, Helvetia Swiss Insurance Company Ltd is entitled to act on behalf of the other contracting parties (e. [motor-vehicle-insurance-sti.pdf, page 4]</x:v>
      </x:c>
      <x:c r="I233" s="8" t="str">
        <x:v>motor</x:v>
      </x:c>
      <x:c r="J233" s="8" t="str">
        <x:v>LOCKED_HOLDOUT_CANDIDATE</x:v>
      </x:c>
      <x:c r="K233" s="10" t="str"/>
      <x:c r="L233" s="12" t="str"/>
      <x:c r="M233" s="12" t="str"/>
      <x:c r="N233" s="12" t="str"/>
      <x:c r="O233" s="12" t="str"/>
      <x:c r="P233" s="12" t="str"/>
    </x:row>
    <x:row r="234">
      <x:c r="A234" s="8" t="str">
        <x:v>ext-helvetia-pass-043</x:v>
      </x:c>
      <x:c r="B234" s="8" t="str">
        <x:v>helvetia_pdf</x:v>
      </x:c>
      <x:c r="C234" s="8" t="str">
        <x:v>data/raw/pdfs/mutual-provisions-pkv.pdf</x:v>
      </x:c>
      <x:c r="D234" s="8" t="str">
        <x:v>mutual-provisions-pkv</x:v>
      </x:c>
      <x:c r="E234" s="8" t="n">
        <x:v>2</x:v>
      </x:c>
      <x:c r="F234" s="10" t="str">
        <x:v>According to mutual-provisions-pkv.pdf, what provision is stated in the supplied policy context?</x:v>
      </x:c>
      <x:c r="G234" s="10" t="str">
        <x:v>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the Federal Law on Insurance Supervision (ISL) and the Private Insurer Supervision Ordinance. Please send all communication in writing or any other text form addressed to Helvetia to the General Agency stated in the policy or to our head office. We would like to thank you for the trust your have placed in Helvetia Insurance. Sincerely, Helvetia Insurance Foreword The original German wording governs the legal interpretation of your policy. 2/17 | Helvetia Swiss Insurance Company Ltd. STI Helvetia private customers insurance, Mutual provisions – September 2025 edition</x:v>
      </x:c>
      <x:c r="H234" s="10" t="str">
        <x:v>Your insurance contract comprises the text in your policy, the Standard Terms of Insurance and the mutual provisions that apply. [mutual-provisions-pkv.pdf, page 2]</x:v>
      </x:c>
      <x:c r="I234" s="8" t="str">
        <x:v>general_insurance</x:v>
      </x:c>
      <x:c r="J234" s="8" t="str">
        <x:v>CALIBRATION</x:v>
      </x:c>
      <x:c r="K234" s="10" t="str"/>
      <x:c r="L234" s="12" t="str"/>
      <x:c r="M234" s="12" t="str"/>
      <x:c r="N234" s="12" t="str"/>
      <x:c r="O234" s="12" t="str"/>
      <x:c r="P234" s="12" t="str"/>
    </x:row>
    <x:row r="235">
      <x:c r="A235" s="8" t="str">
        <x:v>ext-helvetia-pass-044</x:v>
      </x:c>
      <x:c r="B235" s="8" t="str">
        <x:v>helvetia_pdf</x:v>
      </x:c>
      <x:c r="C235" s="8" t="str">
        <x:v>data/raw/pdfs/rental-guarantee-insurance-sti.pdf</x:v>
      </x:c>
      <x:c r="D235" s="8" t="str">
        <x:v>rental-guarantee-insurance-sti</x:v>
      </x:c>
      <x:c r="E235" s="8" t="n">
        <x:v>3</x:v>
      </x:c>
      <x:c r="F235" s="10" t="str">
        <x:v>According to rental-guarantee-insurance-sti.pdf, what provision is stated in the supplied policy context?</x:v>
      </x:c>
      <x:c r="G235"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x:v>
      </x:c>
      <x:c r="H235" s="10" t="str">
        <x:v>The Swiss Federal Law on Insurance Contracts also applies. [rental-guarantee-insurance-sti.pdf, page 3]</x:v>
      </x:c>
      <x:c r="I235" s="8" t="str">
        <x:v>rental_guarantee</x:v>
      </x:c>
      <x:c r="J235" s="8" t="str">
        <x:v>LOCKED_HOLDOUT_CANDIDATE</x:v>
      </x:c>
      <x:c r="K235" s="10" t="str"/>
      <x:c r="L235" s="12" t="str"/>
      <x:c r="M235" s="12" t="str"/>
      <x:c r="N235" s="12" t="str"/>
      <x:c r="O235" s="12" t="str"/>
      <x:c r="P235" s="12" t="str"/>
    </x:row>
    <x:row r="236">
      <x:c r="A236" s="8" t="str">
        <x:v>ext-helvetia-pass-045</x:v>
      </x:c>
      <x:c r="B236" s="8" t="str">
        <x:v>helvetia_pdf</x:v>
      </x:c>
      <x:c r="C236" s="8" t="str">
        <x:v>data/raw/pdfs/assistance-brochure.pdf</x:v>
      </x:c>
      <x:c r="D236" s="8" t="str">
        <x:v>assistance-brochure</x:v>
      </x:c>
      <x:c r="E236" s="8" t="n">
        <x:v>4</x:v>
      </x:c>
      <x:c r="F236" s="10" t="str">
        <x:v>According to assistance-brochure.pdf, what provision is stated in the supplied policy context?</x:v>
      </x:c>
      <x:c r="G236" s="10" t="str">
        <x:v>Cancellation cost insurance and Assistance for persons. Cancellation cost insurance covers you for unforeseen events occurring before your departure that make it impossible for you to set off on your journey. Assistance for persons provides insurance to cover you if anything happens while you're travelling. Insured events • Illness, accident or death • Loss of employment • Breakdown/delay of public transport • Breakdown of the vehicle or taxi you are travelling in • Damage to your property at home • Incidents occurring en route to or after arrival at your destination (e.g. strikes, terrorism, volcanic eruption or other natural events) • Grounding, strike or bankruptcy of your airline or tour operator Insured benefits We will cover the cost if you have to cancel, abort or extend your trip. Pre-departure benefits • Cancellation costs, incl. administration fees • Additional travel expenses in th</x:v>
      </x:c>
      <x:c r="H236" s="10" t="str">
        <x:v>Cancellation cost insurance and Assistance for persons. [assistance-brochure.pdf, page 4]</x:v>
      </x:c>
      <x:c r="I236" s="8" t="str">
        <x:v>travel_assistance</x:v>
      </x:c>
      <x:c r="J236" s="8" t="str">
        <x:v>CALIBRATION</x:v>
      </x:c>
      <x:c r="K236" s="10" t="str"/>
      <x:c r="L236" s="12" t="str"/>
      <x:c r="M236" s="12" t="str"/>
      <x:c r="N236" s="12" t="str"/>
      <x:c r="O236" s="12" t="str"/>
      <x:c r="P236" s="12" t="str"/>
    </x:row>
    <x:row r="237">
      <x:c r="A237" s="8" t="str">
        <x:v>ext-helvetia-pass-046</x:v>
      </x:c>
      <x:c r="B237" s="8" t="str">
        <x:v>helvetia_pdf</x:v>
      </x:c>
      <x:c r="C237" s="8" t="str">
        <x:v>data/raw/pdfs/assistance-sti.pdf</x:v>
      </x:c>
      <x:c r="D237" s="8" t="str">
        <x:v>assistance-sti</x:v>
      </x:c>
      <x:c r="E237" s="8" t="n">
        <x:v>3</x:v>
      </x:c>
      <x:c r="F237" s="10" t="str">
        <x:v>According to assistance-sti.pdf, what provision is stated in the supplied policy context?</x:v>
      </x:c>
      <x:c r="G237" s="10" t="str">
        <x:v>s listed in your policy as you requested and applies solely to private individuals. A1 Illness, accidents and death a) suf fered by the insured person b) suf fered by an accompanying traveller booked simultaneously c) suf fered by a person close to the insured person or accom panying traveller d) suf fered by the deputy at the workplace If one of the persons listed here dies, falls ill, suffers from pregnancy related problems or has an accident, and is not able to commence the journey or holiday on doctorʼs orders, or if the attending physician certifies that the person has experienced a deterioration of an existing chronic ailment. A2 Loss of employment If, following the booking of the holiday or travel service, the employ ment contract of the insured person or the simultaneously booked accompanying traveller is unexpectedly terminated. A3 Failure and delays If, either before beginning a journey or while en route to the point of departure of a booked trip, the insured person experiences one of the following events: a) failure or delay of public transport or means of transportation; b) the vehicle or taxi used for transportation cannot be driven (is unroadworthy) due to breakdown, accident, theft, fire or natural forces. A4 Burglary , events related to fire, water events or natural forces at the place of residence If the property of the insured person at their place of residence or second home is severely damaged as a result of burglary, fire, water or natural forces, thus requiring their presence during the planned trip. A5 Events during a journey or at the final destination If, as confirmed by an official body (primarily the Federal Department of Foreign Affairs and the Federal Office of Public Health), the insured person cannot begin the journey or holiday due to strike, fire, water, natural forces, snowfall, avalanche, earthquake, volcanic eruption, destruction caused by a tsunami or hurricane, quarantine, epidemic, radioactive radiation, acts of war, terrorism, revolution, rebellion, civil commotion or insurrection. A6 Theft of documents If credit c</x:v>
      </x:c>
      <x:c r="H237" s="10" t="str">
        <x:v>A3 Failure and delays If, either before beginning a journey or while en route to the point of departure of a booked trip, the insured person experiences one of the following events: a) failure or delay of public transport or means of transportation; b) the vehicle or taxi used for transportation cannot be driven (is unroadworthy) due to breakdown, accident, theft, fire or natural forces. [assistance-sti.pdf, page 3]</x:v>
      </x:c>
      <x:c r="I237" s="8" t="str">
        <x:v>motor</x:v>
      </x:c>
      <x:c r="J237" s="8" t="str">
        <x:v>CALIBRATION</x:v>
      </x:c>
      <x:c r="K237" s="10" t="str"/>
      <x:c r="L237" s="12" t="str"/>
      <x:c r="M237" s="12" t="str"/>
      <x:c r="N237" s="12" t="str"/>
      <x:c r="O237" s="12" t="str"/>
      <x:c r="P237" s="12" t="str"/>
    </x:row>
    <x:row r="238">
      <x:c r="A238" s="8" t="str">
        <x:v>ext-helvetia-pass-047</x:v>
      </x:c>
      <x:c r="B238" s="8" t="str">
        <x:v>helvetia_pdf</x:v>
      </x:c>
      <x:c r="C238" s="8" t="str">
        <x:v>data/raw/pdfs/brochure-household-contents-and-private-liability.pdf</x:v>
      </x:c>
      <x:c r="D238" s="8" t="str">
        <x:v>brochure-household-contents-and-private-liability</x:v>
      </x:c>
      <x:c r="E238" s="8" t="n">
        <x:v>3</x:v>
      </x:c>
      <x:c r="F238" s="10" t="str">
        <x:v>According to brochure-household-contents-and-private-liability.pdf, what provision is stated in the supplied policy context?</x:v>
      </x:c>
      <x:c r="G238" s="10" t="str">
        <x:v>Scope of the insurance cover Household contents includes all movables (such as clothes, furniture, consumer electronics, pets, etc.) required for living and recreation. Insured persons All persons permanently residing in the same household as the policyholder. Insured risks • Fire and natural forces • Theft and robbery • Damage and destruction of all kinds due to external causes Insured benefit New for old replacement price for an identical or equivalent household item at the time of the damage. Geographical scope of the policy • At home in Switzerland and the Principality of Liechtenstein • Worldwide for trips and excursions of up to one year’s duration Tailor the policy to your needs • Cover garden areas against fire/ natural forces • Cover for losses resulting from Internet use (cyber risks) • Earthquake insurance • Various all-risks insurances for everyday items (e.g. sports equipment, cameras, mobile phones, etc.) • Theft Plus insurance • Cover for necessary follow-up costs (e.g. clean-up costs) • Cover for damage and destruction of special valuables (e.g. jewellery, antiques, collections, etc.) Helvetia household insurance protects everything you love and value. Helvetia customer portal Your insurance at a glance. helvetia.ch/customer-portal Household contents and private liability insurance 3/8</x:v>
      </x:c>
      <x:c r="H238" s="10" t="str">
        <x:v>Cover for losses resulting from Internet use (cyber risks) [brochure-household-contents-and-private-liability.pdf, page 3]</x:v>
      </x:c>
      <x:c r="I238" s="8" t="str">
        <x:v>household</x:v>
      </x:c>
      <x:c r="J238" s="8" t="str">
        <x:v>LOCKED_HOLDOUT_CANDIDATE</x:v>
      </x:c>
      <x:c r="K238" s="10" t="str"/>
      <x:c r="L238" s="12" t="str"/>
      <x:c r="M238" s="12" t="str"/>
      <x:c r="N238" s="12" t="str"/>
      <x:c r="O238" s="12" t="str"/>
      <x:c r="P238" s="12" t="str"/>
    </x:row>
    <x:row r="239">
      <x:c r="A239" s="8" t="str">
        <x:v>ext-helvetia-pass-048</x:v>
      </x:c>
      <x:c r="B239" s="8" t="str">
        <x:v>helvetia_pdf</x:v>
      </x:c>
      <x:c r="C239" s="8" t="str">
        <x:v>data/raw/pdfs/brochure-services.pdf</x:v>
      </x:c>
      <x:c r="D239" s="8" t="str">
        <x:v>brochure-services</x:v>
      </x:c>
      <x:c r="E239" s="8" t="n">
        <x:v>3</x:v>
      </x:c>
      <x:c r="F239" s="10" t="str">
        <x:v>According to brochure-services.pdf, what provision is stated in the supplied policy context?</x:v>
      </x:c>
      <x:c r="G239" s="10" t="str">
        <x:v>Innovative, customer-focused, there for you. Waiver of premiums In the event of earning disability, you will benefit from a waiver of insurance premiums until the agreed end of the contract. However, you will continue to benefit from insurance cover. Locksmith service If access to your owner-occupied residential premises is not possible due to a sudden and unforeseen event and no other proportionate measures can reasonably be expected to be taken, Helvetia will organize a tradesman to provide access. Card blocking service At your request, we can block lost credit and debit cards as well as SIM cards. Home Assistance Home Assistance includes: • Tradesman service • Organization of construction management • Removal of wasps’, hornets’ and bees’ nests • Immediate measures in the event of a technical defect • Organization of a security service Psychological follow-up support We will pay the cost of psychological support provided by a qualified doctor, psychologist or psychiatrist after an insured event. Waiver of gross negligence Helvetia waives its right to a reduction in benefits in the</x:v>
      </x:c>
      <x:c r="H239" s="10" t="str">
        <x:v>However, you will continue to benefit from insurance cover. [brochure-services.pdf, page 3]</x:v>
      </x:c>
      <x:c r="I239" s="8" t="str">
        <x:v>general_insurance</x:v>
      </x:c>
      <x:c r="J239" s="8" t="str">
        <x:v>LOCKED_HOLDOUT_CANDIDATE</x:v>
      </x:c>
      <x:c r="K239" s="10" t="str"/>
      <x:c r="L239" s="12" t="str"/>
      <x:c r="M239" s="12" t="str"/>
      <x:c r="N239" s="12" t="str"/>
      <x:c r="O239" s="12" t="str"/>
      <x:c r="P239" s="12" t="str"/>
    </x:row>
    <x:row r="240">
      <x:c r="A240" s="8" t="str">
        <x:v>ext-helvetia-pass-049</x:v>
      </x:c>
      <x:c r="B240" s="8" t="str">
        <x:v>helvetia_pdf</x:v>
      </x:c>
      <x:c r="C240" s="8" t="str">
        <x:v>data/raw/pdfs/buildings-insurance-sti.pdf</x:v>
      </x:c>
      <x:c r="D240" s="8" t="str">
        <x:v>buildings-insurance-sti</x:v>
      </x:c>
      <x:c r="E240" s="8" t="n">
        <x:v>3</x:v>
      </x:c>
      <x:c r="F240" s="10" t="str">
        <x:v>According to buildings-insurance-sti.pdf, what provision is stated in the supplied policy context?</x:v>
      </x:c>
      <x:c r="G240" s="10" t="str">
        <x:v>policy Sum insured according to policy Sum insured according to policy Insured if specified in the policy CHF 2ʼ000 Sum insured according to policy Sum insured according to policy Sum insured according to policy CHF 5ʼ000 CHF 5ʼ000 CHF 5ʼ000 CHF 5ʼ000 CHF 5ʼ000 CHF 5ʼ000 Sum insured according to policy Sum insured according to policy CHF 1ʼ000 for theft without use of force Sum insured according to policy CHF 5ʼ000 CHF 5ʼ000 CHF 5ʼ000 Sum insured according to policy Sum insured according to policy Sum insured according to policy Sum insured according to policy Sum insured according to policy Sum insured according to policy Sum insured according to policy Building property insurance The insurance covers Fire Do you want to know what you are covered for? The coverage and sums insured of the insurance you required are listed in your policy. The explanation of terms must be used additionally to determine the insurance coverage. Underinsurance Destruction, damage or loss as a result of: B1 Fire, smoke (sudden and accidental influence) and water used to extinguish fire; B2 Lightning and overvoltage; B3 Explosion, detonation and implosion; B4 Crash-landings or emergency landings of aircraft, spacecraft or parts thereof, meteorites and other celestial bodies; B5 Pressure waves emitted by aircraft flying at supersonic speeds; B6 Scorch and smoulder damage. A1 Building ■ Sum insured according to policy A2 Supplementary insurance coverage for cantonal buildings insurance Insured if specified in the policy A3 Parts of the building not insured by cantonal buildings insurance ■ Sum insured according to policy A4 Costs for locating, exposing and repairing pipes A4.1 Costs for locating, exposing and repairing pipes related to a pipe burst A4.2 Costs for location work not r</x:v>
      </x:c>
      <x:c r="H240" s="10" t="str">
        <x:v>The explanation of terms must be used additionally to determine the insurance coverage. [buildings-insurance-sti.pdf, page 3]</x:v>
      </x:c>
      <x:c r="I240" s="8" t="str">
        <x:v>general_insurance</x:v>
      </x:c>
      <x:c r="J240" s="8" t="str">
        <x:v>CALIBRATION</x:v>
      </x:c>
      <x:c r="K240" s="10" t="str"/>
      <x:c r="L240" s="12" t="str"/>
      <x:c r="M240" s="12" t="str"/>
      <x:c r="N240" s="12" t="str"/>
      <x:c r="O240" s="12" t="str"/>
      <x:c r="P240" s="12" t="str"/>
    </x:row>
    <x:row r="241">
      <x:c r="A241" s="8" t="str">
        <x:v>ext-helvetia-pass-050</x:v>
      </x:c>
      <x:c r="B241" s="8" t="str">
        <x:v>helvetia_pdf</x:v>
      </x:c>
      <x:c r="C241" s="8" t="str">
        <x:v>data/raw/pdfs/household-contents-private-liability-sti.pdf</x:v>
      </x:c>
      <x:c r="D241" s="8" t="str">
        <x:v>household-contents-private-liability-sti</x:v>
      </x:c>
      <x:c r="E241" s="8" t="n">
        <x:v>3</x:v>
      </x:c>
      <x:c r="F241" s="10" t="str">
        <x:v>According to household-contents-private-liability-sti.pdf, what provision is stated in the supplied policy context?</x:v>
      </x:c>
      <x:c r="G241" s="10" t="str">
        <x:v>Natural forces Theft Liquids and gas Household contents all risks Destruction, damage or loss as a result of C1 flooding and inundation; C2 storms (wind of 75 km / h or more that uproots trees or takes the roofs of f buildings in the vicinity of the insured property); C3 hail; C4 avalanches; C5 snow pressure; C6 rockslides and rock impacts; C7 land slides. Damage conclusively proven by physical traces, witnesses or circumstances to have been caused by D1 burglary: theft by criminals who enter a building or a room of a building by force or break into a container in the room. Burglary also includes: ■ Theft by opening the doors with the correct keys or codes is deemed to be burglary , provided that the perpetrator obtained the keys or codes by means of burglary or robbery; ■ Breaking open of garden sheds, allotment sheds and apiaries. In the case of attempted burglary and burglary on the owner-inhabited premises at the insured location, compensation will also be paid for the resultant building damage within the scope of the insured sum for household contents; D2 robbery: theft under threat or use of violence against persons as well as theft from persons unable to resist as a result of death, unconsciousness or accident. The insurance also covers snatch theft. It does not include pickpocketing and confidence tricks; D3 vandalism: damage caused through mali cious intent during a burglary or robbery , even if there was no theft, or in an attempt thereto; D4 simple theft, i.e. theft that is not deemed to be burglary or robbery , including pickpocketing and confidence tricks. Destruction, damage or loss as a result of E1 leakage of liq uids and gas: a) from pipelines or connected installations or apparatus; b) from decorative fountains, aquaria waterbeds, pools, liquids from humidifiers; c) and resulting od our absorption as well as loss of liquids or gases; E2 water conden sation which has escaped from refrigeration systems or appliances; E3 penetration of rain and melting snow into the building through the roof, from roof gutters or from outdoor drain pipe</x:v>
      </x:c>
      <x:c r="H241" s="10" t="str">
        <x:v>In the case of attempted burglary and burglary on the owner-inhabited premises at the insured location, compensation will also be paid for the resultant building damage within the scope of the insured sum for household contents; D2 robbery: theft under threat or use of violence against persons as well as theft from persons unable to resist as a result of death, unconsciousness or accident. [household-contents-private-liability-sti.pdf, page 3]</x:v>
      </x:c>
      <x:c r="I241" s="8" t="str">
        <x:v>household</x:v>
      </x:c>
      <x:c r="J241" s="8" t="str">
        <x:v>LOCKED_HOLDOUT_CANDIDATE</x:v>
      </x:c>
      <x:c r="K241" s="10" t="str"/>
      <x:c r="L241" s="12" t="str"/>
      <x:c r="M241" s="12" t="str"/>
      <x:c r="N241" s="12" t="str"/>
      <x:c r="O241" s="12" t="str"/>
      <x:c r="P241" s="12" t="str"/>
    </x:row>
    <x:row r="242">
      <x:c r="A242" s="8" t="str">
        <x:v>ext-helvetia-pass-051</x:v>
      </x:c>
      <x:c r="B242" s="8" t="str">
        <x:v>helvetia_pdf</x:v>
      </x:c>
      <x:c r="C242" s="8" t="str">
        <x:v>data/raw/pdfs/legal-protection-sti.pdf</x:v>
      </x:c>
      <x:c r="D242" s="8" t="str">
        <x:v>legal-protection-sti</x:v>
      </x:c>
      <x:c r="E242" s="8" t="n">
        <x:v>3</x:v>
      </x:c>
      <x:c r="F242" s="10" t="str">
        <x:v>According to legal-protection-sti.pdf, what provision is stated in the supplied policy context?</x:v>
      </x:c>
      <x:c r="G242" s="10" t="str">
        <x:v>Personal legal protection Traffic legal protection Unless listed separately in the STI, the policy does not cover claims B1 The protection of the legal interests of the insured person by the insurer; B2 Payment of: ■ the cost of lawyers engaged on the insured person’s behalf; ■ the cost of mediators engaged on the insured person’s behalf; ■ the cost of experts; ■ procedural and court costs to be borne by the insured person, incl. clerical and judgement fees; ■ any compensation awarded to the counterparty; ■ any bail paid in order to avoid detention while awaiting trial. This benefit is paid in the form of an advance only and must be repaid to the insurer by the insured person; ■ travel expenses incurred as a result of being required to appear before a foreign court of law; ■ translation costs; B3 The insured person must return any court or prevailingparty costs awarded to him/ her to Coop Rechtsschutz up to the amount of the benefits paid. C1 The protection of the legal interests of the insured person by the insurer; C2 Payment of: ■ the cost of lawyers engaged on the insured person’s behalf; ■ the cost of mediators engaged on the insured person’s behalf; ■ the cost of experts; ■ procedural and court costs to be borne by the insured person, incl. clerical and judgement fees; ■ any compensation awarded to the counterparty; ■ any bail paid in order to avoid detention while awaiting trial. This benefit is paid in the form of an advance only and must be repaid to the insurer by the insured person; ■ travel expenses incurred as a result of being required to appear before a foreign court of law; ■ translation costs; C3 The insured person must return any court or prevailing-party costs awarded to him/her to Coop Rechtsschutz up to the amount of the benefits paid. A8 relating to a</x:v>
      </x:c>
      <x:c r="H242" s="10" t="str">
        <x:v>This benefit is paid in the form of an advance only and must be repaid to the insurer by the insured person; ■ travel expenses incurred as a result of being required to appear before a foreign court of law; ■ translation costs; B3 The insured person must return any court or prevailingparty costs awarded to him/ her to Coop Rechtsschutz up to the amount of the benefits paid. [legal-protection-sti.pdf, page 3]</x:v>
      </x:c>
      <x:c r="I242" s="8" t="str">
        <x:v>travel_assistance</x:v>
      </x:c>
      <x:c r="J242" s="8" t="str">
        <x:v>CALIBRATION</x:v>
      </x:c>
      <x:c r="K242" s="10" t="str"/>
      <x:c r="L242" s="12" t="str"/>
      <x:c r="M242" s="12" t="str"/>
      <x:c r="N242" s="12" t="str"/>
      <x:c r="O242" s="12" t="str"/>
      <x:c r="P242" s="12" t="str"/>
    </x:row>
    <x:row r="243">
      <x:c r="A243" s="8" t="str">
        <x:v>ext-helvetia-pass-052</x:v>
      </x:c>
      <x:c r="B243" s="8" t="str">
        <x:v>helvetia_pdf</x:v>
      </x:c>
      <x:c r="C243" s="8" t="str">
        <x:v>data/raw/pdfs/motor-vehicle-insurance-product-sheet.pdf</x:v>
      </x:c>
      <x:c r="D243" s="8" t="str">
        <x:v>motor-vehicle-insurance-product-sheet</x:v>
      </x:c>
      <x:c r="E243" s="8" t="n">
        <x:v>2</x:v>
      </x:c>
      <x:c r="F243" s="10" t="str">
        <x:v>According to motor-vehicle-insurance-product-sheet.pdf, what provision is stated in the supplied policy context?</x:v>
      </x:c>
      <x:c r="G243"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43" s="10" t="str">
        <x:v>helvetia.ch/customer-portal 2/8 | Helvetia car insurance [motor-vehicle-insurance-product-sheet.pdf, page 2]</x:v>
      </x:c>
      <x:c r="I243" s="8" t="str">
        <x:v>motor</x:v>
      </x:c>
      <x:c r="J243" s="8" t="str">
        <x:v>VALIDATION</x:v>
      </x:c>
      <x:c r="K243" s="10" t="str"/>
      <x:c r="L243" s="12" t="str"/>
      <x:c r="M243" s="12" t="str"/>
      <x:c r="N243" s="12" t="str"/>
      <x:c r="O243" s="12" t="str"/>
      <x:c r="P243" s="12" t="str"/>
    </x:row>
    <x:row r="244">
      <x:c r="A244" s="8" t="str">
        <x:v>ext-helvetia-pass-053</x:v>
      </x:c>
      <x:c r="B244" s="8" t="str">
        <x:v>helvetia_pdf</x:v>
      </x:c>
      <x:c r="C244" s="8" t="str">
        <x:v>data/raw/pdfs/motor-vehicle-insurance-sti.pdf</x:v>
      </x:c>
      <x:c r="D244" s="8" t="str">
        <x:v>motor-vehicle-insurance-sti</x:v>
      </x:c>
      <x:c r="E244" s="8" t="n">
        <x:v>4</x:v>
      </x:c>
      <x:c r="F244" s="10" t="str">
        <x:v>According to motor-vehicle-insurance-sti.pdf, what provision is stated in the supplied policy context?</x:v>
      </x:c>
      <x:c r="G244"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the applicant, the policyholder is obliged under Article 6 of the Insurance Policies Act to provide complete and correct answers to all the questions in the application (e. g. date of birth, previous damages / losses). If the policyholder or insured person provides an incomp</x:v>
      </x:c>
      <x:c r="H244" s="10" t="str">
        <x:v>The contractual basis comprises the application, the customer information, the Standard Terms of Insurance and, if applicable, further special conditions or supplementary provisions, and also the policy. [motor-vehicle-insurance-sti.pdf, page 4]</x:v>
      </x:c>
      <x:c r="I244" s="8" t="str">
        <x:v>motor</x:v>
      </x:c>
      <x:c r="J244" s="8" t="str">
        <x:v>LOCKED_HOLDOUT_CANDIDATE</x:v>
      </x:c>
      <x:c r="K244" s="10" t="str"/>
      <x:c r="L244" s="12" t="str"/>
      <x:c r="M244" s="12" t="str"/>
      <x:c r="N244" s="12" t="str"/>
      <x:c r="O244" s="12" t="str"/>
      <x:c r="P244" s="12" t="str"/>
    </x:row>
    <x:row r="245">
      <x:c r="A245" s="8" t="str">
        <x:v>ext-helvetia-pass-054</x:v>
      </x:c>
      <x:c r="B245" s="8" t="str">
        <x:v>helvetia_pdf</x:v>
      </x:c>
      <x:c r="C245" s="8" t="str">
        <x:v>data/raw/pdfs/mutual-provisions-pkv.pdf</x:v>
      </x:c>
      <x:c r="D245" s="8" t="str">
        <x:v>mutual-provisions-pkv</x:v>
      </x:c>
      <x:c r="E245" s="8" t="n">
        <x:v>2</x:v>
      </x:c>
      <x:c r="F245" s="10" t="str">
        <x:v>According to mutual-provisions-pkv.pdf, what provision is stated in the supplied policy context?</x:v>
      </x:c>
      <x:c r="G245" s="10" t="str">
        <x:v>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the Federal Law on Insurance Supervision (ISL) and the Private Insurer Supervision Ordinance. Please send all communication in writing or any other text form addressed to Helvetia to the General Agency stated in the policy or to our head office. We would like to thank you for the trust your have placed in Helvetia Insurance. Sincerely, Helvetia Insurance Foreword The original German wording governs the legal interpretation of your policy. 2/17 | Helvetia Swiss Insurance Company Ltd. STI Helvetia private customers insurance, Mutual provisions – September 2025 edition</x:v>
      </x:c>
      <x:c r="H245" s="10" t="str">
        <x:v>The main relevant laws are the provisions of the Swiss Civil Code (CC), the Code of Obligations (CO), the Federal Law on Insurance Contracts (LIC), the Federal Law on Insurance Supervision (ISL) and the Private Insurer Supervision Ordinance. [mutual-provisions-pkv.pdf, page 2]</x:v>
      </x:c>
      <x:c r="I245" s="8" t="str">
        <x:v>general_insurance</x:v>
      </x:c>
      <x:c r="J245" s="8" t="str">
        <x:v>CALIBRATION</x:v>
      </x:c>
      <x:c r="K245" s="10" t="str"/>
      <x:c r="L245" s="12" t="str"/>
      <x:c r="M245" s="12" t="str"/>
      <x:c r="N245" s="12" t="str"/>
      <x:c r="O245" s="12" t="str"/>
      <x:c r="P245" s="12" t="str"/>
    </x:row>
    <x:row r="246">
      <x:c r="A246" s="8" t="str">
        <x:v>ext-helvetia-pass-055</x:v>
      </x:c>
      <x:c r="B246" s="8" t="str">
        <x:v>helvetia_pdf</x:v>
      </x:c>
      <x:c r="C246" s="8" t="str">
        <x:v>data/raw/pdfs/rental-guarantee-insurance-sti.pdf</x:v>
      </x:c>
      <x:c r="D246" s="8" t="str">
        <x:v>rental-guarantee-insurance-sti</x:v>
      </x:c>
      <x:c r="E246" s="8" t="n">
        <x:v>3</x:v>
      </x:c>
      <x:c r="F246" s="10" t="str">
        <x:v>According to rental-guarantee-insurance-sti.pdf, what provision is stated in the supplied policy context?</x:v>
      </x:c>
      <x:c r="G246"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other text form on conclusion of the contract, Helvetia is entitled to terminate the contract within four weeks of becoming aware of the breach of the duty to notify. If the contract is termi nated in this manner, the obligation to pay benefi</x:v>
      </x:c>
      <x:c r="H246" s="10" t="str">
        <x:v>If the policyholder’s place of residence/registered office is the Principality of Liechtenstein, the law of Liechtenstein applies together with the provisions of the Liechtenstein Insurance Policies Act (Versicherungsvertragsgesetz, VersVG). [rental-guarantee-insurance-sti.pdf, page 3]</x:v>
      </x:c>
      <x:c r="I246" s="8" t="str">
        <x:v>rental_guarantee</x:v>
      </x:c>
      <x:c r="J246" s="8" t="str">
        <x:v>LOCKED_HOLDOUT_CANDIDATE</x:v>
      </x:c>
      <x:c r="K246" s="10" t="str"/>
      <x:c r="L246" s="12" t="str"/>
      <x:c r="M246" s="12" t="str"/>
      <x:c r="N246" s="12" t="str"/>
      <x:c r="O246" s="12" t="str"/>
      <x:c r="P246" s="12" t="str"/>
    </x:row>
    <x:row r="247">
      <x:c r="A247" s="8" t="str">
        <x:v>ext-helvetia-pass-056</x:v>
      </x:c>
      <x:c r="B247" s="8" t="str">
        <x:v>helvetia_pdf</x:v>
      </x:c>
      <x:c r="C247" s="8" t="str">
        <x:v>data/raw/pdfs/assistance-brochure.pdf</x:v>
      </x:c>
      <x:c r="D247" s="8" t="str">
        <x:v>assistance-brochure</x:v>
      </x:c>
      <x:c r="E247" s="8" t="n">
        <x:v>4</x:v>
      </x:c>
      <x:c r="F247" s="10" t="str">
        <x:v>According to assistance-brochure.pdf, what provision is stated in the supplied policy context?</x:v>
      </x:c>
      <x:c r="G247" s="10" t="str">
        <x:v>Cancellation cost insurance and Assistance for persons. Cancellation cost insurance covers you for unforeseen events occurring before your departure that make it impossible for you to set off on your journey. Assistance for persons provides insurance to cover you if anything happens while you're travelling. Insured events • Illness, accident or death • Loss of employment • Breakdown/delay of public transport • Breakdown of the vehicle or taxi you are travelling in • Damage to your property at home • Incidents occurring en route to or after arrival at your destination (e.g. strikes, terrorism, volcanic eruption or other natural events) • Grounding, strike or bankruptcy of your airline or tour operator Insured benefits We will cover the cost if you have to cancel, abort or extend your trip. Pre-departure benefits • Cancellation costs, incl. administration fees • Additional travel expenses in the event of delayed departure • Additional expenses Benefits while travelling • Call-back and transport costs • Refundable cost advance while abroad • Add</x:v>
      </x:c>
      <x:c r="H247" s="10" t="str">
        <x:v>Cancellation cost insurance covers you for unforeseen events occurring before your departure that make it impossible for you to set off on your journey. [assistance-brochure.pdf, page 4]</x:v>
      </x:c>
      <x:c r="I247" s="8" t="str">
        <x:v>travel_assistance</x:v>
      </x:c>
      <x:c r="J247" s="8" t="str">
        <x:v>CALIBRATION</x:v>
      </x:c>
      <x:c r="K247" s="10" t="str"/>
      <x:c r="L247" s="12" t="str"/>
      <x:c r="M247" s="12" t="str"/>
      <x:c r="N247" s="12" t="str"/>
      <x:c r="O247" s="12" t="str"/>
      <x:c r="P247" s="12" t="str"/>
    </x:row>
    <x:row r="248">
      <x:c r="A248" s="8" t="str">
        <x:v>ext-helvetia-pass-057</x:v>
      </x:c>
      <x:c r="B248" s="8" t="str">
        <x:v>helvetia_pdf</x:v>
      </x:c>
      <x:c r="C248" s="8" t="str">
        <x:v>data/raw/pdfs/assistance-sti.pdf</x:v>
      </x:c>
      <x:c r="D248" s="8" t="str">
        <x:v>assistance-sti</x:v>
      </x:c>
      <x:c r="E248" s="8" t="n">
        <x:v>3</x:v>
      </x:c>
      <x:c r="F248" s="10" t="str">
        <x:v>According to assistance-sti.pdf, what provision is stated in the supplied policy context?</x:v>
      </x:c>
      <x:c r="G248" s="10" t="str">
        <x:v>uffers from pregnancy related problems or has an accident, and is not able to commence the journey or holiday on doctorʼs orders, or if the attending physician certifies that the person has experienced a deterioration of an existing chronic ailment. A2 Loss of employment If, following the booking of the holiday or travel service, the employ ment contract of the insured person or the simultaneously booked accompanying traveller is unexpectedly terminated. A3 Failure and delays If, either before beginning a journey or while en route to the point of departure of a booked trip, the insured person experiences one of the following events: a) failure or delay of public transport or means of transportation; b) the vehicle or taxi used for transportation cannot be driven (is unroadworthy) due to breakdown, accident, theft, fire or natural forces. A4 Burglary , events related to fire, water events or natural forces at the place of residence If the property of the insured person at their place of residence or second home is severely damaged as a result of burglary, fire, water or natural forces, thus requiring their presence during the planned trip. A5 Events during a journey or at the final destination If, as confirmed by an official body (primarily the Federal Department of Foreign Affairs and the Federal Office of Public Health), the insured person cannot begin the journey or holiday due to strike, fire, water, natural forces, snowfall, avalanche, earthquake, volcanic eruption, destruction caused by a tsunami or hurricane, quarantine, epidemic, radioactive radiation, acts of war, terrorism, revolution, rebellion, civil commotion or insurrection. A6 Theft of documents If credit cards, cheques, identity documents or the insured personʼs personal ticket are stolen on the day before, or the day of, departure and the insured person is unable to begin the journey or holiday on time or is prevented from doing so altogether. The incident must be reported. A7 Grounding of aircraft, strike</x:v>
      </x:c>
      <x:c r="H248" s="10" t="str">
        <x:v>A4 Burglary , events related to fire, water events or natural forces at the place of residence If the property of the insured person at their place of residence or second home is severely damaged as a result of burglary, fire, water or natural forces, thus requiring their presence during the planned trip. [assistance-sti.pdf, page 3]</x:v>
      </x:c>
      <x:c r="I248" s="8" t="str">
        <x:v>household</x:v>
      </x:c>
      <x:c r="J248" s="8" t="str">
        <x:v>CALIBRATION</x:v>
      </x:c>
      <x:c r="K248" s="10" t="str"/>
      <x:c r="L248" s="12" t="str"/>
      <x:c r="M248" s="12" t="str"/>
      <x:c r="N248" s="12" t="str"/>
      <x:c r="O248" s="12" t="str"/>
      <x:c r="P248" s="12" t="str"/>
    </x:row>
    <x:row r="249">
      <x:c r="A249" s="8" t="str">
        <x:v>ext-helvetia-pass-058</x:v>
      </x:c>
      <x:c r="B249" s="8" t="str">
        <x:v>helvetia_pdf</x:v>
      </x:c>
      <x:c r="C249" s="8" t="str">
        <x:v>data/raw/pdfs/brochure-household-contents-and-private-liability.pdf</x:v>
      </x:c>
      <x:c r="D249" s="8" t="str">
        <x:v>brochure-household-contents-and-private-liability</x:v>
      </x:c>
      <x:c r="E249" s="8" t="n">
        <x:v>3</x:v>
      </x:c>
      <x:c r="F249" s="10" t="str">
        <x:v>According to brochure-household-contents-and-private-liability.pdf, what provision is stated in the supplied policy context?</x:v>
      </x:c>
      <x:c r="G249" s="10" t="str">
        <x:v> Insured persons All persons permanently residing in the same household as the policyholder. Insured risks • Fire and natural forces • Theft and robbery • Damage and destruction of all kinds due to external causes Insured benefit New for old replacement price for an identical or equivalent household item at the time of the damage. Geographical scope of the policy • At home in Switzerland and the Principality of Liechtenstein • Worldwide for trips and excursions of up to one year’s duration Tailor the policy to your needs • Cover garden areas against fire/ natural forces • Cover for losses resulting from Internet use (cyber risks) • Earthquake insurance • Various all-risks insurances for everyday items (e.g. sports equipment, cameras, mobile phones, etc.) • Theft Plus insurance • Cover for necessary follow-up costs (e.g. clean-up costs) • Cover for damage and destruction of special valuables (e.g. jewellery, antiques, collections, etc.) Helvetia household insurance protects everything you love and value. Helvetia customer portal Your insurance at a glance. helvetia.ch/customer-portal Household contents and private liability insurance 3/8</x:v>
      </x:c>
      <x:c r="H249" s="10" t="str">
        <x:v>Cover for damage and destruction of special valuables (e.g. [brochure-household-contents-and-private-liability.pdf, page 3]</x:v>
      </x:c>
      <x:c r="I249" s="8" t="str">
        <x:v>household</x:v>
      </x:c>
      <x:c r="J249" s="8" t="str">
        <x:v>LOCKED_HOLDOUT_CANDIDATE</x:v>
      </x:c>
      <x:c r="K249" s="10" t="str"/>
      <x:c r="L249" s="12" t="str"/>
      <x:c r="M249" s="12" t="str"/>
      <x:c r="N249" s="12" t="str"/>
      <x:c r="O249" s="12" t="str"/>
      <x:c r="P249" s="12" t="str"/>
    </x:row>
    <x:row r="250">
      <x:c r="A250" s="8" t="str">
        <x:v>ext-helvetia-pass-059</x:v>
      </x:c>
      <x:c r="B250" s="8" t="str">
        <x:v>helvetia_pdf</x:v>
      </x:c>
      <x:c r="C250" s="8" t="str">
        <x:v>data/raw/pdfs/brochure-services.pdf</x:v>
      </x:c>
      <x:c r="D250" s="8" t="str">
        <x:v>brochure-services</x:v>
      </x:c>
      <x:c r="E250" s="8" t="n">
        <x:v>3</x:v>
      </x:c>
      <x:c r="F250" s="10" t="str">
        <x:v>According to brochure-services.pdf, what provision is stated in the supplied policy context?</x:v>
      </x:c>
      <x:c r="G250" s="10" t="str">
        <x:v>Innovative, customer-focused, there for you. Waiver of premiums In the event of earning disability, you will benefit from a waiver of insurance premiums until the agreed end of the contract. However, you will continue to benefit from insurance cover. Locksmith service If access to your owner-occupied residential premises is not possible due to a sudden and unforeseen event and no other proportionate measures can reasonably be expected to be taken, Helvetia will organize a tradesman to provide access. Card blocking service At your request, we can block lost credit and debit cards as well as SIM cards. Home Assistance Home Assistance includes: • Tradesman service • Organization of construction management • Removal of wasps’, hornets’ and bees’ nests • Immediate measures in the event of a technical defect • Organization of a security service Psychological follow-up support We will pay the cost of psychological support provided by a qualified doctor, psychologist or psychiatrist after an insured event. Waiver of gross negligence Helvetia waives its right to a reduction in benefits in the event of grossly negligent conduct. Legal advice Legal advice for all legal disputes is provided by the independent legal service of Coop Rechtsschutz. You can easily arrange the comprehensive Helvetia Service Package in addition to your policy. 3/4 | Helvetia services – product information sheet</x:v>
      </x:c>
      <x:c r="H250" s="10" t="str">
        <x:v>Organization of a security service Psychological follow-up support We will pay the cost of psychological support provided by a qualified doctor, psychologist or psychiatrist after an insured event. [brochure-services.pdf, page 3]</x:v>
      </x:c>
      <x:c r="I250" s="8" t="str">
        <x:v>general_insurance</x:v>
      </x:c>
      <x:c r="J250" s="8" t="str">
        <x:v>LOCKED_HOLDOUT_CANDIDATE</x:v>
      </x:c>
      <x:c r="K250" s="10" t="str"/>
      <x:c r="L250" s="12" t="str"/>
      <x:c r="M250" s="12" t="str"/>
      <x:c r="N250" s="12" t="str"/>
      <x:c r="O250" s="12" t="str"/>
      <x:c r="P250" s="12" t="str"/>
    </x:row>
    <x:row r="251">
      <x:c r="A251" s="8" t="str">
        <x:v>ext-helvetia-pass-060</x:v>
      </x:c>
      <x:c r="B251" s="8" t="str">
        <x:v>helvetia_pdf</x:v>
      </x:c>
      <x:c r="C251" s="8" t="str">
        <x:v>data/raw/pdfs/buildings-insurance-sti.pdf</x:v>
      </x:c>
      <x:c r="D251" s="8" t="str">
        <x:v>buildings-insurance-sti</x:v>
      </x:c>
      <x:c r="E251" s="8" t="n">
        <x:v>3</x:v>
      </x:c>
      <x:c r="F251" s="10" t="str">
        <x:v>According to buildings-insurance-sti.pdf, what provision is stated in the supplied policy context?</x:v>
      </x:c>
      <x:c r="G251" s="10" t="str">
        <x:v>ied in the policy CHF 2ʼ000 Sum insured according to policy Sum insured according to policy Sum insured according to policy CHF 5ʼ000 CHF 5ʼ000 CHF 5ʼ000 CHF 5ʼ000 CHF 5ʼ000 CHF 5ʼ000 Sum insured according to policy Sum insured according to policy CHF 1ʼ000 for theft without use of force Sum insured according to policy CHF 5ʼ000 CHF 5ʼ000 CHF 5ʼ000 Sum insured according to policy Sum insured according to policy Sum insured according to policy Sum insured according to policy Sum insured according to policy Sum insured according to policy Sum insured according to policy Building property insurance The insurance covers Fire Do you want to know what you are covered for? The coverage and sums insured of the insurance you required are listed in your policy. The explanation of terms must be used additionally to determine the insurance coverage. Underinsurance Destruction, damage or loss as a result of: B1 Fire, smoke (sudden and accidental influence) and water used to extinguish fire; B2 Lightning and overvoltage; B3 Explosion, detonation and implosion; B4 Crash-landings or emergency landings of aircraft, spacecraft or parts thereof, meteorites and other celestial bodies; B5 Pressure waves emitted by aircraft flying at supersonic speeds; B6 Scorch and smoulder damage. A1 Building ■ Sum insured according to policy A2 Supplementary insurance coverage for cantonal buildings insurance Insured if specified in the policy A3 Parts of the building not insured by cantonal buildings insurance ■ Sum insured according to policy A4 Costs for locating, exposing and repairing pipes A4.1 Costs for locating, exposing and repairing pipes related to a pipe burst A4.2 Costs for location work not related to a pipe burst A5 Follow-up costs and loss prevention costs A5.1 a) Necessary follow-up costs b) Standing costs c) Artistic or historic values d) Subsequent increase Sum insured according to policy A5.2 Costs for risk-reducing measures CHF 5ʼ000 A5.3 Costs due to regulatory reconstruction restrictions CHF 5ʼ000 A5.4 Costs for replacing locks Sum insured according to policy A5.5 Loss / damage prevention costs CHF 5ʼ000 A6</x:v>
      </x:c>
      <x:c r="H251" s="10" t="str">
        <x:v>Underinsurance Destruction, damage or loss as a result of: B1 Fire, smoke (sudden and accidental influence) and water used to extinguish fire; B2 Lightning and overvoltage; B3 Explosion, detonation and implosion; B4 Crash-landings or emergency landings of aircraft, spacecraft or parts thereof, meteorites and other celestial bodies; B5 Pressure waves emitted by aircraft flying at supersonic speeds; B6 Scorch and smoulder damage. [buildings-insurance-sti.pdf, page 3]</x:v>
      </x:c>
      <x:c r="I251" s="8" t="str">
        <x:v>general_insurance</x:v>
      </x:c>
      <x:c r="J251" s="8" t="str">
        <x:v>CALIBRATION</x:v>
      </x:c>
      <x:c r="K251" s="10" t="str"/>
      <x:c r="L251" s="12" t="str"/>
      <x:c r="M251" s="12" t="str"/>
      <x:c r="N251" s="12" t="str"/>
      <x:c r="O251" s="12" t="str"/>
      <x:c r="P251" s="12" t="str"/>
    </x:row>
    <x:row r="252">
      <x:c r="A252" s="8" t="str">
        <x:v>ext-helvetia-fail-001</x:v>
      </x:c>
      <x:c r="B252" s="8" t="str">
        <x:v>helvetia_pdf</x:v>
      </x:c>
      <x:c r="C252" s="8" t="str">
        <x:v>data/raw/pdfs/assistance-sti.pdf</x:v>
      </x:c>
      <x:c r="D252" s="8" t="str">
        <x:v>assistance-sti</x:v>
      </x:c>
      <x:c r="E252" s="8" t="n">
        <x:v>3</x:v>
      </x:c>
      <x:c r="F252" s="10" t="str">
        <x:v>According to assistance-sti.pdf, what provision is stated in the supplied policy context?</x:v>
      </x:c>
      <x:c r="G252" s="10" t="str">
        <x:v> transport company, the hotel, the landlord, or the organiser of courses, language course holidays or seminars, Helvetia will cover the costs owed for cancelling the enforceable contract, including processing charges and airport fees, up to a maximum of the agreed sum insured. B2 Delayed commencement of travel If, as a result of an insured event, the insured person cannot take a trip or enter a rented property or event until after the originally agreed date, then instead of covering the cancellation costs, Helvetia will cover the additional costs incurred in relation to the delayed departure and the costs for the unused part of the stay in proportion to the arrangement price (not including transport costs). The benefits are limited to the amount of the agreed arrangement price. The day of arrival is deemed to be the used arrangement day. B3 Pets If the pet of the insured person cannot be housed with the planned care person prior to the commencement of the trip due to the care person suffering an accident, illness or death, and if the pet needs to be housed in an animal shelter as a result, Helvetia will pay up to CHF 1ʼ000 per event. B4 Entry tickets, unlimited tickets, season tickets If the insured person is unable to use a previously bought entry ticket for an event due to an insured event and if cancellation is not possible free of charge, Helvetia will cover the costs of the ticket up to CHF 1’000. If the insured person is unable to use previously bought and unused unlimited tickets or season tickets due to an insured event and a refund or later usage is not possible, Helvetia will cover the resulting costs of up to CHF 1ʼ000. Territorial validity The insurance is valid throughout the world. The insurance does not cover C1 Failure and delays If the specified check-in times at the airport are not observed and the journey cannot be commenced as a result. Delays for which the insured person is responsible (e.g. mishaps with petrol, misplacing keys). C2 Poor recovery</x:v>
      </x:c>
      <x:c r="H252" s="10" t="str">
        <x:v>B3 Pets If the pet of the insured person cannot be housed with the planned care person prior to the commencement of the trip due to the care person suffering an accident, illness or death, and if the pet needs to be housed in an animal shelter as a result, Helvetia will pay up to CHF 2ʼ000 per event.</x:v>
      </x:c>
      <x:c r="I252" s="8" t="str">
        <x:v>travel_assistance</x:v>
      </x:c>
      <x:c r="J252" s="8" t="str">
        <x:v>CALIBRATION</x:v>
      </x:c>
      <x:c r="K252" s="10" t="str"/>
      <x:c r="L252" s="12" t="str"/>
      <x:c r="M252" s="12" t="str"/>
      <x:c r="N252" s="12" t="str"/>
      <x:c r="O252" s="12" t="str"/>
      <x:c r="P252" s="12" t="str"/>
    </x:row>
    <x:row r="253">
      <x:c r="A253" s="8" t="str">
        <x:v>ext-helvetia-fail-002</x:v>
      </x:c>
      <x:c r="B253" s="8" t="str">
        <x:v>helvetia_pdf</x:v>
      </x:c>
      <x:c r="C253" s="8" t="str">
        <x:v>data/raw/pdfs/brochure-household-contents-and-private-liability.pdf</x:v>
      </x:c>
      <x:c r="D253" s="8" t="str">
        <x:v>brochure-household-contents-and-private-liability</x:v>
      </x:c>
      <x:c r="E253" s="8" t="n">
        <x:v>6</x:v>
      </x:c>
      <x:c r="F253" s="10" t="str">
        <x:v>According to brochure-household-contents-and-private-liability.pdf, what provision is stated in the supplied policy context?</x:v>
      </x:c>
      <x:c r="G253" s="10" t="str">
        <x:v>Scope of the insurance cover • Settlement of well-founded thirdparty claims • Defence against unfounded thirdparty claims Insured persons The policyholder. If there are other people living in the same household, cover can be extended to encompass a multi-person household. This includes all persons of all ages. Insured capacities • Tenant, leaseholder • Owner, co-owner, condominium owner • Head of family, carer responsible for day-care children, foster children and children on holiday • Animal owner • Person responsible for property taken over, entrusted in safekeeping or rented • Athlete, marksman • Users of third-party vehicles • Users of bicycles and e-bikes with a pedal assistance up to 25 km/h • Person responsible for holding the keys to a business Geographical scope of the policy • Worldwide insurance cover Extend your cover • Extended cover for the use of thirdparty vehicles (worldwide 365-day cover, including rental vehicles, etc.). • Cover for losses resulting from Internet use (cyber risks) • Teachers at private and public schools • Skiing and sports instructors, mountain guides • Hunters • Tenants and borrowers of third-party horses • Owners and users of model aircraft and drones up to 25 kg which are not subject to authorization Private liability insurance covers claims for damages in the event of damage to third-party property or personal injury. Household contents and private liability insurance 6/8</x:v>
      </x:c>
      <x:c r="H253" s="10" t="str">
        <x:v>Extended cover for the use of thirdparty vehicles (worldwide 366-day cover, including rental vehicles, etc.).</x:v>
      </x:c>
      <x:c r="I253" s="8" t="str">
        <x:v>household</x:v>
      </x:c>
      <x:c r="J253" s="8" t="str">
        <x:v>LOCKED_HOLDOUT_CANDIDATE</x:v>
      </x:c>
      <x:c r="K253" s="10" t="str"/>
      <x:c r="L253" s="12" t="str"/>
      <x:c r="M253" s="12" t="str"/>
      <x:c r="N253" s="12" t="str"/>
      <x:c r="O253" s="12" t="str"/>
      <x:c r="P253" s="12" t="str"/>
    </x:row>
    <x:row r="254">
      <x:c r="A254" s="8" t="str">
        <x:v>ext-helvetia-fail-003</x:v>
      </x:c>
      <x:c r="B254" s="8" t="str">
        <x:v>helvetia_pdf</x:v>
      </x:c>
      <x:c r="C254" s="8" t="str">
        <x:v>data/raw/pdfs/buildings-insurance-sti.pdf</x:v>
      </x:c>
      <x:c r="D254" s="8" t="str">
        <x:v>buildings-insurance-sti</x:v>
      </x:c>
      <x:c r="E254" s="8" t="n">
        <x:v>4</x:v>
      </x:c>
      <x:c r="F254" s="10" t="str">
        <x:v>According to buildings-insurance-sti.pdf, what provision is stated in the supplied policy context?</x:v>
      </x:c>
      <x:c r="G254" s="10" t="str">
        <x:v>defective joints, missing or inadequate checking and maintenance of water pipes) or failure to implement preventive measures; A15 Damage caused by deficient construction techniques, execution and planning errors, and defective materials; A16 Damage caused by atomic structure changes irrespective of the cause; A17 Damage caused by water from reservoirs or other man-made water installations irrespective of the cause; A18 Damage from tremors caused by the collapse of man-made cavities; A19 Damage caused by war events or warlike events, neutrality violations, revolution, rebellion or riots, unless the policyholder can provide evidence that the damage is not related to these events; A20 Damage caused by terrorist activities and counterterrorism measures, unless the policyholder provides evidence that the damage is not related to these events. This exclusion does not apply if the sum insured for the building does not exceed CHF 10 million per building; A21 Costs for replacing locks, for locks which cannot be opened with the keys in question; A22 Damage to land, air and water. B7 Damage caused by the purpose-related or gradual effects of heat or smoke; B8 Damage caused to electrical safety mechanisms such as fuses in the performance of their normal function; B9 Overvoltage damage caused by a defect inside a device, a machine or an installation (so-called operating damage); B10 Damage caused by water hammer, centrifugal and other mechanical forces; B11 Damage caused by earthquake or volcanic eruption, and by civil unrest. Period of validity (duration of liability) F1 The obligation to pay benefits for loss of rental income, loss of earnings and/or additional costs commences upon the occurrence of the insured event and lasts for a maximum period of 24 months. F2 The obligation to pay benefits for standing costs and and/or subsequent increase commences upon the occurrence of the insured event and lasts for a maxi</x:v>
      </x:c>
      <x:c r="H254" s="10" t="str">
        <x:v>This exclusion does not apply if the sum insured for the building does not exceed CHF 24 million per building; A21 Costs for replacing locks, for locks which cannot be opened with the keys in question; A22 Damage to land, air and water.</x:v>
      </x:c>
      <x:c r="I254" s="8" t="str">
        <x:v>household</x:v>
      </x:c>
      <x:c r="J254" s="8" t="str">
        <x:v>CALIBRATION</x:v>
      </x:c>
      <x:c r="K254" s="10" t="str"/>
      <x:c r="L254" s="12" t="str"/>
      <x:c r="M254" s="12" t="str"/>
      <x:c r="N254" s="12" t="str"/>
      <x:c r="O254" s="12" t="str"/>
      <x:c r="P254" s="12" t="str"/>
    </x:row>
    <x:row r="255">
      <x:c r="A255" s="8" t="str">
        <x:v>ext-helvetia-fail-004</x:v>
      </x:c>
      <x:c r="B255" s="8" t="str">
        <x:v>helvetia_pdf</x:v>
      </x:c>
      <x:c r="C255" s="8" t="str">
        <x:v>data/raw/pdfs/household-contents-private-liability-sti.pdf</x:v>
      </x:c>
      <x:c r="D255" s="8" t="str">
        <x:v>household-contents-private-liability-sti</x:v>
      </x:c>
      <x:c r="E255" s="8" t="n">
        <x:v>3</x:v>
      </x:c>
      <x:c r="F255" s="10" t="str">
        <x:v>According to household-contents-private-liability-sti.pdf, what provision is stated in the supplied policy context?</x:v>
      </x:c>
      <x:c r="G255" s="10" t="str">
        <x:v>elayed delivery of luggage by a transport company , up to 20 % of the insured sum, not including deduction of an excess; I4 unin tended failure of the cooling mechanism of chest freezers or upright freezers. The insurance covers foodstuffs for private use that are rendered unfit for consumption as a result, not including deduction of an excess. Insured objects I5 Household co ntents, within the scope of the agreed additional insurance, that are located in the insured locations listed in the policy (to the extent covered in the relevant insured locations) and temporarily, for no more than one year, located anywhere in the world outside the residential premises specified in the policy. Sum insured according to policy Sum insured according to policy Sum insured according to policy 20 % of the insured sum as per A1 (household contents), min. CHF 10ʼ000 20 % of the insured sum as per A1 (household contents), min. CHF 10ʼ000 for burglary and robbery. . 20 % of the insured sum as per A1 (household contents), min. CHF 10ʼ000 In case of simple theft out-and-about, the compensation is limited to the amount specified in the policy under “simple theft out-and-about”. Simple theft out-and-about PLUS: If included in your policy , the agreed sum insured is doubled in the case of trips. The sum insured is specified in the policy . Sum insured according to policy Sum insured according to policy Sum insured according to policy CHF 5ʼ000 CHF 5ʼ000 CHF 5ʼ000 Sum insured according to policy Sum insured according to policy, in case of theft without violence CHF 1ʼ000 Sum insured according to policy CHF 2ʼ000 CHF 2ʼ000 CHF 2ʼ000 Household contents insurance The insurance covers Fire Do you want to know how you are insured? The coverage and insured sums of your ins</x:v>
      </x:c>
      <x:c r="H255" s="10" t="str">
        <x:v>CHF 11ʼ000 20 % of the insured sum as per A1 (household contents), min.</x:v>
      </x:c>
      <x:c r="I255" s="8" t="str">
        <x:v>household</x:v>
      </x:c>
      <x:c r="J255" s="8" t="str">
        <x:v>LOCKED_HOLDOUT_CANDIDATE</x:v>
      </x:c>
      <x:c r="K255" s="10" t="str"/>
      <x:c r="L255" s="12" t="str"/>
      <x:c r="M255" s="12" t="str"/>
      <x:c r="N255" s="12" t="str"/>
      <x:c r="O255" s="12" t="str"/>
      <x:c r="P255" s="12" t="str"/>
    </x:row>
    <x:row r="256">
      <x:c r="A256" s="8" t="str">
        <x:v>ext-helvetia-fail-005</x:v>
      </x:c>
      <x:c r="B256" s="8" t="str">
        <x:v>helvetia_pdf</x:v>
      </x:c>
      <x:c r="C256" s="8" t="str">
        <x:v>data/raw/pdfs/legal-protection-sti.pdf</x:v>
      </x:c>
      <x:c r="D256" s="8" t="str">
        <x:v>legal-protection-sti</x:v>
      </x:c>
      <x:c r="E256" s="8" t="n">
        <x:v>4</x:v>
      </x:c>
      <x:c r="F256" s="10" t="str">
        <x:v>According to legal-protection-sti.pdf, what provision is stated in the supplied policy context?</x:v>
      </x:c>
      <x:c r="G256" s="10" t="str">
        <x:v>Personal legal protection Traffic legal protection Unless listed separately in the STI, the policy does not cover claims CHF 1’000 B4 The insured person can immediately consult a lawyer for initial advice. If convicted, the insured person must refund these costs. In accordance with the policy In accordance with the policy In accordance with the policy 10% the sum insured specified in the policy B5 In addition, the cost of hiring a specialized service provider to delete Internet content which breaches privacy is paid up to CHF 1,000. 10% the sum insured specified in the policy B6 If legal assistance fails to remedy the matter within 180 days of the claim being reported, the cost of the financial loss incurred as a result of the unauthorized purchase/sale by third parties will be paid up to CHF 1,000. 10% the sum insured specified in the policy; CHF 1,000 if the breach is committed by the insured person No legal protection is granted if the insured person has engaged in domain name grabbing The insurance covers Where Waiting period Base even</x:v>
      </x:c>
      <x:c r="H256" s="10" t="str">
        <x:v>Personal legal protection Traffic legal protection Unless listed separately in the STI, the policy does not cover claims CHF 10’000 B4 The insured person can immediately consult a lawyer for initial advice.</x:v>
      </x:c>
      <x:c r="I256" s="8" t="str">
        <x:v>legal_protection</x:v>
      </x:c>
      <x:c r="J256" s="8" t="str">
        <x:v>CALIBRATION</x:v>
      </x:c>
      <x:c r="K256" s="10" t="str"/>
      <x:c r="L256" s="12" t="str"/>
      <x:c r="M256" s="12" t="str"/>
      <x:c r="N256" s="12" t="str"/>
      <x:c r="O256" s="12" t="str"/>
      <x:c r="P256" s="12" t="str"/>
    </x:row>
    <x:row r="257">
      <x:c r="A257" s="8" t="str">
        <x:v>ext-helvetia-fail-006</x:v>
      </x:c>
      <x:c r="B257" s="8" t="str">
        <x:v>helvetia_pdf</x:v>
      </x:c>
      <x:c r="C257" s="8" t="str">
        <x:v>data/raw/pdfs/motor-vehicle-insurance-sti.pdf</x:v>
      </x:c>
      <x:c r="D257" s="8" t="str">
        <x:v>motor-vehicle-insurance-sti</x:v>
      </x:c>
      <x:c r="E257" s="8" t="n">
        <x:v>2</x:v>
      </x:c>
      <x:c r="F257" s="10" t="str">
        <x:v>According to motor-vehicle-insurance-sti.pdf, what provision is stated in the supplied policy context?</x:v>
      </x:c>
      <x:c r="G257"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The original German wording governs the legal interpretation of your policy.</x:v>
      </x:c>
      <x:c r="H257" s="10" t="str">
        <x:v>14/31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x:v>
      </x:c>
      <x:c r="I257" s="8" t="str">
        <x:v>motor</x:v>
      </x:c>
      <x:c r="J257" s="8" t="str">
        <x:v>LOCKED_HOLDOUT_CANDIDATE</x:v>
      </x:c>
      <x:c r="K257" s="10" t="str"/>
      <x:c r="L257" s="12" t="str"/>
      <x:c r="M257" s="12" t="str"/>
      <x:c r="N257" s="12" t="str"/>
      <x:c r="O257" s="12" t="str"/>
      <x:c r="P257" s="12" t="str"/>
    </x:row>
    <x:row r="258">
      <x:c r="A258" s="8" t="str">
        <x:v>ext-helvetia-fail-007</x:v>
      </x:c>
      <x:c r="B258" s="8" t="str">
        <x:v>helvetia_pdf</x:v>
      </x:c>
      <x:c r="C258" s="8" t="str">
        <x:v>data/raw/pdfs/mutual-provisions-pkv.pdf</x:v>
      </x:c>
      <x:c r="D258" s="8" t="str">
        <x:v>mutual-provisions-pkv</x:v>
      </x:c>
      <x:c r="E258" s="8" t="n">
        <x:v>3</x:v>
      </x:c>
      <x:c r="F258" s="10" t="str">
        <x:v>According to mutual-provisions-pkv.pdf, what provision is stated in the supplied policy context?</x:v>
      </x:c>
      <x:c r="G258" s="10" t="str">
        <x:v>ation. The right of revocation is excluded in the case of group personal insurance, provisional confirmation of cover, agreements with a term of less than one month. 6 Increase and decrease in risk If any circumstance that is material to the assessment of the risk should change during the term of the contract, and if its extent was determined by the parties on concluding the contract, the policyholder is required to give Helvetia immediate notice of such change in writing or any other text form. All risk factors about which Helvetia requests the policyholder to provide information on the application form or otherwise inquires about (e. g. risk questionnaire, risk and operational characteristics, etc.) are deemed material. If the policyholder fails to give such notice, Helvetia shall not be bound by the contract for the period thereafter. If such notice has been given, Helvetia may increase the premium retroactively as of the time the risks increased or terminate the part of the contract affected by the change within 14 days of receiving such notice. The contract expires four weeks after receipt of the notice of termination. The policyholder has the same right of termination if no agreement can be reached regarding the increased premium. In the event of a significant decrease in risk, the policyholder is entitled to terminate the contract or to request a premium reduction subject to four weeks’ notice in writing or any other text form. If Helvetia rejects a premium reduction or if the policyholder is not in agreement with the reduction offered, the latter is entitled, within four weeks of receiving the response, to terminate the contract subject to four weeks’ notice in writing or any other text form. The premium reduction takes effect when Helvetia receives the relevant notice. 7 Conclusion of the contract/ start of insurance cover After the insurance application has been received a</x:v>
      </x:c>
      <x:c r="H258" s="10" t="str">
        <x:v>If such notice has been given, Helvetia may increase the premium retroactively as of the time the risks increased or terminate the part of the contract affected by the change within 15 days of receiving such notice.</x:v>
      </x:c>
      <x:c r="I258" s="8" t="str">
        <x:v>general_insurance</x:v>
      </x:c>
      <x:c r="J258" s="8" t="str">
        <x:v>CALIBRATION</x:v>
      </x:c>
      <x:c r="K258" s="10" t="str"/>
      <x:c r="L258" s="12" t="str"/>
      <x:c r="M258" s="12" t="str"/>
      <x:c r="N258" s="12" t="str"/>
      <x:c r="O258" s="12" t="str"/>
      <x:c r="P258" s="12" t="str"/>
    </x:row>
    <x:row r="259">
      <x:c r="A259" s="8" t="str">
        <x:v>ext-helvetia-fail-008</x:v>
      </x:c>
      <x:c r="B259" s="8" t="str">
        <x:v>helvetia_pdf</x:v>
      </x:c>
      <x:c r="C259" s="8" t="str">
        <x:v>data/raw/pdfs/rental-guarantee-insurance-sti.pdf</x:v>
      </x:c>
      <x:c r="D259" s="8" t="str">
        <x:v>rental-guarantee-insurance-sti</x:v>
      </x:c>
      <x:c r="E259" s="8" t="n">
        <x:v>5</x:v>
      </x:c>
      <x:c r="F259" s="10" t="str">
        <x:v>According to rental-guarantee-insurance-sti.pdf, what provision is stated in the supplied policy context?</x:v>
      </x:c>
      <x:c r="G259" s="10" t="str">
        <x:v> which it (Helvetia) incurs under its surety obligation. Helvetia is immediately and fully subrogated to the rights of the surety recipient and can, by means of a payment order, demand reimbursement by the tenant resp. policyholder of all amounts paid by it (Helvetia) to the surety recipient in performance of the contract. 2. Where Helvetia has rendered services the tenant resp. policyholder expressly waives the right to file pleas and objections against claims asserted by Helvetia. 7 Bankruptcy of policyholder If bankruptcy proceedings are instituted against the policyholder, the contract remains in force, and the receivers are required to fulfil the contractual obligations. 8 Premiums 1. Helvetia charges 4 % (excl. stamp duty) of the surety sum as premium. Premiums are payable annually in advance on the date specified in the policy. 2. If the policyholders do not comply with their payment obligation, the policyholders will be requested in writing policyholders expense to make payment within 14 days. 3. Contrary to Art. 20 of the Federal Law on Insurance Contracts, if it subsequently becomes necessary to take legal action to collect the outstanding premiums, this does not result in a suspension of the obligation to compensate the surety recipient. If legal action is taken by Helvetia, administrative costs of CHF 100 will be added to the premium owed. 4. Upon premature cancellation or termination of the contract, the premium will be owed only for the time up to the cancellation of the contract, unless cancellation is in the first insurance year. In this instance, the entire premium for the first insurance year is owed. 5. However, the entire premium for the current insurance period is owed if Helvetia makes the surety payment in full. 6. The tenant resp. policyholder is required to pay the premium for as long as the Helvetia private r</x:v>
      </x:c>
      <x:c r="H259" s="10" t="str">
        <x:v>If the policyholders do not comply with their payment obligation, the policyholders will be requested in writing policyholders expense to make payment within 100 days.</x:v>
      </x:c>
      <x:c r="I259" s="8" t="str">
        <x:v>rental_guarantee</x:v>
      </x:c>
      <x:c r="J259" s="8" t="str">
        <x:v>LOCKED_HOLDOUT_CANDIDATE</x:v>
      </x:c>
      <x:c r="K259" s="10" t="str"/>
      <x:c r="L259" s="12" t="str"/>
      <x:c r="M259" s="12" t="str"/>
      <x:c r="N259" s="12" t="str"/>
      <x:c r="O259" s="12" t="str"/>
      <x:c r="P259" s="12" t="str"/>
    </x:row>
    <x:row r="260">
      <x:c r="A260" s="8" t="str">
        <x:v>ext-helvetia-fail-009</x:v>
      </x:c>
      <x:c r="B260" s="8" t="str">
        <x:v>helvetia_pdf</x:v>
      </x:c>
      <x:c r="C260" s="8" t="str">
        <x:v>data/raw/pdfs/assistance-sti.pdf</x:v>
      </x:c>
      <x:c r="D260" s="8" t="str">
        <x:v>assistance-sti</x:v>
      </x:c>
      <x:c r="E260" s="8" t="n">
        <x:v>3</x:v>
      </x:c>
      <x:c r="F260" s="10" t="str">
        <x:v>According to assistance-sti.pdf, what provision is stated in the supplied policy context?</x:v>
      </x:c>
      <x:c r="G260" s="10" t="str">
        <x:v>of travel If, as a result of an insured event, the insured person cannot take a trip or enter a rented property or event until after the originally agreed date, then instead of covering the cancellation costs, Helvetia will cover the additional costs incurred in relation to the delayed departure and the costs for the unused part of the stay in proportion to the arrangement price (not including transport costs). The benefits are limited to the amount of the agreed arrangement price. The day of arrival is deemed to be the used arrangement day. B3 Pets If the pet of the insured person cannot be housed with the planned care person prior to the commencement of the trip due to the care person suffering an accident, illness or death, and if the pet needs to be housed in an animal shelter as a result, Helvetia will pay up to CHF 1ʼ000 per event. B4 Entry tickets, unlimited tickets, season tickets If the insured person is unable to use a previously bought entry ticket for an event due to an insured event and if cancellation is not possible free of charge, Helvetia will cover the costs of the ticket up to CHF 1’000. If the insured person is unable to use previously bought and unused unlimited tickets or season tickets due to an insured event and a refund or later usage is not possible, Helvetia will cover the resulting costs of up to CHF 1ʼ000. Territorial validity The insurance is valid throughout the world. The insurance does not cover C1 Failure and delays If the specified check-in times at the airport are not observed and the journey cannot be commenced as a result. Delays for which the insured person is responsible (e.g. mishaps with petrol, misplacing keys). C2 Poor recovery If an illness or the consequences of an accident or operation existed when the journey was booked and the insured person has not yet re covered by the departure date. This does not include chronic ailments, provided the attending physician confirms that the insured person </x:v>
      </x:c>
      <x:c r="H260" s="10" t="str">
        <x:v>B4 Entry tickets, unlimited tickets, season tickets If the insured person is unable to use a previously bought entry ticket for an event due to an insured event and if cancellation is not possible free of charge, Helvetia will cover the costs of the ticket up to CHF 2’000.</x:v>
      </x:c>
      <x:c r="I260" s="8" t="str">
        <x:v>travel_assistance</x:v>
      </x:c>
      <x:c r="J260" s="8" t="str">
        <x:v>CALIBRATION</x:v>
      </x:c>
      <x:c r="K260" s="10" t="str"/>
      <x:c r="L260" s="12" t="str"/>
      <x:c r="M260" s="12" t="str"/>
      <x:c r="N260" s="12" t="str"/>
      <x:c r="O260" s="12" t="str"/>
      <x:c r="P260" s="12" t="str"/>
    </x:row>
    <x:row r="261">
      <x:c r="A261" s="8" t="str">
        <x:v>ext-helvetia-fail-010</x:v>
      </x:c>
      <x:c r="B261" s="8" t="str">
        <x:v>helvetia_pdf</x:v>
      </x:c>
      <x:c r="C261" s="8" t="str">
        <x:v>data/raw/pdfs/brochure-household-contents-and-private-liability.pdf</x:v>
      </x:c>
      <x:c r="D261" s="8" t="str">
        <x:v>brochure-household-contents-and-private-liability</x:v>
      </x:c>
      <x:c r="E261" s="8" t="n">
        <x:v>7</x:v>
      </x:c>
      <x:c r="F261" s="10" t="str">
        <x:v>According to brochure-household-contents-and-private-liability.pdf, what provision is stated in the supplied policy context?</x:v>
      </x:c>
      <x:c r="G261" s="10" t="str">
        <x:v>Good to know • Policies can also be taken out without any excess. • Under supplementary policies for teachers, skiing and sports instructors and mountain guides: cover is provided for search, rescue and recovery costs for participants and students. Extended cover for the use of third-party vehicles: worldwide 365-day cover, incl. rental vehicles, car sharing, etc. Household contents and private liability insurance 7/8</x:v>
      </x:c>
      <x:c r="H261" s="10" t="str">
        <x:v>Extended cover for the use of third-party vehicles: worldwide 24-day cover, incl.</x:v>
      </x:c>
      <x:c r="I261" s="8" t="str">
        <x:v>household</x:v>
      </x:c>
      <x:c r="J261" s="8" t="str">
        <x:v>LOCKED_HOLDOUT_CANDIDATE</x:v>
      </x:c>
      <x:c r="K261" s="10" t="str"/>
      <x:c r="L261" s="12" t="str"/>
      <x:c r="M261" s="12" t="str"/>
      <x:c r="N261" s="12" t="str"/>
      <x:c r="O261" s="12" t="str"/>
      <x:c r="P261" s="12" t="str"/>
    </x:row>
    <x:row r="262">
      <x:c r="A262" s="8" t="str">
        <x:v>ext-helvetia-fail-011</x:v>
      </x:c>
      <x:c r="B262" s="8" t="str">
        <x:v>helvetia_pdf</x:v>
      </x:c>
      <x:c r="C262" s="8" t="str">
        <x:v>data/raw/pdfs/assistance-brochure.pdf</x:v>
      </x:c>
      <x:c r="D262" s="8" t="str">
        <x:v>assistance-brochure</x:v>
      </x:c>
      <x:c r="E262" s="8" t="n">
        <x:v>2</x:v>
      </x:c>
      <x:c r="F262" s="10" t="str">
        <x:v>According to assistance-brochure.pdf, what provision is stated in the supplied policy context?</x:v>
      </x:c>
      <x:c r="G262" s="10" t="str">
        <x:v>Helvetia Assistance. Entirely according to your needs. Our Assistance insurance consists of four components you can combine individually. Cancellation cost insurance Cancellation cost insurance covers you for unforeseen events occurring before your departure that make it impossible for you to set off on your journey. Assistance for persons Assistance for persons provides insurance to cover you if anything happens while you're travelling. 1 2 2/8 | Helvetia Assistance – product information sheet</x:v>
      </x:c>
      <x:c r="H262" s="10" t="str">
        <x:v>Cancellation cost insurance Cancellation cost insurance does not cover you for unforeseen events occurring before your departure that make it impossible for you to set off on your journey.</x:v>
      </x:c>
      <x:c r="I262" s="8" t="str">
        <x:v>travel_assistance</x:v>
      </x:c>
      <x:c r="J262" s="8" t="str">
        <x:v>CALIBRATION</x:v>
      </x:c>
      <x:c r="K262" s="10" t="str"/>
      <x:c r="L262" s="12" t="str"/>
      <x:c r="M262" s="12" t="str"/>
      <x:c r="N262" s="12" t="str"/>
      <x:c r="O262" s="12" t="str"/>
      <x:c r="P262" s="12" t="str"/>
    </x:row>
    <x:row r="263">
      <x:c r="A263" s="8" t="str">
        <x:v>ext-helvetia-fail-012</x:v>
      </x:c>
      <x:c r="B263" s="8" t="str">
        <x:v>helvetia_pdf</x:v>
      </x:c>
      <x:c r="C263" s="8" t="str">
        <x:v>data/raw/pdfs/assistance-sti.pdf</x:v>
      </x:c>
      <x:c r="D263" s="8" t="str">
        <x:v>assistance-sti</x:v>
      </x:c>
      <x:c r="E263" s="8" t="n">
        <x:v>4</x:v>
      </x:c>
      <x:c r="F263" s="10" t="str">
        <x:v>According to assistance-sti.pdf, what provision is stated in the supplied policy context?</x:v>
      </x:c>
      <x:c r="G263" s="10" t="str">
        <x:v> deemed to be the used arran gement day. Max. CHF 500 for interpreting and telephone costs. Max. CHF 2ʼ000 per insured person for an unforeseen stay abroad. For the costs of the unused part of the stay in proportion to the arrangement price (not including transport costs). The return day is deemed to be the used arrangement day. For the costs for the unused part of the stay in proporti on to the arran gement price (not including transport costs). The return day is deemed to be the used arran gement day. Max. CHF 500 for interpreting and telephone costs. Max. CHF 2ʼ000 per insured person for an unforeseen stay abroad. For the costs of the unused part of the stay in proportion to the arrangement price (not including transport costs). The return day is deemed to be the used arrangement day. Max. CHF 500 for interpreting and telephone costs. The insurance covers Do you want to know how you are insured? Your insurance coverage is listed in your policy as you requested and applies solely to private individuals. E1 Call-back and transport costs D1 Illness, accident or death of an insured person If, after the trip commences, an insured person becomes ill, suffers from pregnancy related problems, is injured, dies, or suffers a medically certified deterioration of a chronic disorder The costs required for transport to the nearest suitable physi cian or hospital. If the trip or holiday cannot be continued after wards, we will cover the additional transport costs required for direct return to the permanent residence. If continuation is possible, additional transport costs up to a maximum of CHF 2ʼ000 will be paid per insured person; Return transport to a hospital at the place of residence or to the permanent residence will be paid by Helvetia </x:v>
      </x:c>
      <x:c r="H263" s="10" t="str">
        <x:v>The insurance does not cover Do you want to know how you are insured?</x:v>
      </x:c>
      <x:c r="I263" s="8" t="str">
        <x:v>travel_assistance</x:v>
      </x:c>
      <x:c r="J263" s="8" t="str">
        <x:v>CALIBRATION</x:v>
      </x:c>
      <x:c r="K263" s="10" t="str"/>
      <x:c r="L263" s="12" t="str"/>
      <x:c r="M263" s="12" t="str"/>
      <x:c r="N263" s="12" t="str"/>
      <x:c r="O263" s="12" t="str"/>
      <x:c r="P263" s="12" t="str"/>
    </x:row>
    <x:row r="264">
      <x:c r="A264" s="8" t="str">
        <x:v>ext-helvetia-fail-013</x:v>
      </x:c>
      <x:c r="B264" s="8" t="str">
        <x:v>helvetia_pdf</x:v>
      </x:c>
      <x:c r="C264" s="8" t="str">
        <x:v>data/raw/pdfs/brochure-household-contents-and-private-liability.pdf</x:v>
      </x:c>
      <x:c r="D264" s="8" t="str">
        <x:v>brochure-household-contents-and-private-liability</x:v>
      </x:c>
      <x:c r="E264" s="8" t="n">
        <x:v>6</x:v>
      </x:c>
      <x:c r="F264" s="10" t="str">
        <x:v>According to brochure-household-contents-and-private-liability.pdf, what provision is stated in the supplied policy context?</x:v>
      </x:c>
      <x:c r="G264" s="10" t="str">
        <x:v>nsured capacities • Tenant, leaseholder • Owner, co-owner, condominium owner • Head of family, carer responsible for day-care children, foster children and children on holiday • Animal owner • Person responsible for property taken over, entrusted in safekeeping or rented • Athlete, marksman • Users of third-party vehicles • Users of bicycles and e-bikes with a pedal assistance up to 25 km/h • Person responsible for holding the keys to a business Geographical scope of the policy • Worldwide insurance cover Extend your cover • Extended cover for the use of thirdparty vehicles (worldwide 365-day cover, including rental vehicles, etc.). • Cover for losses resulting from Internet use (cyber risks) • Teachers at private and public schools • Skiing and sports instructors, mountain guides • Hunters • Tenants and borrowers of third-party horses • Owners and users of model aircraft and drones up to 25 kg which are not subject to authorization Private liability insurance covers claims for damages in the event of damage to third-party property or personal injury. Household contents and private liability insurance 6/8</x:v>
      </x:c>
      <x:c r="H264" s="10" t="str">
        <x:v>Owners and users of model aircraft and drones up to 25 kg which are not subject to authorization Private liability insurance does not cover claims for damages in the event of damage to third-party property or personal injury.</x:v>
      </x:c>
      <x:c r="I264" s="8" t="str">
        <x:v>household</x:v>
      </x:c>
      <x:c r="J264" s="8" t="str">
        <x:v>LOCKED_HOLDOUT_CANDIDATE</x:v>
      </x:c>
      <x:c r="K264" s="10" t="str"/>
      <x:c r="L264" s="12" t="str"/>
      <x:c r="M264" s="12" t="str"/>
      <x:c r="N264" s="12" t="str"/>
      <x:c r="O264" s="12" t="str"/>
      <x:c r="P264" s="12" t="str"/>
    </x:row>
    <x:row r="265">
      <x:c r="A265" s="8" t="str">
        <x:v>ext-helvetia-fail-014</x:v>
      </x:c>
      <x:c r="B265" s="8" t="str">
        <x:v>helvetia_pdf</x:v>
      </x:c>
      <x:c r="C265" s="8" t="str">
        <x:v>data/raw/pdfs/buildings-insurance-sti.pdf</x:v>
      </x:c>
      <x:c r="D265" s="8" t="str">
        <x:v>buildings-insurance-sti</x:v>
      </x:c>
      <x:c r="E265" s="8" t="n">
        <x:v>3</x:v>
      </x:c>
      <x:c r="F265" s="10" t="str">
        <x:v>According to buildings-insurance-sti.pdf, what provision is stated in the supplied policy context?</x:v>
      </x:c>
      <x:c r="G265" s="10" t="str">
        <x:v>ave been caused by: D1 Theft or attempted theft. Destruction, damage or loss as a result of: E1 Leakage of liquids and gas: a) from pipelines or connected instal lations or apparatus; b) from decorative fountains, aquaria waterbeds, pools, liquids from humidifiers; c) and the resultant loss of liquids or gas; E2 Water condensation from cooling equipment and devices; E3 Penetration of rain and melting snow into the building through the roof, from roof gutters or from outdoor drain pipes, through closed windows, doors and skylights; E4 Backpressure from sewage ducts as well as underground slope water, ground water, rock water and seepage water inside the building; E5 Pipelines frozen or damaged by frost, tanks and containers serving the insured company and/or the insured buildings as well as adjacent installations, apparatus and machinery. Costs for the thawing of frozen pipelines are covered; E6 Fungal or pest infestation of any kind if proven to have been caused by insured water damage, if reported to Helvetia immediately, and provided that the construction has not been modified or extended in any way in the meantime. Sum insured according to policy Sum insured according to policy money assets from coin-operated vending machines CHF 500 Sum insured according to policy Insured if specified in the policy Sum insured according to policy Sum insured according to policy Sum insured according to policy Insured if specified in the policy CHF 2ʼ000 Sum insured according to policy Sum insured according to policy Sum insured according to policy CHF 5ʼ000 CHF 5ʼ000 CHF 5ʼ000 CHF 5ʼ000 CHF 5ʼ000 CHF 5ʼ000 Sum insured according to policy Sum insured according to policy CHF 1ʼ000 for theft without use of force Sum insured according to policy CHF 5ʼ000 CHF 5ʼ000 CHF 5ʼ000 Sum insured according to policy Sum insured according to policy Sum insured according to policy Sum insured according to policy Sum insured according to policy Sum insured according to policy Sum i</x:v>
      </x:c>
      <x:c r="H265" s="10" t="str">
        <x:v>Costs for the thawing of frozen pipelines are not covered; E6 Fungal or pest infestation of any kind if proven to have been caused by insured water damage, if reported to Helvetia immediately, and provided that the construction has not been modified or extended in any way in the meantime.</x:v>
      </x:c>
      <x:c r="I265" s="8" t="str">
        <x:v>general_insurance</x:v>
      </x:c>
      <x:c r="J265" s="8" t="str">
        <x:v>CALIBRATION</x:v>
      </x:c>
      <x:c r="K265" s="10" t="str"/>
      <x:c r="L265" s="12" t="str"/>
      <x:c r="M265" s="12" t="str"/>
      <x:c r="N265" s="12" t="str"/>
      <x:c r="O265" s="12" t="str"/>
      <x:c r="P265" s="12" t="str"/>
    </x:row>
    <x:row r="266">
      <x:c r="A266" s="8" t="str">
        <x:v>ext-helvetia-fail-015</x:v>
      </x:c>
      <x:c r="B266" s="8" t="str">
        <x:v>helvetia_pdf</x:v>
      </x:c>
      <x:c r="C266" s="8" t="str">
        <x:v>data/raw/pdfs/household-contents-private-liability-sti.pdf</x:v>
      </x:c>
      <x:c r="D266" s="8" t="str">
        <x:v>household-contents-private-liability-sti</x:v>
      </x:c>
      <x:c r="E266" s="8" t="n">
        <x:v>3</x:v>
      </x:c>
      <x:c r="F266" s="10" t="str">
        <x:v>According to household-contents-private-liability-sti.pdf, what provision is stated in the supplied policy context?</x:v>
      </x:c>
      <x:c r="G266" s="10" t="str">
        <x:v> a result of E1 leakage of liq uids and gas: a) from pipelines or connected installations or apparatus; b) from decorative fountains, aquaria waterbeds, pools, liquids from humidifiers; c) and resulting od our absorption as well as loss of liquids or gases; E2 water conden sation which has escaped from refrigeration systems or appliances; E3 penetration of rain and melting snow into the building through the roof, from roof gutters or from outdoor drain pipes, through closed windows, doors and skylights; E4 backpressure from sewage ducts as well as underground slope water, ground water, rock water and seepage water inside the building; E5 frozen or frost-damaged pipelines, tanks, containers and equipment, instruments and systems connected to them and located in the building interior which have been installed by the policyholder as tenant. Costs for thawing frozen pipes are covered; E6 fungal or pest infestation of any kind if proven to have been caused by insured water damage, if reported to Helvetia immediately , and provided that the construction has not been modified or extended in any way in the meantime. Insured risks I1 unforeseen an d sudden damages by external factors or loss; I2 sudden and unforeseen losses during transport by a transport company or loss as a result of an accident to the transportation; I3 necessary procurements as a result of delayed delivery of luggage by a transport company , up to 20 % of the insured sum, not including deduction of an excess; I4 unin tended failure of the cooling mechanism of chest freezers or upright freezers. The insurance covers foodstuffs for private use that are rendered unfit for consumption as a result, not including deduction of an excess. Insured objects I5 Household co ntents, within the scope of the agreed additional insurance, that are located in the insured locations listed in the policy (to the extent covered in the relevant insured locations) and temporarily, for no more than one y</x:v>
      </x:c>
      <x:c r="H266" s="10" t="str">
        <x:v>Costs for thawing frozen pipes are not covered; E6 fungal or pest infestation of any kind if proven to have been caused by insured water damage, if reported to Helvetia immediately , and provided that the construction has not been modified or extended in any way in the meantime.</x:v>
      </x:c>
      <x:c r="I266" s="8" t="str">
        <x:v>household</x:v>
      </x:c>
      <x:c r="J266" s="8" t="str">
        <x:v>LOCKED_HOLDOUT_CANDIDATE</x:v>
      </x:c>
      <x:c r="K266" s="10" t="str"/>
      <x:c r="L266" s="12" t="str"/>
      <x:c r="M266" s="12" t="str"/>
      <x:c r="N266" s="12" t="str"/>
      <x:c r="O266" s="12" t="str"/>
      <x:c r="P266" s="12" t="str"/>
    </x:row>
    <x:row r="267">
      <x:c r="A267" s="8" t="str">
        <x:v>ext-helvetia-fail-016</x:v>
      </x:c>
      <x:c r="B267" s="8" t="str">
        <x:v>helvetia_pdf</x:v>
      </x:c>
      <x:c r="C267" s="8" t="str">
        <x:v>data/raw/pdfs/legal-protection-sti.pdf</x:v>
      </x:c>
      <x:c r="D267" s="8" t="str">
        <x:v>legal-protection-sti</x:v>
      </x:c>
      <x:c r="E267" s="8" t="n">
        <x:v>3</x:v>
      </x:c>
      <x:c r="F267" s="10" t="str">
        <x:v>According to legal-protection-sti.pdf, what provision is stated in the supplied policy context?</x:v>
      </x:c>
      <x:c r="G267" s="10" t="str">
        <x:v>g and betting; g) aircraft, to the extent that official qualifications are required to pilot them; h) motor vehicles and watercraft; i) administrative procedures (e.g. education authorities, social services); j) breaches of the insured person’s privacy which are recognizable to third parties; k) family law, cohabitation, inheritance law. However, in the above cases the legal consulting in the services product pursuant to Art. A7 applies. In accordance with the policy The insurance does not cover the defence of the insured person against claims for damages or the enforcement of pure financial losses (in the absence of associated bodily injury or property damage). In accordance with the policy If the insured person is investigated for a premeditated offence, costs will only be covered in the event of an acquittal or if the case is dropped. Legal protection insurance The insurance covers Where Waiting period Base event Do you want to know how you are insured? The scope of benefits and sums insured are listed in your policy in accordance with your wishes. Where a single incident gives rise to multiple legal disputes, those disputes will be treated as a single legal protection claim or a single case. The explanation of terms must be used additionally to determine the insurance coverage. Switzerland and the Principality of Liechtenstein Countries of the European Union and the EFTA All other countries A1 Basic insurance A1.1 The policy covers any legal disputes in which the insured persons may be involved as private individuals in their everyday private lives. Benefits for legal disputes as a pedestrian, cyclist or scooter rider, inline skater and similar, or a passenger of any kind of transport, contractual party, consumer of goods and services, patient, Internet user A1.1.1 Assertion of non-con</x:v>
      </x:c>
      <x:c r="H267" s="10" t="str">
        <x:v>Legal protection insurance The insurance does not cover Where Waiting period Base event Do you want to know how you are insured?</x:v>
      </x:c>
      <x:c r="I267" s="8" t="str">
        <x:v>legal_protection</x:v>
      </x:c>
      <x:c r="J267" s="8" t="str">
        <x:v>CALIBRATION</x:v>
      </x:c>
      <x:c r="K267" s="10" t="str"/>
      <x:c r="L267" s="12" t="str"/>
      <x:c r="M267" s="12" t="str"/>
      <x:c r="N267" s="12" t="str"/>
      <x:c r="O267" s="12" t="str"/>
      <x:c r="P267" s="12" t="str"/>
    </x:row>
    <x:row r="268">
      <x:c r="A268" s="8" t="str">
        <x:v>ext-helvetia-fail-017</x:v>
      </x:c>
      <x:c r="B268" s="8" t="str">
        <x:v>helvetia_pdf</x:v>
      </x:c>
      <x:c r="C268" s="8" t="str">
        <x:v>data/raw/pdfs/motor-vehicle-insurance-sti.pdf</x:v>
      </x:c>
      <x:c r="D268" s="8" t="str">
        <x:v>motor-vehicle-insurance-sti</x:v>
      </x:c>
      <x:c r="E268" s="8" t="n">
        <x:v>4</x:v>
      </x:c>
      <x:c r="F268" s="10" t="str">
        <x:v>According to motor-vehicle-insurance-sti.pdf, what provision is stated in the supplied policy context?</x:v>
      </x:c>
      <x:c r="G268" s="10" t="str">
        <x:v>ch of the duty to notify. If the contract is terminated in this manner, the obligation to pay benefits also ceases for any loss already suffered if the occurrence or scope of such loss was influenced by the incorrectly or incompletely disclosed risk. If benefits have already been paid for such losses, repayment may be demanded. 5 Right of revocation The policyholder may revoke, in writing or any other text form, their application to conclude the contract or their declaration of acceptance of such contract. The period of cancellation is 14 days and commences as soon as the policyholder has applied for or accepted the contract. This period is considered to have been met if the policyholder has notified Helvetia of the revocation or submitted their notice of revocation to the postal service on or by the last day of the period of revocation. The right of revocation is excluded in the case of group personal insurance, provisional confirmation of cover, agreements with a term of less than one month. An annual premium / single premium will remain due if an injured third party can credibly make claims against Helvetia. 6 Increase and decrease in risk If any circumstance that is material to the assessment of the risk should change during the term of the contract, and if its extent was determined by the parties on concluding the contract, the policy - holder is required to give Helvetia immediate notice of such change in writing or any other text form. All risk factors about which Helvetia requests the policyholder to provide information on the application form or otherwise inquires about (e. g. risk questionnaire, risk and operational characteristics, etc.) are deemed material. If the policyholder fails to give such notice, Helvetia shall not be bound by the contract for the period thereafter. If such notice has been given, Helvetia ma</x:v>
      </x:c>
      <x:c r="H268" s="10" t="str">
        <x:v>The right of revocation is included in the case of group personal insurance, provisional confirmation of cover, agreements with a term of less than one month.</x:v>
      </x:c>
      <x:c r="I268" s="8" t="str">
        <x:v>motor</x:v>
      </x:c>
      <x:c r="J268" s="8" t="str">
        <x:v>LOCKED_HOLDOUT_CANDIDATE</x:v>
      </x:c>
      <x:c r="K268" s="10" t="str"/>
      <x:c r="L268" s="12" t="str"/>
      <x:c r="M268" s="12" t="str"/>
      <x:c r="N268" s="12" t="str"/>
      <x:c r="O268" s="12" t="str"/>
      <x:c r="P268" s="12" t="str"/>
    </x:row>
    <x:row r="269">
      <x:c r="A269" s="8" t="str">
        <x:v>ext-helvetia-fail-018</x:v>
      </x:c>
      <x:c r="B269" s="8" t="str">
        <x:v>helvetia_pdf</x:v>
      </x:c>
      <x:c r="C269" s="8" t="str">
        <x:v>data/raw/pdfs/mutual-provisions-pkv.pdf</x:v>
      </x:c>
      <x:c r="D269" s="8" t="str">
        <x:v>mutual-provisions-pkv</x:v>
      </x:c>
      <x:c r="E269" s="8" t="n">
        <x:v>3</x:v>
      </x:c>
      <x:c r="F269" s="10" t="str">
        <x:v>According to mutual-provisions-pkv.pdf, what provision is stated in the supplied policy context?</x:v>
      </x:c>
      <x:c r="G269" s="10" t="str">
        <x:v>he duty to notify. If the contract is cancelled by such a termination, Helvetiaʼs obligation to pay benefits for any damage already suffered, as far as the occurrence or extent of which was affected by the incomplete or wrong answer, will also lapse. If benefits have already been paid for such losses, repayment may be demanded. 5 Right of revocation The policyholder may revoke, in writing or any other text form, their application to conclude the contract or their declaration of acceptance of such contract. The period of cancellation is 14 days and commences as soon as the policyholder has applied for or accepted the contract. This period is considered to have been met if the policyholder has notified Helvetia of the revocation or submitted their notice of revocation to the postal service on or by the last day of the period of revocation. The right of revocation is excluded in the case of group personal insurance, provisional confirmation of cover, agreements with a term of less than one month. 6 Increase and decrease in risk If any circumstance that is material to the assessment of the risk should change during the term of the contract, and if its extent was determined by the parties on concluding the contract, the policyholder is required to give Helvetia immediate notice of such change in writing or any other text form. All risk factors about which Helvetia requests the policyholder to provide information on the application form or otherwise inquires about (e. g. risk questionnaire, risk and operational characteristics, etc.) are deemed material. If the policyholder fails to give such notice, Helvetia shall not be bound by the contract for the period thereafter. If such notice has been given, Helvetia may increase the premium retroactively as of the time the risks increased or terminate the part of the contract affected by t</x:v>
      </x:c>
      <x:c r="H269" s="10" t="str">
        <x:v>The right of revocation is included in the case of group personal insurance, provisional confirmation of cover, agreements with a term of less than one month.</x:v>
      </x:c>
      <x:c r="I269" s="8" t="str">
        <x:v>general_insurance</x:v>
      </x:c>
      <x:c r="J269" s="8" t="str">
        <x:v>CALIBRATION</x:v>
      </x:c>
      <x:c r="K269" s="10" t="str"/>
      <x:c r="L269" s="12" t="str"/>
      <x:c r="M269" s="12" t="str"/>
      <x:c r="N269" s="12" t="str"/>
      <x:c r="O269" s="12" t="str"/>
      <x:c r="P269" s="12" t="str"/>
    </x:row>
    <x:row r="270">
      <x:c r="A270" s="8" t="str">
        <x:v>ext-helvetia-fail-019</x:v>
      </x:c>
      <x:c r="B270" s="8" t="str">
        <x:v>helvetia_pdf</x:v>
      </x:c>
      <x:c r="C270" s="8" t="str">
        <x:v>data/raw/pdfs/rental-guarantee-insurance-sti.pdf</x:v>
      </x:c>
      <x:c r="D270" s="8" t="str">
        <x:v>rental-guarantee-insurance-sti</x:v>
      </x:c>
      <x:c r="E270" s="8" t="n">
        <x:v>3</x:v>
      </x:c>
      <x:c r="F270" s="10" t="str">
        <x:v>According to rental-guarantee-insurance-sti.pdf, what provision is stated in the supplied policy context?</x:v>
      </x:c>
      <x:c r="G270" s="10" t="str">
        <x:v>h of the duty to notify. If the contract is termi nated in this manner, the obligation to pay benefits also ceases for any loss already suffered if the occurrence or scope of such loss was influenced by the incorrectly or incompletely disclosed risk. If benefits have already been paid for such losses, repayment may be demanded. 5 Right of revocation The policyholder may revoke, in writing or any other text form, their application to conclude the contract or their declaration of acceptance of such contract. The period of cancellation is 14 days and commences as soon as the policyholder has applied for or accepted the contract. This period is considered to have been met if the policyholder has notified Helvetia of the revocation or submitted their notice of revocation to the postal service on or by the last day of the period of revocation. The right of revocation is excluded in the case of group personal insurance, provisional confirmation of cover, agreements with a term of less than one month. 6 Conclusion of the contract / start of insurance coverage After the insurance application has been received by the Helvetia head office in St. Gallen, Helvetia will notify the policyholder as soon as possible whether it accepts the application. As soon as the policyholder has received notice of acceptance, the insurance is deemed concluded. The policyholder shall be provided with his policy as proof of the conclusion of the insurance. Insurance cover starts on the commencement date given in the policy, unless a confirmation of cover in text form was issued for an earlier date. 7 Term of insurance and termination of insurance contract The first insurance year begins at the start of the contract and lasts until the due date of the next annual premium specified in the policy. The contract is extended by one year at a time. The contract can</x:v>
      </x:c>
      <x:c r="H270" s="10" t="str">
        <x:v>The right of revocation is included in the case of group personal insurance, provisional confirmation of cover, agreements with a term of less than one month.</x:v>
      </x:c>
      <x:c r="I270" s="8" t="str">
        <x:v>rental_guarantee</x:v>
      </x:c>
      <x:c r="J270" s="8" t="str">
        <x:v>LOCKED_HOLDOUT_CANDIDATE</x:v>
      </x:c>
      <x:c r="K270" s="10" t="str"/>
      <x:c r="L270" s="12" t="str"/>
      <x:c r="M270" s="12" t="str"/>
      <x:c r="N270" s="12" t="str"/>
      <x:c r="O270" s="12" t="str"/>
      <x:c r="P270" s="12" t="str"/>
    </x:row>
    <x:row r="271">
      <x:c r="A271" s="8" t="str">
        <x:v>ext-helvetia-fail-020</x:v>
      </x:c>
      <x:c r="B271" s="8" t="str">
        <x:v>helvetia_pdf</x:v>
      </x:c>
      <x:c r="C271" s="8" t="str">
        <x:v>data/raw/pdfs/assistance-brochure.pdf</x:v>
      </x:c>
      <x:c r="D271" s="8" t="str">
        <x:v>assistance-brochure</x:v>
      </x:c>
      <x:c r="E271" s="8" t="n">
        <x:v>4</x:v>
      </x:c>
      <x:c r="F271" s="10" t="str">
        <x:v>According to assistance-brochure.pdf, what provision is stated in the supplied policy context?</x:v>
      </x:c>
      <x:c r="G271" s="10" t="str">
        <x:v>Cancellation cost insurance and Assistance for persons. Cancellation cost insurance covers you for unforeseen events occurring before your departure that make it impossible for you to set off on your journey. Assistance for persons provides insurance to cover you if anything happens while you're travelling. Insured events • Illness, accident or death • Loss of employment • Breakdown/delay of public transport • Breakdown of the vehicle or taxi you are travelling in • Damage to your property at home • Incidents occurring en route to or after arrival at your destination (e.g. strikes, terrorism, volcanic eruption or other natural events) • Grounding, strike or bankruptcy of your airline or tour operator Insured benefits We will cover the cost if you have to cancel, abort or extend your trip. Pre-departure benefits • Cancellation costs, incl. administration fees • Additional travel expenses in the event of delayed departure • Additional expenses Benefits while travelling • Call-back and transport costs • Refundable cost advance while abroad • Add</x:v>
      </x:c>
      <x:c r="H271" s="10" t="str">
        <x:v>Cancellation cost insurance does not cover you for unforeseen events occurring before your departure that make it impossible for you to set off on your journey.</x:v>
      </x:c>
      <x:c r="I271" s="8" t="str">
        <x:v>travel_assistance</x:v>
      </x:c>
      <x:c r="J271" s="8" t="str">
        <x:v>CALIBRATION</x:v>
      </x:c>
      <x:c r="K271" s="10" t="str"/>
      <x:c r="L271" s="12" t="str"/>
      <x:c r="M271" s="12" t="str"/>
      <x:c r="N271" s="12" t="str"/>
      <x:c r="O271" s="12" t="str"/>
      <x:c r="P271" s="12" t="str"/>
    </x:row>
    <x:row r="272">
      <x:c r="A272" s="8" t="str">
        <x:v>ext-helvetia-fail-021</x:v>
      </x:c>
      <x:c r="B272" s="8" t="str">
        <x:v>helvetia_pdf</x:v>
      </x:c>
      <x:c r="C272" s="8" t="str">
        <x:v>data/raw/pdfs/assistance-sti.pdf</x:v>
      </x:c>
      <x:c r="D272" s="8" t="str">
        <x:v>assistance-sti</x:v>
      </x:c>
      <x:c r="E272" s="8" t="n">
        <x:v>4</x:v>
      </x:c>
      <x:c r="F272" s="10" t="str">
        <x:v>According to assistance-sti.pdf, what provision is stated in the supplied policy context?</x:v>
      </x:c>
      <x:c r="G272" s="10" t="str">
        <x:v> is injured or dies after the trip commences and the presence of the accompanying person is required at home. The costs required to accompany the accompanying person to the nearest suitable hospital; Additional costs incurred for the direct return trip if the insured person wishes to return to their place of residence; If continuation of the previously commenced trip or holiday is possible afterwards, additional transport costs up to a maxi mum of CHF 1ʼ000 will be paid per insured person; D4 Failure or delay If continuation of the journey in line with the original itinerary cannot be guaranteed due to one of the following events: a) failure or delay of public transport o r means of transportation; b) the vehicle or taxi used for transportation cannot be driven (is unroadwort hy) due to breakdown, accident, theft, fire or natural forces. The benefits will only be provided if the scheduled delay exceeds one hour as a result of an insured event. Benefits will only be provided for missed connections if there are more than three hours between the scheduled arrival and departure times. Additional transport costs up to a maximum of CHF 2ʼ000 per insured person. Personal assistance</x:v>
      </x:c>
      <x:c r="H272" s="10" t="str">
        <x:v>The benefits will only be provided if the scheduled delay exceeds one hour as a result of an insured event. [assistance-sti.pdf, page 5]</x:v>
      </x:c>
      <x:c r="I272" s="8" t="str">
        <x:v>travel_assistance</x:v>
      </x:c>
      <x:c r="J272" s="8" t="str">
        <x:v>CALIBRATION</x:v>
      </x:c>
      <x:c r="K272" s="10" t="str"/>
      <x:c r="L272" s="12" t="str"/>
      <x:c r="M272" s="12" t="str"/>
      <x:c r="N272" s="12" t="str"/>
      <x:c r="O272" s="12" t="str"/>
      <x:c r="P272" s="12" t="str"/>
    </x:row>
    <x:row r="273">
      <x:c r="A273" s="8" t="str">
        <x:v>ext-helvetia-fail-022</x:v>
      </x:c>
      <x:c r="B273" s="8" t="str">
        <x:v>helvetia_pdf</x:v>
      </x:c>
      <x:c r="C273" s="8" t="str">
        <x:v>data/raw/pdfs/brochure-household-contents-and-private-liability.pdf</x:v>
      </x:c>
      <x:c r="D273" s="8" t="str">
        <x:v>brochure-household-contents-and-private-liability</x:v>
      </x:c>
      <x:c r="E273" s="8" t="n">
        <x:v>2</x:v>
      </x:c>
      <x:c r="F273" s="10" t="str">
        <x:v>According to brochure-household-contents-and-private-liability.pdf, what provision is stated in the supplied policy context?</x:v>
      </x:c>
      <x:c r="G273" s="10" t="str">
        <x:v>There are dangers lurking in the digital world too. Imagine you order something online and the wrong goods are delivered or your order never even turns up. Protect yourself with cyber insurance. Household contents insurance All-round protection for your personal possessions Household contents and private liability insurance 2/8</x:v>
      </x:c>
      <x:c r="H273" s="10" t="str">
        <x:v>Household contents insurance All-round protection for your personal possessions Household contents and private liability insurance 2/8 [brochure-household-contents-and-private-liability.pdf, page 3]</x:v>
      </x:c>
      <x:c r="I273" s="8" t="str">
        <x:v>household</x:v>
      </x:c>
      <x:c r="J273" s="8" t="str">
        <x:v>LOCKED_HOLDOUT_CANDIDATE</x:v>
      </x:c>
      <x:c r="K273" s="10" t="str"/>
      <x:c r="L273" s="12" t="str"/>
      <x:c r="M273" s="12" t="str"/>
      <x:c r="N273" s="12" t="str"/>
      <x:c r="O273" s="12" t="str"/>
      <x:c r="P273" s="12" t="str"/>
    </x:row>
    <x:row r="274">
      <x:c r="A274" s="8" t="str">
        <x:v>ext-helvetia-fail-023</x:v>
      </x:c>
      <x:c r="B274" s="8" t="str">
        <x:v>helvetia_pdf</x:v>
      </x:c>
      <x:c r="C274" s="8" t="str">
        <x:v>data/raw/pdfs/brochure-services.pdf</x:v>
      </x:c>
      <x:c r="D274" s="8" t="str">
        <x:v>brochure-services</x:v>
      </x:c>
      <x:c r="E274" s="8" t="n">
        <x:v>2</x:v>
      </x:c>
      <x:c r="F274" s="10" t="str">
        <x:v>According to brochure-services.pdf, what provision is stated in the supplied policy context?</x:v>
      </x:c>
      <x:c r="G274"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274" s="10" t="str">
        <x:v>As a Swiss insurance company we stand for quality, friendliness and service. [brochure-services.pdf, page 3]</x:v>
      </x:c>
      <x:c r="I274" s="8" t="str">
        <x:v>general_insurance</x:v>
      </x:c>
      <x:c r="J274" s="8" t="str">
        <x:v>LOCKED_HOLDOUT_CANDIDATE</x:v>
      </x:c>
      <x:c r="K274" s="10" t="str"/>
      <x:c r="L274" s="12" t="str"/>
      <x:c r="M274" s="12" t="str"/>
      <x:c r="N274" s="12" t="str"/>
      <x:c r="O274" s="12" t="str"/>
      <x:c r="P274" s="12" t="str"/>
    </x:row>
    <x:row r="275">
      <x:c r="A275" s="8" t="str">
        <x:v>ext-helvetia-fail-024</x:v>
      </x:c>
      <x:c r="B275" s="8" t="str">
        <x:v>helvetia_pdf</x:v>
      </x:c>
      <x:c r="C275" s="8" t="str">
        <x:v>data/raw/pdfs/buildings-insurance-sti.pdf</x:v>
      </x:c>
      <x:c r="D275" s="8" t="str">
        <x:v>buildings-insurance-sti</x:v>
      </x:c>
      <x:c r="E275" s="8" t="n">
        <x:v>2</x:v>
      </x:c>
      <x:c r="F275" s="10" t="str">
        <x:v>According to buildings-insurance-sti.pdf, what provision is stated in the supplied policy context?</x:v>
      </x:c>
      <x:c r="G275"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Table of contents</x:v>
      </x:c>
      <x:c r="H275"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[buildings-insurance-sti.pdf, page 3]</x:v>
      </x:c>
      <x:c r="I275" s="8" t="str">
        <x:v>household</x:v>
      </x:c>
      <x:c r="J275" s="8" t="str">
        <x:v>CALIBRATION</x:v>
      </x:c>
      <x:c r="K275" s="10" t="str"/>
      <x:c r="L275" s="12" t="str"/>
      <x:c r="M275" s="12" t="str"/>
      <x:c r="N275" s="12" t="str"/>
      <x:c r="O275" s="12" t="str"/>
      <x:c r="P275" s="12" t="str"/>
    </x:row>
    <x:row r="276">
      <x:c r="A276" s="8" t="str">
        <x:v>ext-helvetia-fail-025</x:v>
      </x:c>
      <x:c r="B276" s="8" t="str">
        <x:v>helvetia_pdf</x:v>
      </x:c>
      <x:c r="C276" s="8" t="str">
        <x:v>data/raw/pdfs/household-contents-private-liability-sti.pdf</x:v>
      </x:c>
      <x:c r="D276" s="8" t="str">
        <x:v>household-contents-private-liability-sti</x:v>
      </x:c>
      <x:c r="E276" s="8" t="n">
        <x:v>1</x:v>
      </x:c>
      <x:c r="F276" s="10" t="str">
        <x:v>According to household-contents-private-liability-sti.pdf, what provision is stated in the supplied policy context?</x:v>
      </x:c>
      <x:c r="G276" s="10" t="str">
        <x:v>Standard Terms of Insurance (STI) Helvetia private customers insurance Household contents and private liability September 2025 edition</x:v>
      </x:c>
      <x:c r="H276" s="10" t="str">
        <x:v>Standard Terms of Insurance (STI) Helvetia private customers insurance Household contents and private liability September 2025 edition [household-contents-private-liability-sti.pdf, page 2]</x:v>
      </x:c>
      <x:c r="I276" s="8" t="str">
        <x:v>household</x:v>
      </x:c>
      <x:c r="J276" s="8" t="str">
        <x:v>LOCKED_HOLDOUT_CANDIDATE</x:v>
      </x:c>
      <x:c r="K276" s="10" t="str"/>
      <x:c r="L276" s="12" t="str"/>
      <x:c r="M276" s="12" t="str"/>
      <x:c r="N276" s="12" t="str"/>
      <x:c r="O276" s="12" t="str"/>
      <x:c r="P276" s="12" t="str"/>
    </x:row>
    <x:row r="277">
      <x:c r="A277" s="8" t="str">
        <x:v>ext-helvetia-fail-026</x:v>
      </x:c>
      <x:c r="B277" s="8" t="str">
        <x:v>helvetia_pdf</x:v>
      </x:c>
      <x:c r="C277" s="8" t="str">
        <x:v>data/raw/pdfs/legal-protection-sti.pdf</x:v>
      </x:c>
      <x:c r="D277" s="8" t="str">
        <x:v>legal-protection-sti</x:v>
      </x:c>
      <x:c r="E277" s="8" t="n">
        <x:v>2</x:v>
      </x:c>
      <x:c r="F277" s="10" t="str">
        <x:v>According to legal-protection-sti.pdf, what provision is stated in the supplied policy context?</x:v>
      </x:c>
      <x:c r="G277"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3/16 | Helvetia Swiss Insurance Company Ltd. STI Helvetia private customers insurance, Legal protection – September 2021 edition</x:v>
      </x:c>
      <x:c r="H277"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[legal-protection-sti.pdf, page 3]</x:v>
      </x:c>
      <x:c r="I277" s="8" t="str">
        <x:v>household</x:v>
      </x:c>
      <x:c r="J277" s="8" t="str">
        <x:v>CALIBRATION</x:v>
      </x:c>
      <x:c r="K277" s="10" t="str"/>
      <x:c r="L277" s="12" t="str"/>
      <x:c r="M277" s="12" t="str"/>
      <x:c r="N277" s="12" t="str"/>
      <x:c r="O277" s="12" t="str"/>
      <x:c r="P277" s="12" t="str"/>
    </x:row>
    <x:row r="278">
      <x:c r="A278" s="8" t="str">
        <x:v>ext-helvetia-fail-027</x:v>
      </x:c>
      <x:c r="B278" s="8" t="str">
        <x:v>helvetia_pdf</x:v>
      </x:c>
      <x:c r="C278" s="8" t="str">
        <x:v>data/raw/pdfs/motor-vehicle-insurance-product-sheet.pdf</x:v>
      </x:c>
      <x:c r="D278" s="8" t="str">
        <x:v>motor-vehicle-insurance-product-sheet</x:v>
      </x:c>
      <x:c r="E278" s="8" t="n">
        <x:v>2</x:v>
      </x:c>
      <x:c r="F278" s="10" t="str">
        <x:v>According to motor-vehicle-insurance-product-sheet.pdf, what provision is stated in the supplied policy context?</x:v>
      </x:c>
      <x:c r="G278"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78" s="10" t="str">
        <x:v>Helvetia’s liability insurance protects you against unexpected financial burdens arising from an accident you cause. [motor-vehicle-insurance-product-sheet.pdf, page 3]</x:v>
      </x:c>
      <x:c r="I278" s="8" t="str">
        <x:v>motor</x:v>
      </x:c>
      <x:c r="J278" s="8" t="str">
        <x:v>VALIDATION</x:v>
      </x:c>
      <x:c r="K278" s="10" t="str"/>
      <x:c r="L278" s="12" t="str"/>
      <x:c r="M278" s="12" t="str"/>
      <x:c r="N278" s="12" t="str"/>
      <x:c r="O278" s="12" t="str"/>
      <x:c r="P278" s="12" t="str"/>
    </x:row>
    <x:row r="279">
      <x:c r="A279" s="8" t="str">
        <x:v>ext-helvetia-fail-028</x:v>
      </x:c>
      <x:c r="B279" s="8" t="str">
        <x:v>helvetia_pdf</x:v>
      </x:c>
      <x:c r="C279" s="8" t="str">
        <x:v>data/raw/pdfs/motor-vehicle-insurance-sti.pdf</x:v>
      </x:c>
      <x:c r="D279" s="8" t="str">
        <x:v>motor-vehicle-insurance-sti</x:v>
      </x:c>
      <x:c r="E279" s="8" t="n">
        <x:v>2</x:v>
      </x:c>
      <x:c r="F279" s="10" t="str">
        <x:v>According to motor-vehicle-insurance-sti.pdf, what provision is stated in the supplied policy context?</x:v>
      </x:c>
      <x:c r="G279"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The original German wording governs the legal interpretation of your policy.</x:v>
      </x:c>
      <x:c r="H279"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[motor-vehicle-insurance-sti.pdf, page 3]</x:v>
      </x:c>
      <x:c r="I279" s="8" t="str">
        <x:v>motor</x:v>
      </x:c>
      <x:c r="J279" s="8" t="str">
        <x:v>LOCKED_HOLDOUT_CANDIDATE</x:v>
      </x:c>
      <x:c r="K279" s="10" t="str"/>
      <x:c r="L279" s="12" t="str"/>
      <x:c r="M279" s="12" t="str"/>
      <x:c r="N279" s="12" t="str"/>
      <x:c r="O279" s="12" t="str"/>
      <x:c r="P279" s="12" t="str"/>
    </x:row>
    <x:row r="280">
      <x:c r="A280" s="8" t="str">
        <x:v>ext-helvetia-fail-029</x:v>
      </x:c>
      <x:c r="B280" s="8" t="str">
        <x:v>helvetia_pdf</x:v>
      </x:c>
      <x:c r="C280" s="8" t="str">
        <x:v>data/raw/pdfs/mutual-provisions-pkv.pdf</x:v>
      </x:c>
      <x:c r="D280" s="8" t="str">
        <x:v>mutual-provisions-pkv</x:v>
      </x:c>
      <x:c r="E280" s="8" t="n">
        <x:v>2</x:v>
      </x:c>
      <x:c r="F280" s="10" t="str">
        <x:v>According to mutual-provisions-pkv.pdf, what provision is stated in the supplied policy context?</x:v>
      </x:c>
      <x:c r="G280"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x:v>
      </x:c>
      <x:c r="H280"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[mutual-provisions-pkv.pdf, page 3]</x:v>
      </x:c>
      <x:c r="I280" s="8" t="str">
        <x:v>household</x:v>
      </x:c>
      <x:c r="J280" s="8" t="str">
        <x:v>CALIBRATION</x:v>
      </x:c>
      <x:c r="K280" s="10" t="str"/>
      <x:c r="L280" s="12" t="str"/>
      <x:c r="M280" s="12" t="str"/>
      <x:c r="N280" s="12" t="str"/>
      <x:c r="O280" s="12" t="str"/>
      <x:c r="P280" s="12" t="str"/>
    </x:row>
    <x:row r="281">
      <x:c r="A281" s="8" t="str">
        <x:v>ext-helvetia-fail-030</x:v>
      </x:c>
      <x:c r="B281" s="8" t="str">
        <x:v>helvetia_pdf</x:v>
      </x:c>
      <x:c r="C281" s="8" t="str">
        <x:v>data/raw/pdfs/rental-guarantee-insurance-sti.pdf</x:v>
      </x:c>
      <x:c r="D281" s="8" t="str">
        <x:v>rental-guarantee-insurance-sti</x:v>
      </x:c>
      <x:c r="E281" s="8" t="n">
        <x:v>3</x:v>
      </x:c>
      <x:c r="F281" s="10" t="str">
        <x:v>According to rental-guarantee-insurance-sti.pdf, what provision is stated in the supplied policy context?</x:v>
      </x:c>
      <x:c r="G281"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281" s="10" t="str">
        <x:v>3/7 | Helvetia Swiss Insurance Company Ltd STI Helvetia private rental guarantee insurance – September 2025 edition 1 Contracting party Your contracting party is: Helvetia Swiss Insurance Company Ltd Dufourstrasse 40 9001 St. [rental-guarantee-insurance-sti.pdf, page 4]</x:v>
      </x:c>
      <x:c r="I281" s="8" t="str">
        <x:v>rental_guarantee</x:v>
      </x:c>
      <x:c r="J281" s="8" t="str">
        <x:v>LOCKED_HOLDOUT_CANDIDATE</x:v>
      </x:c>
      <x:c r="K281" s="10" t="str"/>
      <x:c r="L281" s="12" t="str"/>
      <x:c r="M281" s="12" t="str"/>
      <x:c r="N281" s="12" t="str"/>
      <x:c r="O281" s="12" t="str"/>
      <x:c r="P281" s="12" t="str"/>
    </x:row>
    <x:row r="282">
      <x:c r="A282" s="8" t="str">
        <x:v>ext-helvetia-fail-031</x:v>
      </x:c>
      <x:c r="B282" s="8" t="str">
        <x:v>helvetia_pdf</x:v>
      </x:c>
      <x:c r="C282" s="8" t="str">
        <x:v>data/raw/pdfs/assistance-sti.pdf</x:v>
      </x:c>
      <x:c r="D282" s="8" t="str">
        <x:v>assistance-sti</x:v>
      </x:c>
      <x:c r="E282" s="8" t="n">
        <x:v>7</x:v>
      </x:c>
      <x:c r="F282" s="10" t="str">
        <x:v>According to assistance-sti.pdf, what provision is stated in the supplied policy context?</x:v>
      </x:c>
      <x:c r="G282" s="10" t="str">
        <x:v>s G2 Loss of vehicle use as a result of collisi on, unroadworthiness, snow accident, glass breakage, collision with animals, deliberate damage, theft or damage to the vehicle caused by fire or natural forces. In the case of rental cars, the insured events listed under H15 apply. Insured benefits The insurance covers the following benefits. For each event, the combined benefits are limited to the insured sum agreed in the policy and are payable only once. These benefits cannot be combined with the benefits from personal assistance or cancellation costs. H1 Breakdown assistance Costs for breakdown assistance, including spare parts for restoring the vehicleʼs function at the break down location. Spare parts are deemed to be only those parts ordinarily transported by breakdown assistance vehicles (fuel and vehicle batteries are not insured). H2 Towing services If the vehicleʼs function cannot be restored at the breakdown location, the costs for towing and trans porting the vehicle to the nearest suitable vehicle repair shop for the work in question or to a location suitable for storage are covered. H3 Vehicle recovery If the vehicle is unroadworthy, the costs for recovering the vehicle are insured. H4 Search, rescue and recovery costs Search, rescue and recovery costs are paid for the insured person. H5 Return costs For the return of the unfit-for-driving vehicle to the original garage of the vehicle owner, if the vehicle cannot be repaired within 24 hours (Switzerland and the Principality of Liechtenstein) or, on the basis of an experts’ opinion or professional assessment, within five days (abroad), and if the repair and repatria tion costs are below the current value of the vehicle. If the costs of returning the insured vehicle from abroad exceed the present value of the insured vehicle,the costs will be covered for up to the maximum of the present market value after the insured event ifthe return service has been commissioned by</x:v>
      </x:c>
      <x:c r="H282" s="10" t="str">
        <x:v>H2 Towing services If the vehicleʼs function cannot be restored at the breakdown location, the costs for towing and trans porting the vehicle to the nearest suitable vehicle repair shop for the work in question or to a location suitable for storage are covered. Scope of the insurance cover Household contents includes all movables (such as clothes, furniture, consumer electronics, pets, etc.) required for living and recreation.</x:v>
      </x:c>
      <x:c r="I282" s="8" t="str">
        <x:v>motor</x:v>
      </x:c>
      <x:c r="J282" s="8" t="str">
        <x:v>CALIBRATION</x:v>
      </x:c>
      <x:c r="K282" s="10" t="str"/>
      <x:c r="L282" s="12" t="str"/>
      <x:c r="M282" s="12" t="str"/>
      <x:c r="N282" s="12" t="str"/>
      <x:c r="O282" s="12" t="str"/>
      <x:c r="P282" s="12" t="str"/>
    </x:row>
    <x:row r="283">
      <x:c r="A283" s="8" t="str">
        <x:v>ext-helvetia-fail-032</x:v>
      </x:c>
      <x:c r="B283" s="8" t="str">
        <x:v>helvetia_pdf</x:v>
      </x:c>
      <x:c r="C283" s="8" t="str">
        <x:v>data/raw/pdfs/brochure-household-contents-and-private-liability.pdf</x:v>
      </x:c>
      <x:c r="D283" s="8" t="str">
        <x:v>brochure-household-contents-and-private-liability</x:v>
      </x:c>
      <x:c r="E283" s="8" t="n">
        <x:v>2</x:v>
      </x:c>
      <x:c r="F283" s="10" t="str">
        <x:v>According to brochure-household-contents-and-private-liability.pdf, what provision is stated in the supplied policy context?</x:v>
      </x:c>
      <x:c r="G283" s="10" t="str">
        <x:v>There are dangers lurking in the digital world too. Imagine you order something online and the wrong goods are delivered or your order never even turns up. Protect yourself with cyber insurance. Household contents insurance All-round protection for your personal possessions Household contents and private liability insurance 2/8</x:v>
      </x:c>
      <x:c r="H283" s="10" t="str">
        <x:v>Household contents insurance All-round protection for your personal possessions Household contents and private liability insurance 2/8 H3 Vehicle recovery If the vehicle is unroadworthy, the costs for recovering the vehicle are insured.</x:v>
      </x:c>
      <x:c r="I283" s="8" t="str">
        <x:v>household</x:v>
      </x:c>
      <x:c r="J283" s="8" t="str">
        <x:v>LOCKED_HOLDOUT_CANDIDATE</x:v>
      </x:c>
      <x:c r="K283" s="10" t="str"/>
      <x:c r="L283" s="12" t="str"/>
      <x:c r="M283" s="12" t="str"/>
      <x:c r="N283" s="12" t="str"/>
      <x:c r="O283" s="12" t="str"/>
      <x:c r="P283" s="12" t="str"/>
    </x:row>
    <x:row r="284">
      <x:c r="A284" s="8" t="str">
        <x:v>ext-helvetia-fail-033</x:v>
      </x:c>
      <x:c r="B284" s="8" t="str">
        <x:v>helvetia_pdf</x:v>
      </x:c>
      <x:c r="C284" s="8" t="str">
        <x:v>data/raw/pdfs/brochure-services.pdf</x:v>
      </x:c>
      <x:c r="D284" s="8" t="str">
        <x:v>brochure-services</x:v>
      </x:c>
      <x:c r="E284" s="8" t="n">
        <x:v>2</x:v>
      </x:c>
      <x:c r="F284" s="10" t="str">
        <x:v>According to brochure-services.pdf, what provision is stated in the supplied policy context?</x:v>
      </x:c>
      <x:c r="G284"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284" s="10" t="str">
        <x:v>As a Swiss insurance company we stand for quality, friendliness and service. H3 Vehicle recovery If the vehicle is unroadworthy, the costs for recovering the vehicle are insured.</x:v>
      </x:c>
      <x:c r="I284" s="8" t="str">
        <x:v>general_insurance</x:v>
      </x:c>
      <x:c r="J284" s="8" t="str">
        <x:v>LOCKED_HOLDOUT_CANDIDATE</x:v>
      </x:c>
      <x:c r="K284" s="10" t="str"/>
      <x:c r="L284" s="12" t="str"/>
      <x:c r="M284" s="12" t="str"/>
      <x:c r="N284" s="12" t="str"/>
      <x:c r="O284" s="12" t="str"/>
      <x:c r="P284" s="12" t="str"/>
    </x:row>
    <x:row r="285">
      <x:c r="A285" s="8" t="str">
        <x:v>ext-helvetia-fail-034</x:v>
      </x:c>
      <x:c r="B285" s="8" t="str">
        <x:v>helvetia_pdf</x:v>
      </x:c>
      <x:c r="C285" s="8" t="str">
        <x:v>data/raw/pdfs/buildings-insurance-sti.pdf</x:v>
      </x:c>
      <x:c r="D285" s="8" t="str">
        <x:v>buildings-insurance-sti</x:v>
      </x:c>
      <x:c r="E285" s="8" t="n">
        <x:v>2</x:v>
      </x:c>
      <x:c r="F285" s="10" t="str">
        <x:v>According to buildings-insurance-sti.pdf, what provision is stated in the supplied policy context?</x:v>
      </x:c>
      <x:c r="G285"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Table of contents</x:v>
      </x:c>
      <x:c r="H285" s="1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H3 Vehicle recovery If the vehicle is unroadworthy, the costs for recovering the vehicle are insured.</x:v>
      </x:c>
      <x:c r="I285" s="8" t="str">
        <x:v>household</x:v>
      </x:c>
      <x:c r="J285" s="8" t="str">
        <x:v>CALIBRATION</x:v>
      </x:c>
      <x:c r="K285" s="10" t="str"/>
      <x:c r="L285" s="12" t="str"/>
      <x:c r="M285" s="12" t="str"/>
      <x:c r="N285" s="12" t="str"/>
      <x:c r="O285" s="12" t="str"/>
      <x:c r="P285" s="12" t="str"/>
    </x:row>
    <x:row r="286">
      <x:c r="A286" s="8" t="str">
        <x:v>ext-helvetia-fail-035</x:v>
      </x:c>
      <x:c r="B286" s="8" t="str">
        <x:v>helvetia_pdf</x:v>
      </x:c>
      <x:c r="C286" s="8" t="str">
        <x:v>data/raw/pdfs/household-contents-private-liability-sti.pdf</x:v>
      </x:c>
      <x:c r="D286" s="8" t="str">
        <x:v>household-contents-private-liability-sti</x:v>
      </x:c>
      <x:c r="E286" s="8" t="n">
        <x:v>1</x:v>
      </x:c>
      <x:c r="F286" s="10" t="str">
        <x:v>According to household-contents-private-liability-sti.pdf, what provision is stated in the supplied policy context?</x:v>
      </x:c>
      <x:c r="G286" s="10" t="str">
        <x:v>Standard Terms of Insurance (STI) Helvetia private customers insurance Household contents and private liability September 2025 edition</x:v>
      </x:c>
      <x:c r="H286" s="10" t="str">
        <x:v>Standard Terms of Insurance (STI) Helvetia private customers insurance Household contents and private liability September 2025 edition H3 Vehicle recovery If the vehicle is unroadworthy, the costs for recovering the vehicle are insured.</x:v>
      </x:c>
      <x:c r="I286" s="8" t="str">
        <x:v>household</x:v>
      </x:c>
      <x:c r="J286" s="8" t="str">
        <x:v>LOCKED_HOLDOUT_CANDIDATE</x:v>
      </x:c>
      <x:c r="K286" s="10" t="str"/>
      <x:c r="L286" s="12" t="str"/>
      <x:c r="M286" s="12" t="str"/>
      <x:c r="N286" s="12" t="str"/>
      <x:c r="O286" s="12" t="str"/>
      <x:c r="P286" s="12" t="str"/>
    </x:row>
    <x:row r="287">
      <x:c r="A287" s="8" t="str">
        <x:v>ext-helvetia-fail-036</x:v>
      </x:c>
      <x:c r="B287" s="8" t="str">
        <x:v>helvetia_pdf</x:v>
      </x:c>
      <x:c r="C287" s="8" t="str">
        <x:v>data/raw/pdfs/legal-protection-sti.pdf</x:v>
      </x:c>
      <x:c r="D287" s="8" t="str">
        <x:v>legal-protection-sti</x:v>
      </x:c>
      <x:c r="E287" s="8" t="n">
        <x:v>2</x:v>
      </x:c>
      <x:c r="F287" s="10" t="str">
        <x:v>According to legal-protection-sti.pdf, what provision is stated in the supplied policy context?</x:v>
      </x:c>
      <x:c r="G287"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3/16 | Helvetia Swiss Insurance Company Ltd. STI Helvetia private customers insurance, Legal protection – September 2021 edition</x:v>
      </x:c>
      <x:c r="H287" s="1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H3 Vehicle recovery If the vehicle is unroadworthy, the costs for recovering the vehicle are insured.</x:v>
      </x:c>
      <x:c r="I287" s="8" t="str">
        <x:v>household</x:v>
      </x:c>
      <x:c r="J287" s="8" t="str">
        <x:v>CALIBRATION</x:v>
      </x:c>
      <x:c r="K287" s="10" t="str"/>
      <x:c r="L287" s="12" t="str"/>
      <x:c r="M287" s="12" t="str"/>
      <x:c r="N287" s="12" t="str"/>
      <x:c r="O287" s="12" t="str"/>
      <x:c r="P287" s="12" t="str"/>
    </x:row>
    <x:row r="288">
      <x:c r="A288" s="8" t="str">
        <x:v>ext-helvetia-fail-037</x:v>
      </x:c>
      <x:c r="B288" s="8" t="str">
        <x:v>helvetia_pdf</x:v>
      </x:c>
      <x:c r="C288" s="8" t="str">
        <x:v>data/raw/pdfs/motor-vehicle-insurance-product-sheet.pdf</x:v>
      </x:c>
      <x:c r="D288" s="8" t="str">
        <x:v>motor-vehicle-insurance-product-sheet</x:v>
      </x:c>
      <x:c r="E288" s="8" t="n">
        <x:v>2</x:v>
      </x:c>
      <x:c r="F288" s="10" t="str">
        <x:v>According to motor-vehicle-insurance-product-sheet.pdf, what provision is stated in the supplied policy context?</x:v>
      </x:c>
      <x:c r="G288" s="10" t="str">
        <x:v>Liability insurance. Inattentiveness on the road can easily occur. Helvetia’s liability insurance protects you against unexpected financial burdens arising from an accident you cause. Scope of insurance • Cover for property damage and personal injury caused by you • Defence against unjustified claims Insured persons • Owner and driver of the insured vehicle Insured benefits • Damage to or destruction of third-party property • Injury or death of persons and animals Helvetia customer portal Your insurance at a glance. helvetia.ch/customer-portal 2/8 | Helvetia car insurance</x:v>
      </x:c>
      <x:c r="H288" s="10" t="str">
        <x:v>Helvetia’s liability insurance protects you against unexpected financial burdens arising from an accident you cause. H3 Vehicle recovery If the vehicle is unroadworthy, the costs for recovering the vehicle are insured.</x:v>
      </x:c>
      <x:c r="I288" s="8" t="str">
        <x:v>motor</x:v>
      </x:c>
      <x:c r="J288" s="8" t="str">
        <x:v>VALIDATION</x:v>
      </x:c>
      <x:c r="K288" s="10" t="str"/>
      <x:c r="L288" s="12" t="str"/>
      <x:c r="M288" s="12" t="str"/>
      <x:c r="N288" s="12" t="str"/>
      <x:c r="O288" s="12" t="str"/>
      <x:c r="P288" s="12" t="str"/>
    </x:row>
    <x:row r="289">
      <x:c r="A289" s="8" t="str">
        <x:v>ext-helvetia-fail-038</x:v>
      </x:c>
      <x:c r="B289" s="8" t="str">
        <x:v>helvetia_pdf</x:v>
      </x:c>
      <x:c r="C289" s="8" t="str">
        <x:v>data/raw/pdfs/motor-vehicle-insurance-sti.pdf</x:v>
      </x:c>
      <x:c r="D289" s="8" t="str">
        <x:v>motor-vehicle-insurance-sti</x:v>
      </x:c>
      <x:c r="E289" s="8" t="n">
        <x:v>2</x:v>
      </x:c>
      <x:c r="F289" s="10" t="str">
        <x:v>According to motor-vehicle-insurance-sti.pdf, what provision is stated in the supplied policy context?</x:v>
      </x:c>
      <x:c r="G289"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The original German wording governs the legal interpretation of your policy.</x:v>
      </x:c>
      <x:c r="H289" s="1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H3 Vehicle recovery If the vehicle is unroadworthy, the costs for recovering the vehicle are insured.</x:v>
      </x:c>
      <x:c r="I289" s="8" t="str">
        <x:v>motor</x:v>
      </x:c>
      <x:c r="J289" s="8" t="str">
        <x:v>LOCKED_HOLDOUT_CANDIDATE</x:v>
      </x:c>
      <x:c r="K289" s="10" t="str"/>
      <x:c r="L289" s="12" t="str"/>
      <x:c r="M289" s="12" t="str"/>
      <x:c r="N289" s="12" t="str"/>
      <x:c r="O289" s="12" t="str"/>
      <x:c r="P289" s="12" t="str"/>
    </x:row>
    <x:row r="290">
      <x:c r="A290" s="8" t="str">
        <x:v>ext-helvetia-fail-039</x:v>
      </x:c>
      <x:c r="B290" s="8" t="str">
        <x:v>helvetia_pdf</x:v>
      </x:c>
      <x:c r="C290" s="8" t="str">
        <x:v>data/raw/pdfs/mutual-provisions-pkv.pdf</x:v>
      </x:c>
      <x:c r="D290" s="8" t="str">
        <x:v>mutual-provisions-pkv</x:v>
      </x:c>
      <x:c r="E290" s="8" t="n">
        <x:v>2</x:v>
      </x:c>
      <x:c r="F290" s="10" t="str">
        <x:v>According to mutual-provisions-pkv.pdf, what provision is stated in the supplied policy context?</x:v>
      </x:c>
      <x:c r="G290"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We place great value in ensuring that you can quickly and dependably obtain information about your insurance contract. This is why the Standard Terms of Insurance (STIs) are structured like a reference document. In addition to a table of contents, they also contain customer information and other contractual provisions. To make the contractual documents easier to read, the male form of any gender-specific terminology is used, but of course, these terms also apply to female persons and legal entities. Your insurance contract comprises the text in your policy, the Standard Terms of Insurance and the mutual provisions that apply. Anything that is not explicitly mentioned is governed by the law. The main relevant laws are the provisions of the Swiss Civil Code (CC), the Code of Obligations (CO), the Federal Law on Insurance Contracts (LIC), t</x:v>
      </x:c>
      <x:c r="H290" s="1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H3 Vehicle recovery If the vehicle is unroadworthy, the costs for recovering the vehicle are insured.</x:v>
      </x:c>
      <x:c r="I290" s="8" t="str">
        <x:v>household</x:v>
      </x:c>
      <x:c r="J290" s="8" t="str">
        <x:v>CALIBRATION</x:v>
      </x:c>
      <x:c r="K290" s="10" t="str"/>
      <x:c r="L290" s="12" t="str"/>
      <x:c r="M290" s="12" t="str"/>
      <x:c r="N290" s="12" t="str"/>
      <x:c r="O290" s="12" t="str"/>
      <x:c r="P290" s="12" t="str"/>
    </x:row>
    <x:row r="291">
      <x:c r="A291" s="8" t="str">
        <x:v>ext-helvetia-fail-040</x:v>
      </x:c>
      <x:c r="B291" s="8" t="str">
        <x:v>helvetia_pdf</x:v>
      </x:c>
      <x:c r="C291" s="8" t="str">
        <x:v>data/raw/pdfs/rental-guarantee-insurance-sti.pdf</x:v>
      </x:c>
      <x:c r="D291" s="8" t="str">
        <x:v>rental-guarantee-insurance-sti</x:v>
      </x:c>
      <x:c r="E291" s="8" t="n">
        <x:v>3</x:v>
      </x:c>
      <x:c r="F291" s="10" t="str">
        <x:v>According to rental-guarantee-insurance-sti.pdf, what provision is stated in the supplied policy context?</x:v>
      </x:c>
      <x:c r="G291"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291" s="10" t="str">
        <x:v>3/7 | Helvetia Swiss Insurance Company Ltd STI Helvetia private rental guarantee insurance – September 2025 edition 1 Contracting party Your contracting party is: Helvetia Swiss Insurance Company Ltd Dufourstrasse 40 9001 St. H3 Vehicle recovery If the vehicle is unroadworthy, the costs for recovering the vehicle are insured.</x:v>
      </x:c>
      <x:c r="I291" s="8" t="str">
        <x:v>rental_guarantee</x:v>
      </x:c>
      <x:c r="J291" s="8" t="str">
        <x:v>LOCKED_HOLDOUT_CANDIDATE</x:v>
      </x:c>
      <x:c r="K291" s="10" t="str"/>
      <x:c r="L291" s="12" t="str"/>
      <x:c r="M291" s="12" t="str"/>
      <x:c r="N291" s="12" t="str"/>
      <x:c r="O291" s="12" t="str"/>
      <x:c r="P291" s="12" t="str"/>
    </x:row>
    <x:row r="292">
      <x:c r="A292" s="8" t="str">
        <x:v>ext-baloise-fail-001</x:v>
      </x:c>
      <x:c r="B292" s="8" t="str">
        <x:v>baloise_excluded_pdf</x:v>
      </x:c>
      <x:c r="C292" s="8" t="str">
        <x:v>data/raw/pdfs/household-contents-private-liability-sti.pdf</x:v>
      </x:c>
      <x:c r="D292" s="8" t="str">
        <x:v>household-contents-private-liability-sti</x:v>
      </x:c>
      <x:c r="E292" s="8" t="n">
        <x:v>1</x:v>
      </x:c>
      <x:c r="F292" s="10" t="str">
        <x:v>According to household-contents-private-liability-sti.pdf, what provision is stated in the supplied policy context?</x:v>
      </x:c>
      <x:c r="G292" s="10" t="str">
        <x:v>Standard Terms of Insurance (STI) Helvetia private customers insurance Household contents and private liability September 2025 edition</x:v>
      </x:c>
      <x:c r="H292" s="10" t="str">
        <x:v>BaloiseCombi Household Product Information and Terms and Conditions 2025 Edition Translation: In case of dispute, the original German, French or Italian text is decisive.</x:v>
      </x:c>
      <x:c r="I292" s="8" t="str">
        <x:v>household</x:v>
      </x:c>
      <x:c r="J292" s="8" t="str">
        <x:v>LOCKED_HOLDOUT_CANDIDATE</x:v>
      </x:c>
      <x:c r="K292" s="10" t="str"/>
      <x:c r="L292" s="12" t="str"/>
      <x:c r="M292" s="12" t="str"/>
      <x:c r="N292" s="12" t="str"/>
      <x:c r="O292" s="12" t="str"/>
      <x:c r="P292" s="12" t="str"/>
    </x:row>
    <x:row r="293">
      <x:c r="A293" s="8" t="str">
        <x:v>ext-baloise-fail-002</x:v>
      </x:c>
      <x:c r="B293" s="8" t="str">
        <x:v>baloise_excluded_pdf</x:v>
      </x:c>
      <x:c r="C293" s="8" t="str">
        <x:v>data/raw/pdfs/motor-vehicle-insurance-sti.pdf</x:v>
      </x:c>
      <x:c r="D293" s="8" t="str">
        <x:v>motor-vehicle-insurance-sti</x:v>
      </x:c>
      <x:c r="E293" s="8" t="n">
        <x:v>4</x:v>
      </x:c>
      <x:c r="F293" s="10" t="str">
        <x:v>According to motor-vehicle-insurance-sti.pdf, what provision is stated in the supplied policy context?</x:v>
      </x:c>
      <x:c r="G293"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x:v>
      </x:c>
      <x:c r="H293" s="10" t="str">
        <x:v>BaloiseDirect Motor Vehicle Product Information and Terms and Conditions 2018 edition Translation In case of dispute, the original German, French or Italian text shall be decisive.</x:v>
      </x:c>
      <x:c r="I293" s="8" t="str">
        <x:v>motor</x:v>
      </x:c>
      <x:c r="J293" s="8" t="str">
        <x:v>LOCKED_HOLDOUT_CANDIDATE</x:v>
      </x:c>
      <x:c r="K293" s="10" t="str"/>
      <x:c r="L293" s="12" t="str"/>
      <x:c r="M293" s="12" t="str"/>
      <x:c r="N293" s="12" t="str"/>
      <x:c r="O293" s="12" t="str"/>
      <x:c r="P293" s="12" t="str"/>
    </x:row>
    <x:row r="294">
      <x:c r="A294" s="8" t="str">
        <x:v>ext-baloise-fail-003</x:v>
      </x:c>
      <x:c r="B294" s="8" t="str">
        <x:v>baloise_excluded_pdf</x:v>
      </x:c>
      <x:c r="C294" s="8" t="str">
        <x:v>data/raw/pdfs/motor-vehicle-insurance-sti.pdf</x:v>
      </x:c>
      <x:c r="D294" s="8" t="str">
        <x:v>motor-vehicle-insurance-sti</x:v>
      </x:c>
      <x:c r="E294" s="8" t="n">
        <x:v>4</x:v>
      </x:c>
      <x:c r="F294" s="10" t="str">
        <x:v>According to motor-vehicle-insurance-sti.pdf, what provision is stated in the supplied policy context?</x:v>
      </x:c>
      <x:c r="G294"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x:v>
      </x:c>
      <x:c r="H294" s="10" t="str">
        <x:v>BaloiseDirect Motor Vehicle Product Information and Terms and Conditions 2025 Edition Translation: In case of dispute, the original German, French or Italian text shall be decisive.</x:v>
      </x:c>
      <x:c r="I294" s="8" t="str">
        <x:v>motor</x:v>
      </x:c>
      <x:c r="J294" s="8" t="str">
        <x:v>LOCKED_HOLDOUT_CANDIDATE</x:v>
      </x:c>
      <x:c r="K294" s="10" t="str"/>
      <x:c r="L294" s="12" t="str"/>
      <x:c r="M294" s="12" t="str"/>
      <x:c r="N294" s="12" t="str"/>
      <x:c r="O294" s="12" t="str"/>
      <x:c r="P294" s="12" t="str"/>
    </x:row>
    <x:row r="295">
      <x:c r="A295" s="8" t="str">
        <x:v>ext-baloise-fail-004</x:v>
      </x:c>
      <x:c r="B295" s="8" t="str">
        <x:v>baloise_excluded_pdf</x:v>
      </x:c>
      <x:c r="C295" s="8" t="str">
        <x:v>data/raw/pdfs/brochure-household-contents-and-private-liability.pdf</x:v>
      </x:c>
      <x:c r="D295" s="8" t="str">
        <x:v>brochure-household-contents-and-private-liability</x:v>
      </x:c>
      <x:c r="E295" s="8" t="n">
        <x:v>2</x:v>
      </x:c>
      <x:c r="F295" s="10" t="str">
        <x:v>According to brochure-household-contents-and-private-liability.pdf, what provision is stated in the supplied policy context?</x:v>
      </x:c>
      <x:c r="G295" s="10" t="str">
        <x:v>There are dangers lurking in the digital world too. Imagine you order something online and the wrong goods are delivered or your order never even turns up. Protect yourself with cyber insurance. Household contents insurance All-round protection for your personal possessions Household contents and private liability insurance 2/8</x:v>
      </x:c>
      <x:c r="H295" s="10" t="str">
        <x:v>2/55 Product Information and Terms and Conditions BaloiseCombi Household T erms and Conditions Home contents insurance 11 A1 Home contents 11 A1.1 Mobile home/caravan without license plates/temporary structure as a facility permanent 12 A1.2 Surroundings insurance 12 A2 Future risks cover 13 A3 Mopeds, incl.</x:v>
      </x:c>
      <x:c r="I295" s="8" t="str">
        <x:v>household</x:v>
      </x:c>
      <x:c r="J295" s="8" t="str">
        <x:v>LOCKED_HOLDOUT_CANDIDATE</x:v>
      </x:c>
      <x:c r="K295" s="10" t="str"/>
      <x:c r="L295" s="12" t="str"/>
      <x:c r="M295" s="12" t="str"/>
      <x:c r="N295" s="12" t="str"/>
      <x:c r="O295" s="12" t="str"/>
      <x:c r="P295" s="12" t="str"/>
    </x:row>
    <x:row r="296">
      <x:c r="A296" s="8" t="str">
        <x:v>ext-baloise-fail-005</x:v>
      </x:c>
      <x:c r="B296" s="8" t="str">
        <x:v>baloise_excluded_pdf</x:v>
      </x:c>
      <x:c r="C296" s="8" t="str">
        <x:v>data/raw/pdfs/brochure-services.pdf</x:v>
      </x:c>
      <x:c r="D296" s="8" t="str">
        <x:v>brochure-services</x:v>
      </x:c>
      <x:c r="E296" s="8" t="n">
        <x:v>2</x:v>
      </x:c>
      <x:c r="F296" s="10" t="str">
        <x:v>According to brochure-services.pdf, what provision is stated in the supplied policy context?</x:v>
      </x:c>
      <x:c r="G296"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296" s="10" t="str">
        <x:v>2 Product Information Dear Customer The Product Information section is intended to help you understand your insurance policy documents.</x:v>
      </x:c>
      <x:c r="I296" s="8" t="str">
        <x:v>general_insurance</x:v>
      </x:c>
      <x:c r="J296" s="8" t="str">
        <x:v>LOCKED_HOLDOUT_CANDIDATE</x:v>
      </x:c>
      <x:c r="K296" s="10" t="str"/>
      <x:c r="L296" s="12" t="str"/>
      <x:c r="M296" s="12" t="str"/>
      <x:c r="N296" s="12" t="str"/>
      <x:c r="O296" s="12" t="str"/>
      <x:c r="P296" s="12" t="str"/>
    </x:row>
    <x:row r="297">
      <x:c r="A297" s="8" t="str">
        <x:v>ext-baloise-fail-006</x:v>
      </x:c>
      <x:c r="B297" s="8" t="str">
        <x:v>baloise_excluded_pdf</x:v>
      </x:c>
      <x:c r="C297" s="8" t="str">
        <x:v>data/raw/pdfs/motor-vehicle-insurance-sti.pdf</x:v>
      </x:c>
      <x:c r="D297" s="8" t="str">
        <x:v>motor-vehicle-insurance-sti</x:v>
      </x:c>
      <x:c r="E297" s="8" t="n">
        <x:v>4</x:v>
      </x:c>
      <x:c r="F297" s="10" t="str">
        <x:v>According to motor-vehicle-insurance-sti.pdf, what provision is stated in the supplied policy context?</x:v>
      </x:c>
      <x:c r="G297"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x:v>
      </x:c>
      <x:c r="H297" s="10" t="str">
        <x:v>3/28 Product Information and Terms and Conditions BaloiseDirect Motor Vehicle T erms and ConditionsProduct Information 1.</x:v>
      </x:c>
      <x:c r="I297" s="8" t="str">
        <x:v>motor</x:v>
      </x:c>
      <x:c r="J297" s="8" t="str">
        <x:v>LOCKED_HOLDOUT_CANDIDATE</x:v>
      </x:c>
      <x:c r="K297" s="10" t="str"/>
      <x:c r="L297" s="12" t="str"/>
      <x:c r="M297" s="12" t="str"/>
      <x:c r="N297" s="12" t="str"/>
      <x:c r="O297" s="12" t="str"/>
      <x:c r="P297" s="12" t="str"/>
    </x:row>
    <x:row r="298">
      <x:c r="A298" s="8" t="str">
        <x:v>ext-baloise-fail-007</x:v>
      </x:c>
      <x:c r="B298" s="8" t="str">
        <x:v>baloise_excluded_pdf</x:v>
      </x:c>
      <x:c r="C298" s="8" t="str">
        <x:v>data/raw/pdfs/motor-vehicle-insurance-sti.pdf</x:v>
      </x:c>
      <x:c r="D298" s="8" t="str">
        <x:v>motor-vehicle-insurance-sti</x:v>
      </x:c>
      <x:c r="E298" s="8" t="n">
        <x:v>4</x:v>
      </x:c>
      <x:c r="F298" s="10" t="str">
        <x:v>According to motor-vehicle-insurance-sti.pdf, what provision is stated in the supplied policy context?</x:v>
      </x:c>
      <x:c r="G298"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the applicant, the policyholder is obliged under Article 6 of the Insurance Policies Act to provide complete and correct answers to all the questions in the application (e. g. date of birth, previous damages / losses). If the policyholder or insured person provides an incomp</x:v>
      </x:c>
      <x:c r="H298" s="10" t="str">
        <x:v>4/55 Product Information and Terms and Conditions BaloiseCombi Household Dear Customer, The Product Information section is intended to help you understand your insurance policy documents.</x:v>
      </x:c>
      <x:c r="I298" s="8" t="str">
        <x:v>motor</x:v>
      </x:c>
      <x:c r="J298" s="8" t="str">
        <x:v>LOCKED_HOLDOUT_CANDIDATE</x:v>
      </x:c>
      <x:c r="K298" s="10" t="str"/>
      <x:c r="L298" s="12" t="str"/>
      <x:c r="M298" s="12" t="str"/>
      <x:c r="N298" s="12" t="str"/>
      <x:c r="O298" s="12" t="str"/>
      <x:c r="P298" s="12" t="str"/>
    </x:row>
    <x:row r="299">
      <x:c r="A299" s="8" t="str">
        <x:v>ext-baloise-fail-008</x:v>
      </x:c>
      <x:c r="B299" s="8" t="str">
        <x:v>baloise_excluded_pdf</x:v>
      </x:c>
      <x:c r="C299" s="8" t="str">
        <x:v>data/raw/pdfs/rental-guarantee-insurance-sti.pdf</x:v>
      </x:c>
      <x:c r="D299" s="8" t="str">
        <x:v>rental-guarantee-insurance-sti</x:v>
      </x:c>
      <x:c r="E299" s="8" t="n">
        <x:v>3</x:v>
      </x:c>
      <x:c r="F299" s="10" t="str">
        <x:v>According to rental-guarantee-insurance-sti.pdf, what provision is stated in the supplied policy context?</x:v>
      </x:c>
      <x:c r="G299"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299" s="10" t="str">
        <x:v>The content and scope of each party’s rights and obliga - tions in respect to the other party are exclusively gov - erned by your insurance policy and the Terms and Con - ditions (T&amp;C).</x:v>
      </x:c>
      <x:c r="I299" s="8" t="str">
        <x:v>rental_guarantee</x:v>
      </x:c>
      <x:c r="J299" s="8" t="str">
        <x:v>LOCKED_HOLDOUT_CANDIDATE</x:v>
      </x:c>
      <x:c r="K299" s="10" t="str"/>
      <x:c r="L299" s="12" t="str"/>
      <x:c r="M299" s="12" t="str"/>
      <x:c r="N299" s="12" t="str"/>
      <x:c r="O299" s="12" t="str"/>
      <x:c r="P299" s="12" t="str"/>
    </x:row>
    <x:row r="300">
      <x:c r="A300" s="8" t="str">
        <x:v>ext-baloise-fail-009</x:v>
      </x:c>
      <x:c r="B300" s="8" t="str">
        <x:v>baloise_excluded_pdf</x:v>
      </x:c>
      <x:c r="C300" s="8" t="str">
        <x:v>data/raw/pdfs/motor-vehicle-insurance-product-sheet.pdf</x:v>
      </x:c>
      <x:c r="D300" s="8" t="str">
        <x:v>motor-vehicle-insurance-product-sheet</x:v>
      </x:c>
      <x:c r="E300" s="8" t="n">
        <x:v>3</x:v>
      </x:c>
      <x:c r="F300" s="10" t="str">
        <x:v>According to motor-vehicle-insurance-product-sheet.pdf, what provision is stated in the supplied policy context?</x:v>
      </x:c>
      <x:c r="G300" s="10" t="str">
        <x:v>Comprehensive car insurance. With Helvetia’s comprehensive insurance your vehicle is insured for every trip. Choose between partially comprehensive and fully comprehensive, either with or without damage to parked vehicles. Scope of insurance • Repair of damage to your vehicle, including equipment and accessories, with an option of unlimited value • Replacement in the event of a total loss or theft Insured benefits with partially comprehensive insurance • Fire and natural forces such as storm, hail, rockfall, high water • Earthquakes and volcanic eruptions • Theft • Glass breakage • Marten damage and collision with animals • Wilful damage by third parties such as breaking off wing mirrors Insured benefits with fully comprehensive cover • All benefits of partially comprehensive cover • Damage to your vehicle resulting from a collision Total loss cover • All partial comprehensive insurance benefits • Total loss of your vehicle due to a collision R</x:v>
      </x:c>
      <x:c r="H300" s="10" t="str">
        <x:v>Complaints 10 Liability insurance 11 Comprehensive insurance 13 Supplementary cover 16 Passenger accident 22 General provisions 24</x:v>
      </x:c>
      <x:c r="I300" s="8" t="str">
        <x:v>motor</x:v>
      </x:c>
      <x:c r="J300" s="8" t="str">
        <x:v>VALIDATION</x:v>
      </x:c>
      <x:c r="K300" s="10" t="str"/>
      <x:c r="L300" s="12" t="str"/>
      <x:c r="M300" s="12" t="str"/>
      <x:c r="N300" s="12" t="str"/>
      <x:c r="O300" s="12" t="str"/>
      <x:c r="P300" s="12" t="str"/>
    </x:row>
    <x:row r="301">
      <x:c r="A301" s="8" t="str">
        <x:v>ext-baloise-fail-010</x:v>
      </x:c>
      <x:c r="B301" s="8" t="str">
        <x:v>baloise_excluded_pdf</x:v>
      </x:c>
      <x:c r="C301" s="8" t="str">
        <x:v>data/raw/pdfs/rental-guarantee-insurance-sti.pdf</x:v>
      </x:c>
      <x:c r="D301" s="8" t="str">
        <x:v>rental-guarantee-insurance-sti</x:v>
      </x:c>
      <x:c r="E301" s="8" t="n">
        <x:v>3</x:v>
      </x:c>
      <x:c r="F301" s="10" t="str">
        <x:v>According to rental-guarantee-insurance-sti.pdf, what provision is stated in the supplied policy context?</x:v>
      </x:c>
      <x:c r="G301"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301" s="10" t="str">
        <x:v>The content and scope of each party’s rights and obligations in respect to the other party are governed exclusively by your insurance policy and the Terms and Conditions (T&amp;C).</x:v>
      </x:c>
      <x:c r="I301" s="8" t="str">
        <x:v>rental_guarantee</x:v>
      </x:c>
      <x:c r="J301" s="8" t="str">
        <x:v>LOCKED_HOLDOUT_CANDIDATE</x:v>
      </x:c>
      <x:c r="K301" s="10" t="str"/>
      <x:c r="L301" s="12" t="str"/>
      <x:c r="M301" s="12" t="str"/>
      <x:c r="N301" s="12" t="str"/>
      <x:c r="O301" s="12" t="str"/>
      <x:c r="P301" s="12" t="str"/>
    </x:row>
    <x:row r="302">
      <x:c r="A302" s="8" t="str">
        <x:v>ext-baloise-fail-011</x:v>
      </x:c>
      <x:c r="B302" s="8" t="str">
        <x:v>baloise_excluded_pdf</x:v>
      </x:c>
      <x:c r="C302" s="8" t="str">
        <x:v>data/raw/pdfs/rental-guarantee-insurance-sti.pdf</x:v>
      </x:c>
      <x:c r="D302" s="8" t="str">
        <x:v>rental-guarantee-insurance-sti</x:v>
      </x:c>
      <x:c r="E302" s="8" t="n">
        <x:v>3</x:v>
      </x:c>
      <x:c r="F302" s="10" t="str">
        <x:v>According to rental-guarantee-insurance-sti.pdf, what provision is stated in the supplied policy context?</x:v>
      </x:c>
      <x:c r="G302"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x:v>
      </x:c>
      <x:c r="H302" s="10" t="str">
        <x:v>Your insurance contract is governed by Swiss law, in par - ticular, the Swiss Federal Law on Insurance Contracts (VVG).</x:v>
      </x:c>
      <x:c r="I302" s="8" t="str">
        <x:v>rental_guarantee</x:v>
      </x:c>
      <x:c r="J302" s="8" t="str">
        <x:v>LOCKED_HOLDOUT_CANDIDATE</x:v>
      </x:c>
      <x:c r="K302" s="10" t="str"/>
      <x:c r="L302" s="12" t="str"/>
      <x:c r="M302" s="12" t="str"/>
      <x:c r="N302" s="12" t="str"/>
      <x:c r="O302" s="12" t="str"/>
      <x:c r="P302" s="12" t="str"/>
    </x:row>
    <x:row r="303">
      <x:c r="A303" s="8" t="str">
        <x:v>ext-baloise-fail-012</x:v>
      </x:c>
      <x:c r="B303" s="8" t="str">
        <x:v>baloise_excluded_pdf</x:v>
      </x:c>
      <x:c r="C303" s="8" t="str">
        <x:v>data/raw/pdfs/motor-vehicle-insurance-sti.pdf</x:v>
      </x:c>
      <x:c r="D303" s="8" t="str">
        <x:v>motor-vehicle-insurance-sti</x:v>
      </x:c>
      <x:c r="E303" s="8" t="n">
        <x:v>4</x:v>
      </x:c>
      <x:c r="F303" s="10" t="str">
        <x:v>According to motor-vehicle-insurance-sti.pdf, what provision is stated in the supplied policy context?</x:v>
      </x:c>
      <x:c r="G303"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x:v>
      </x:c>
      <x:c r="H303" s="10" t="str">
        <x:v>4/28 Product Information and Terms and Conditions BaloiseDirect Motor Vehicle Dear Customer The Product Information section is intended to help you understand your insurance policy documents.</x:v>
      </x:c>
      <x:c r="I303" s="8" t="str">
        <x:v>motor</x:v>
      </x:c>
      <x:c r="J303" s="8" t="str">
        <x:v>LOCKED_HOLDOUT_CANDIDATE</x:v>
      </x:c>
      <x:c r="K303" s="10" t="str"/>
      <x:c r="L303" s="12" t="str"/>
      <x:c r="M303" s="12" t="str"/>
      <x:c r="N303" s="12" t="str"/>
      <x:c r="O303" s="12" t="str"/>
      <x:c r="P303" s="12" t="str"/>
    </x:row>
    <x:row r="304">
      <x:c r="A304" s="8" t="str">
        <x:v>ext-baloise-fail-013</x:v>
      </x:c>
      <x:c r="B304" s="8" t="str">
        <x:v>baloise_excluded_pdf</x:v>
      </x:c>
      <x:c r="C304" s="8" t="str">
        <x:v>data/raw/pdfs/rental-guarantee-insurance-sti.pdf</x:v>
      </x:c>
      <x:c r="D304" s="8" t="str">
        <x:v>rental-guarantee-insurance-sti</x:v>
      </x:c>
      <x:c r="E304" s="8" t="n">
        <x:v>3</x:v>
      </x:c>
      <x:c r="F304" s="10" t="str">
        <x:v>According to rental-guarantee-insurance-sti.pdf, what provision is stated in the supplied policy context?</x:v>
      </x:c>
      <x:c r="G304"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x:v>
      </x:c>
      <x:c r="H304" s="10" t="str">
        <x:v>Your insurance policy is governed by Swiss law, in particular the Federal Law on Insurance Contracts (VVG).</x:v>
      </x:c>
      <x:c r="I304" s="8" t="str">
        <x:v>rental_guarantee</x:v>
      </x:c>
      <x:c r="J304" s="8" t="str">
        <x:v>LOCKED_HOLDOUT_CANDIDATE</x:v>
      </x:c>
      <x:c r="K304" s="10" t="str"/>
      <x:c r="L304" s="12" t="str"/>
      <x:c r="M304" s="12" t="str"/>
      <x:c r="N304" s="12" t="str"/>
      <x:c r="O304" s="12" t="str"/>
      <x:c r="P304" s="12" t="str"/>
    </x:row>
    <x:row r="305">
      <x:c r="A305" s="8" t="str">
        <x:v>ext-baloise-fail-014</x:v>
      </x:c>
      <x:c r="B305" s="8" t="str">
        <x:v>baloise_excluded_pdf</x:v>
      </x:c>
      <x:c r="C305" s="8" t="str">
        <x:v>data/raw/pdfs/rental-guarantee-insurance-sti.pdf</x:v>
      </x:c>
      <x:c r="D305" s="8" t="str">
        <x:v>rental-guarantee-insurance-sti</x:v>
      </x:c>
      <x:c r="E305" s="8" t="n">
        <x:v>3</x:v>
      </x:c>
      <x:c r="F305" s="10" t="str">
        <x:v>According to rental-guarantee-insurance-sti.pdf, what provision is stated in the supplied policy context?</x:v>
      </x:c>
      <x:c r="G305"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305" s="10" t="str">
        <x:v>Your contracting party Your contracting party is Baloise Insurance Ltd, hereinafter referred to as “Baloise”.</x:v>
      </x:c>
      <x:c r="I305" s="8" t="str">
        <x:v>rental_guarantee</x:v>
      </x:c>
      <x:c r="J305" s="8" t="str">
        <x:v>LOCKED_HOLDOUT_CANDIDATE</x:v>
      </x:c>
      <x:c r="K305" s="10" t="str"/>
      <x:c r="L305" s="12" t="str"/>
      <x:c r="M305" s="12" t="str"/>
      <x:c r="N305" s="12" t="str"/>
      <x:c r="O305" s="12" t="str"/>
      <x:c r="P305" s="12" t="str"/>
    </x:row>
    <x:row r="306">
      <x:c r="A306" s="8" t="str">
        <x:v>ext-baloise-fail-015</x:v>
      </x:c>
      <x:c r="B306" s="8" t="str">
        <x:v>baloise_excluded_pdf</x:v>
      </x:c>
      <x:c r="C306" s="8" t="str">
        <x:v>data/raw/pdfs/rental-guarantee-insurance-sti.pdf</x:v>
      </x:c>
      <x:c r="D306" s="8" t="str">
        <x:v>rental-guarantee-insurance-sti</x:v>
      </x:c>
      <x:c r="E306" s="8" t="n">
        <x:v>3</x:v>
      </x:c>
      <x:c r="F306" s="10" t="str">
        <x:v>According to rental-guarantee-insurance-sti.pdf, what provision is stated in the supplied policy context?</x:v>
      </x:c>
      <x:c r="G306"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x:v>
      </x:c>
      <x:c r="H306" s="10" t="str">
        <x:v>The content and scope of each party’s rights and obligations in respect to the other party are exclusively governed by your insurance policy and the Terms and Conditions (T&amp;C).</x:v>
      </x:c>
      <x:c r="I306" s="8" t="str">
        <x:v>rental_guarantee</x:v>
      </x:c>
      <x:c r="J306" s="8" t="str">
        <x:v>LOCKED_HOLDOUT_CANDIDATE</x:v>
      </x:c>
      <x:c r="K306" s="10" t="str"/>
      <x:c r="L306" s="12" t="str"/>
      <x:c r="M306" s="12" t="str"/>
      <x:c r="N306" s="12" t="str"/>
      <x:c r="O306" s="12" t="str"/>
      <x:c r="P306" s="12" t="str"/>
    </x:row>
    <x:row r="307">
      <x:c r="A307" s="8" t="str">
        <x:v>ext-baloise-fail-016</x:v>
      </x:c>
      <x:c r="B307" s="8" t="str">
        <x:v>baloise_excluded_pdf</x:v>
      </x:c>
      <x:c r="C307" s="8" t="str">
        <x:v>data/raw/pdfs/rental-guarantee-insurance-sti.pdf</x:v>
      </x:c>
      <x:c r="D307" s="8" t="str">
        <x:v>rental-guarantee-insurance-sti</x:v>
      </x:c>
      <x:c r="E307" s="8" t="n">
        <x:v>3</x:v>
      </x:c>
      <x:c r="F307" s="10" t="str">
        <x:v>According to rental-guarantee-insurance-sti.pdf, what provision is stated in the supplied policy context?</x:v>
      </x:c>
      <x:c r="G307"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other text form on conclusion of the contract, Helvetia is entitled to terminate the contract within four weeks of becoming aware of the breach of the duty to notify. If the contract is termi nated in this manner, the obligation to pay benefi</x:v>
      </x:c>
      <x:c r="H307" s="10" t="str">
        <x:v>In such a case, the “Additional provisions for insurance contracts subject to the law of Liechtenstein” apply in addition to these T&amp;C.</x:v>
      </x:c>
      <x:c r="I307" s="8" t="str">
        <x:v>rental_guarantee</x:v>
      </x:c>
      <x:c r="J307" s="8" t="str">
        <x:v>LOCKED_HOLDOUT_CANDIDATE</x:v>
      </x:c>
      <x:c r="K307" s="10" t="str"/>
      <x:c r="L307" s="12" t="str"/>
      <x:c r="M307" s="12" t="str"/>
      <x:c r="N307" s="12" t="str"/>
      <x:c r="O307" s="12" t="str"/>
      <x:c r="P307" s="12" t="str"/>
    </x:row>
    <x:row r="308">
      <x:c r="A308" s="8" t="str">
        <x:v>ext-baloise-fail-017</x:v>
      </x:c>
      <x:c r="B308" s="8" t="str">
        <x:v>baloise_excluded_pdf</x:v>
      </x:c>
      <x:c r="C308" s="8" t="str">
        <x:v>data/raw/pdfs/brochure-services.pdf</x:v>
      </x:c>
      <x:c r="D308" s="8" t="str">
        <x:v>brochure-services</x:v>
      </x:c>
      <x:c r="E308" s="8" t="n">
        <x:v>2</x:v>
      </x:c>
      <x:c r="F308" s="10" t="str">
        <x:v>According to brochure-services.pdf, what provision is stated in the supplied policy context?</x:v>
      </x:c>
      <x:c r="G308" s="10" t="str">
        <x:v>Your satisfaction is Helvetia's top priority. We support you with a range of round-the-clock services – in emergencies 24 hours a day, 365 days a year. As a Swiss insurance company we stand for quality, friendliness and service. We do everything we can to make unpleasant situ - ations as comfortable as possible for you. Scope of insurance cover The service product provides you with the following benefits: • 24/7 assistance • 48h claims payment Helvetia services. In simple language. Helvetia customer portal Your policies at a glance. helvetia.ch/kundenportal “Helvetia guarantees claims payment within 48h following a successful claims review.” 2/4 | Helvetia services – product information sheet</x:v>
      </x:c>
      <x:c r="H308" s="10" t="str">
        <x:v>Scope of insurance cover In the following section, we provide you with information about avail - able insurance cover options.</x:v>
      </x:c>
      <x:c r="I308" s="8" t="str">
        <x:v>general_insurance</x:v>
      </x:c>
      <x:c r="J308" s="8" t="str">
        <x:v>LOCKED_HOLDOUT_CANDIDATE</x:v>
      </x:c>
      <x:c r="K308" s="10" t="str"/>
      <x:c r="L308" s="12" t="str"/>
      <x:c r="M308" s="12" t="str"/>
      <x:c r="N308" s="12" t="str"/>
      <x:c r="O308" s="12" t="str"/>
      <x:c r="P308" s="12" t="str"/>
    </x:row>
    <x:row r="309">
      <x:c r="A309" s="8" t="str">
        <x:v>ext-baloise-fail-018</x:v>
      </x:c>
      <x:c r="B309" s="8" t="str">
        <x:v>baloise_excluded_pdf</x:v>
      </x:c>
      <x:c r="C309" s="8" t="str">
        <x:v>data/raw/pdfs/rental-guarantee-insurance-sti.pdf</x:v>
      </x:c>
      <x:c r="D309" s="8" t="str">
        <x:v>rental-guarantee-insurance-sti</x:v>
      </x:c>
      <x:c r="E309" s="8" t="n">
        <x:v>3</x:v>
      </x:c>
      <x:c r="F309" s="10" t="str">
        <x:v>According to rental-guarantee-insurance-sti.pdf, what provision is stated in the supplied policy context?</x:v>
      </x:c>
      <x:c r="G309" s="10" t="str">
        <x:v>3/7 | Helvetia Swiss Insurance Company Ltd STI Helvetia private rental guarantee insurance – September 2025 edition 1 Contracting party Your contracting party is: Helvetia Swiss Insurance Company Ltd Dufourstrasse 40 9001 St. Gallen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further special conditions or supplemen - tary provisions, and also the policy. The Swiss Federal Law on Insurance Contracts also applies. If the policyholder’s place of residence/registered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an applicant, the policyholder is obliged under Article 6 of the Insurance Policies Act to provide complete and correct answers to all questions in the application (e. g. date of birth, previous damages/losses). If the policyholder or insured person provides an incomplete or incorrect answer to a written question or a question in any </x:v>
      </x:c>
      <x:c r="H309" s="10" t="str">
        <x:v>Your insurance contract is governed by Swiss law, in particular, the Swiss Federal Law on Insurance Contracts (VVG).</x:v>
      </x:c>
      <x:c r="I309" s="8" t="str">
        <x:v>rental_guarantee</x:v>
      </x:c>
      <x:c r="J309" s="8" t="str">
        <x:v>LOCKED_HOLDOUT_CANDIDATE</x:v>
      </x:c>
      <x:c r="K309" s="10" t="str"/>
      <x:c r="L309" s="12" t="str"/>
      <x:c r="M309" s="12" t="str"/>
      <x:c r="N309" s="12" t="str"/>
      <x:c r="O309" s="12" t="str"/>
      <x:c r="P309" s="12" t="str"/>
    </x:row>
    <x:row r="310">
      <x:c r="A310" s="8" t="str">
        <x:v>ext-baloise-fail-019</x:v>
      </x:c>
      <x:c r="B310" s="8" t="str">
        <x:v>baloise_excluded_pdf</x:v>
      </x:c>
      <x:c r="C310" s="8" t="str">
        <x:v>data/raw/pdfs/motor-vehicle-insurance-sti.pdf</x:v>
      </x:c>
      <x:c r="D310" s="8" t="str">
        <x:v>motor-vehicle-insurance-sti</x:v>
      </x:c>
      <x:c r="E310" s="8" t="n">
        <x:v>4</x:v>
      </x:c>
      <x:c r="F310" s="10" t="str">
        <x:v>According to motor-vehicle-insurance-sti.pdf, what provision is stated in the supplied policy context?</x:v>
      </x:c>
      <x:c r="G310" s="10" t="str">
        <x:v>4/31 | Helvetia Swiss Insurance Company Ltd STI Helvetia Motor Vehicle Insurance – Edition March 2026 Motor Vehicle Customer information 1 Contracting parties The contracting parties are as follows Helvetia Swiss Insurance Company Ltd. Dufourstrasse 40 CH-9001 St. Gallen or Helvetia Swiss Life Insurance Company Ltd St. Alban-Anlage 26 CH-4002 Basel or Coop Rechtsschutz AG Entfelderstrasse 2 CH-5000 Aarau In the course of concluding and executing the contract, Helvetia Swiss Insurance Company Ltd is entitled to act on behalf of the other contracting parties (e. g. concluding and terminating contracts, collecting debts, demanding refunds). 2 Applicable law, basis of the contract This contract is governed by Swiss law. The contractual basis comprises the application, the customer information, the Standard Terms of Insurance and, if applicable, further special conditions or supplementary provisions, and also the policy. The Swiss Federal Law on Insurance Contracts also applies. If the policyholderʼs place of residence / registered office is the Principality of Liechtenstein, the law of Liechtenstein applies together with the provisions of the Liechtenstein Insurance Policies Act (Versicherungsvertragsgesetz, VersVG). 3 Insurance against loss or fixed sum insurance Your insurance is, as a general rule, an insurance against loss; fixed sum insurance will be expressly designated as such in the contract documents (e. g. application or policy). 4 Obligations on concluding the contract As the applicant, the policyholder is obliged under Article 6 of the Insurance Policies Act to provide complete and correct answers to all the questions in the application (e. g. date of birth, previous damages / losses). If the policyholder or insured person provides an incomp</x:v>
      </x:c>
      <x:c r="H310" s="10" t="str">
        <x:v>5/55 Product Information Terms and Conditions from page 11 1.</x:v>
      </x:c>
      <x:c r="I310" s="8" t="str">
        <x:v>motor</x:v>
      </x:c>
      <x:c r="J310" s="8" t="str">
        <x:v>LOCKED_HOLDOUT_CANDIDATE</x:v>
      </x:c>
      <x:c r="K310" s="10" t="str"/>
      <x:c r="L310" s="12" t="str"/>
      <x:c r="M310" s="12" t="str"/>
      <x:c r="N310" s="12" t="str"/>
      <x:c r="O310" s="12" t="str"/>
      <x:c r="P310" s="12" t="str"/>
    </x:row>
    <x:row r="311">
      <x:c r="A311" s="8" t="str">
        <x:v>ext-baloise-fail-020</x:v>
      </x:c>
      <x:c r="B311" s="8" t="str">
        <x:v>baloise_excluded_pdf</x:v>
      </x:c>
      <x:c r="C311" s="8" t="str">
        <x:v>data/raw/pdfs/brochure-services.pdf</x:v>
      </x:c>
      <x:c r="D311" s="8" t="str">
        <x:v>brochure-services</x:v>
      </x:c>
      <x:c r="E311" s="8" t="n">
        <x:v>3</x:v>
      </x:c>
      <x:c r="F311" s="10" t="str">
        <x:v>According to brochure-services.pdf, what provision is stated in the supplied policy context?</x:v>
      </x:c>
      <x:c r="G311" s="10" t="str">
        <x:v>Innovative, customer-focused, there for you. Waiver of premiums In the event of earning disability, you will benefit from a waiver of insurance premiums until the agreed end of the contract. However, you will continue to benefit from insurance cover. Locksmith service If access to your owner-occupied residential premises is not possible due to a sudden and unforeseen event and no other proportionate measures can reasonably be expected to be taken, Helvetia will organize a tradesman to provide access. Card blocking service At your request, we can block lost credit and debit cards as well as SIM cards. Home Assistance Home Assistance includes: • Tradesman service • Organization of construction management • Removal of wasps’, hornets’ and bees’ nests • Immediate measures in the event of a technical defect • Organization of a security service Psychological follow-up support We will pay the cost of psychological support provided by a qualified doctor, psychologist or psychiatrist after an insured event. Waiver of gross negligence Helvetia waives its right to a reduction in benefits in the</x:v>
      </x:c>
      <x:c r="H311" s="10" t="str">
        <x:v>A full general description of the insurance cover and its restric - tions can be found in the T&amp;C.</x:v>
      </x:c>
      <x:c r="I311" s="8" t="str">
        <x:v>general_insurance</x:v>
      </x:c>
      <x:c r="J311" s="8" t="str">
        <x:v>LOCKED_HOLDOUT_CANDIDATE</x:v>
      </x:c>
      <x:c r="K311" s="10" t="str"/>
      <x:c r="L311" s="12" t="str"/>
      <x:c r="M311" s="12" t="str"/>
      <x:c r="N311" s="12" t="str"/>
      <x:c r="O311" s="12" t="str"/>
      <x:c r="P311" s="12" t="str"/>
    </x:row>
    <x:row r="312">
      <x:c r="A312" s="8" t="str">
        <x:v>ext-crm-pass-001</x:v>
      </x:c>
      <x:c r="B312" s="8" t="str">
        <x:v>synthetic_crm</x:v>
      </x:c>
      <x:c r="C312" s="8" t="str">
        <x:v>data/synthetic/crm/policies.csv</x:v>
      </x:c>
      <x:c r="D312" s="8" t="str">
        <x:v>policy:TEST-KFZ-2026-1001</x:v>
      </x:c>
      <x:c r="E312" s="8" t="str"/>
      <x:c r="F312" s="10" t="str">
        <x:v>What are the customer, policy number, product, coverage, status, deductible and annual premium?</x:v>
      </x:c>
      <x:c r="G312" s="10" t="str">
        <x:v>Customer: Lara Neumann (lara.neumann@example.test). Policy number: TEST-KFZ-2026-1001. Product type: Motor Insurance. Coverage type: Partial Coverage. Status: Active. Start date: 2026-01-01. End date: 2026-12-31. Deductible: 150 EUR. Annual premium: 684 EUR.</x:v>
      </x:c>
      <x:c r="H312" s="10" t="str">
        <x:v>Lara Neumann holds policy TEST-KFZ-2026-1001, a Motor Insurance policy with Partial Coverage, status Active, a deductible of 150 EUR, and an annual premium of 684 EUR.</x:v>
      </x:c>
      <x:c r="I312" s="8" t="str">
        <x:v>motor</x:v>
      </x:c>
      <x:c r="J312" s="8" t="str">
        <x:v>CALIBRATION</x:v>
      </x:c>
      <x:c r="K312" s="10" t="str"/>
      <x:c r="L312" s="12" t="str"/>
      <x:c r="M312" s="12" t="str"/>
      <x:c r="N312" s="12" t="str"/>
      <x:c r="O312" s="12" t="str"/>
      <x:c r="P312" s="12" t="str"/>
    </x:row>
    <x:row r="313">
      <x:c r="A313" s="8" t="str">
        <x:v>ext-crm-pass-002</x:v>
      </x:c>
      <x:c r="B313" s="8" t="str">
        <x:v>synthetic_crm</x:v>
      </x:c>
      <x:c r="C313" s="8" t="str">
        <x:v>data/synthetic/crm/policies.csv</x:v>
      </x:c>
      <x:c r="D313" s="8" t="str">
        <x:v>policy:TEST-PHV-2026-1002</x:v>
      </x:c>
      <x:c r="E313" s="8" t="str"/>
      <x:c r="F313" s="10" t="str">
        <x:v>What are the customer, policy number, product, coverage, status, deductible and annual premium?</x:v>
      </x:c>
      <x:c r="G313" s="10" t="str">
        <x:v>Customer: Lara Neumann (lara.neumann@example.test). Policy number: TEST-PHV-2026-1002. Product type: Personal Liability. Coverage type: Liability. Status: Active. Start date: 2026-01-01. End date: 2026-12-31. Deductible: 0 EUR. Annual premium: 96 EUR.</x:v>
      </x:c>
      <x:c r="H313" s="10" t="str">
        <x:v>Lara Neumann holds policy TEST-PHV-2026-1002, a Personal Liability policy with Liability, status Active, a deductible of 0 EUR, and an annual premium of 96 EUR.</x:v>
      </x:c>
      <x:c r="I313" s="8" t="str">
        <x:v>liability</x:v>
      </x:c>
      <x:c r="J313" s="8" t="str">
        <x:v>CALIBRATION</x:v>
      </x:c>
      <x:c r="K313" s="10" t="str"/>
      <x:c r="L313" s="12" t="str"/>
      <x:c r="M313" s="12" t="str"/>
      <x:c r="N313" s="12" t="str"/>
      <x:c r="O313" s="12" t="str"/>
      <x:c r="P313" s="12" t="str"/>
    </x:row>
    <x:row r="314">
      <x:c r="A314" s="8" t="str">
        <x:v>ext-crm-pass-003</x:v>
      </x:c>
      <x:c r="B314" s="8" t="str">
        <x:v>synthetic_crm</x:v>
      </x:c>
      <x:c r="C314" s="8" t="str">
        <x:v>data/synthetic/crm/policies.csv</x:v>
      </x:c>
      <x:c r="D314" s="8" t="str">
        <x:v>policy:TEST-KFZ-2026-1003</x:v>
      </x:c>
      <x:c r="E314" s="8" t="str"/>
      <x:c r="F314" s="10" t="str">
        <x:v>What are the customer, policy number, product, coverage, status, deductible and annual premium?</x:v>
      </x:c>
      <x:c r="G314" s="10" t="str">
        <x:v>Customer: Lara Neumann (lara.neumann@example.test). Policy number: TEST-KFZ-2026-1003. Product type: Motor Insurance. Coverage type: Partial Coverage. Status: Active. Start date: 2026-07-01. End date: 2027-06-30. Deductible: 300 EUR. Annual premium: 720 EUR.</x:v>
      </x:c>
      <x:c r="H314" s="10" t="str">
        <x:v>Lara Neumann holds policy TEST-KFZ-2026-1003, a Motor Insurance policy with Partial Coverage, status Active, a deductible of 300 EUR, and an annual premium of 720 EUR.</x:v>
      </x:c>
      <x:c r="I314" s="8" t="str">
        <x:v>motor</x:v>
      </x:c>
      <x:c r="J314" s="8" t="str">
        <x:v>CALIBRATION</x:v>
      </x:c>
      <x:c r="K314" s="10" t="str"/>
      <x:c r="L314" s="12" t="str"/>
      <x:c r="M314" s="12" t="str"/>
      <x:c r="N314" s="12" t="str"/>
      <x:c r="O314" s="12" t="str"/>
      <x:c r="P314" s="12" t="str"/>
    </x:row>
    <x:row r="315">
      <x:c r="A315" s="8" t="str">
        <x:v>ext-crm-pass-004</x:v>
      </x:c>
      <x:c r="B315" s="8" t="str">
        <x:v>synthetic_crm</x:v>
      </x:c>
      <x:c r="C315" s="8" t="str">
        <x:v>data/synthetic/crm/policies.csv</x:v>
      </x:c>
      <x:c r="D315" s="8" t="str">
        <x:v>policy:TEST-KFZ-2026-1101</x:v>
      </x:c>
      <x:c r="E315" s="8" t="str"/>
      <x:c r="F315" s="10" t="str">
        <x:v>What are the customer, policy number, product, coverage, status, deductible and annual premium?</x:v>
      </x:c>
      <x:c r="G315" s="10" t="str">
        <x:v>Customer: Oliver Brandt (oliver.brandt@example.test). Policy number: TEST-KFZ-2026-1101. Product type: Motor Insurance. Coverage type: Comprehensive Coverage. Status: Active. Start date: 2026-02-01. End date: 2027-01-31. Deductible: 300 EUR. Annual premium: 1120 EUR.</x:v>
      </x:c>
      <x:c r="H315" s="10" t="str">
        <x:v>Oliver Brandt holds policy TEST-KFZ-2026-1101, a Motor Insurance policy with Comprehensive Coverage, status Active, a deductible of 300 EUR, and an annual premium of 1120 EUR.</x:v>
      </x:c>
      <x:c r="I315" s="8" t="str">
        <x:v>motor</x:v>
      </x:c>
      <x:c r="J315" s="8" t="str">
        <x:v>CALIBRATION</x:v>
      </x:c>
      <x:c r="K315" s="10" t="str"/>
      <x:c r="L315" s="12" t="str"/>
      <x:c r="M315" s="12" t="str"/>
      <x:c r="N315" s="12" t="str"/>
      <x:c r="O315" s="12" t="str"/>
      <x:c r="P315" s="12" t="str"/>
    </x:row>
    <x:row r="316">
      <x:c r="A316" s="8" t="str">
        <x:v>ext-crm-pass-005</x:v>
      </x:c>
      <x:c r="B316" s="8" t="str">
        <x:v>synthetic_crm</x:v>
      </x:c>
      <x:c r="C316" s="8" t="str">
        <x:v>data/synthetic/crm/policies.csv</x:v>
      </x:c>
      <x:c r="D316" s="8" t="str">
        <x:v>policy:TEST-HH-2026-1201</x:v>
      </x:c>
      <x:c r="E316" s="8" t="str"/>
      <x:c r="F316" s="10" t="str">
        <x:v>What are the customer, policy number, product, coverage, status, deductible and annual premium?</x:v>
      </x:c>
      <x:c r="G316" s="10" t="str">
        <x:v>Customer: Sophie Keller (sophie.keller@example.test). Policy number: TEST-HH-2026-1201. Product type: Household Insurance. Coverage type: Standard Coverage. Status: Active. Start date: 2026-01-15. End date: 2027-01-14. Deductible: 250 EUR. Annual premium: 210 EUR.</x:v>
      </x:c>
      <x:c r="H316" s="10" t="str">
        <x:v>Sophie Keller holds policy TEST-HH-2026-1201, a Household Insurance policy with Standard Coverage, status Active, a deductible of 250 EUR, and an annual premium of 210 EUR.</x:v>
      </x:c>
      <x:c r="I316" s="8" t="str">
        <x:v>household</x:v>
      </x:c>
      <x:c r="J316" s="8" t="str">
        <x:v>CALIBRATION</x:v>
      </x:c>
      <x:c r="K316" s="10" t="str"/>
      <x:c r="L316" s="12" t="str"/>
      <x:c r="M316" s="12" t="str"/>
      <x:c r="N316" s="12" t="str"/>
      <x:c r="O316" s="12" t="str"/>
      <x:c r="P316" s="12" t="str"/>
    </x:row>
    <x:row r="317">
      <x:c r="A317" s="8" t="str">
        <x:v>ext-crm-pass-006</x:v>
      </x:c>
      <x:c r="B317" s="8" t="str">
        <x:v>synthetic_crm</x:v>
      </x:c>
      <x:c r="C317" s="8" t="str">
        <x:v>data/synthetic/crm/policies.csv</x:v>
      </x:c>
      <x:c r="D317" s="8" t="str">
        <x:v>policy:TEST-RS-2026-1202</x:v>
      </x:c>
      <x:c r="E317" s="8" t="str"/>
      <x:c r="F317" s="10" t="str">
        <x:v>What are the customer, policy number, product, coverage, status, deductible and annual premium?</x:v>
      </x:c>
      <x:c r="G317" s="10" t="str">
        <x:v>Customer: Sophie Keller (sophie.keller@example.test). Policy number: TEST-RS-2026-1202. Product type: Legal Protection. Coverage type: Standard Coverage. Status: Pending. Start date: 2026-08-01. End date: 2027-07-31. Deductible: 150 EUR. Annual premium: 280 EUR.</x:v>
      </x:c>
      <x:c r="H317" s="10" t="str">
        <x:v>Sophie Keller holds policy TEST-RS-2026-1202, a Legal Protection policy with Standard Coverage, status Pending, a deductible of 150 EUR, and an annual premium of 280 EUR.</x:v>
      </x:c>
      <x:c r="I317" s="8" t="str">
        <x:v>legal_protection</x:v>
      </x:c>
      <x:c r="J317" s="8" t="str">
        <x:v>CALIBRATION</x:v>
      </x:c>
      <x:c r="K317" s="10" t="str"/>
      <x:c r="L317" s="12" t="str"/>
      <x:c r="M317" s="12" t="str"/>
      <x:c r="N317" s="12" t="str"/>
      <x:c r="O317" s="12" t="str"/>
      <x:c r="P317" s="12" t="str"/>
    </x:row>
    <x:row r="318">
      <x:c r="A318" s="8" t="str">
        <x:v>ext-crm-pass-007</x:v>
      </x:c>
      <x:c r="B318" s="8" t="str">
        <x:v>synthetic_crm</x:v>
      </x:c>
      <x:c r="C318" s="8" t="str">
        <x:v>data/synthetic/crm/policies.csv</x:v>
      </x:c>
      <x:c r="D318" s="8" t="str">
        <x:v>policy:TEST-PHV-2025-1301</x:v>
      </x:c>
      <x:c r="E318" s="8" t="str"/>
      <x:c r="F318" s="10" t="str">
        <x:v>What are the customer, policy number, product, coverage, status, deductible and annual premium?</x:v>
      </x:c>
      <x:c r="G318" s="10" t="str">
        <x:v>Customer: Emil Fischer (emil.fischer@example.test). Policy number: TEST-PHV-2025-1301. Product type: Personal Liability. Coverage type: Liability. Status: Expired. Start date: 2025-01-01. End date: 2025-12-31. Deductible: 0 EUR. Annual premium: 84 EUR.</x:v>
      </x:c>
      <x:c r="H318" s="10" t="str">
        <x:v>Emil Fischer holds policy TEST-PHV-2025-1301, a Personal Liability policy with Liability, status Expired, a deductible of 0 EUR, and an annual premium of 84 EUR.</x:v>
      </x:c>
      <x:c r="I318" s="8" t="str">
        <x:v>liability</x:v>
      </x:c>
      <x:c r="J318" s="8" t="str">
        <x:v>CALIBRATION</x:v>
      </x:c>
      <x:c r="K318" s="10" t="str"/>
      <x:c r="L318" s="12" t="str"/>
      <x:c r="M318" s="12" t="str"/>
      <x:c r="N318" s="12" t="str"/>
      <x:c r="O318" s="12" t="str"/>
      <x:c r="P318" s="12" t="str"/>
    </x:row>
    <x:row r="319">
      <x:c r="A319" s="8" t="str">
        <x:v>ext-crm-pass-008</x:v>
      </x:c>
      <x:c r="B319" s="8" t="str">
        <x:v>synthetic_crm</x:v>
      </x:c>
      <x:c r="C319" s="8" t="str">
        <x:v>data/synthetic/crm/policies.csv</x:v>
      </x:c>
      <x:c r="D319" s="8" t="str">
        <x:v>policy:TEST-KFZ-2026-1401</x:v>
      </x:c>
      <x:c r="E319" s="8" t="str"/>
      <x:c r="F319" s="10" t="str">
        <x:v>What are the customer, policy number, product, coverage, status, deductible and annual premium?</x:v>
      </x:c>
      <x:c r="G319" s="10" t="str">
        <x:v>Customer: Hannah Vogel (hannah.vogel@example.test). Policy number: TEST-KFZ-2026-1401. Product type: Motor Insurance. Coverage type: Liability. Status: Active. Start date: 2026-03-01. End date: 2027-02-28. Deductible: 500 EUR. Annual premium: 520 EUR.</x:v>
      </x:c>
      <x:c r="H319" s="10" t="str">
        <x:v>Hannah Vogel holds policy TEST-KFZ-2026-1401, a Motor Insurance policy with Liability, status Active, a deductible of 500 EUR, and an annual premium of 520 EUR.</x:v>
      </x:c>
      <x:c r="I319" s="8" t="str">
        <x:v>motor</x:v>
      </x:c>
      <x:c r="J319" s="8" t="str">
        <x:v>CALIBRATION</x:v>
      </x:c>
      <x:c r="K319" s="10" t="str"/>
      <x:c r="L319" s="12" t="str"/>
      <x:c r="M319" s="12" t="str"/>
      <x:c r="N319" s="12" t="str"/>
      <x:c r="O319" s="12" t="str"/>
      <x:c r="P319" s="12" t="str"/>
    </x:row>
    <x:row r="320">
      <x:c r="A320" s="8" t="str">
        <x:v>ext-crm-pass-009</x:v>
      </x:c>
      <x:c r="B320" s="8" t="str">
        <x:v>synthetic_crm</x:v>
      </x:c>
      <x:c r="C320" s="8" t="str">
        <x:v>data/synthetic/crm/policies.csv</x:v>
      </x:c>
      <x:c r="D320" s="8" t="str">
        <x:v>policy:TEST-HH-2026-1402</x:v>
      </x:c>
      <x:c r="E320" s="8" t="str"/>
      <x:c r="F320" s="10" t="str">
        <x:v>What are the customer, policy number, product, coverage, status, deductible and annual premium?</x:v>
      </x:c>
      <x:c r="G320" s="10" t="str">
        <x:v>Customer: Hannah Vogel (hannah.vogel@example.test). Policy number: TEST-HH-2026-1402. Product type: Household Insurance. Coverage type: Standard Coverage. Status: Active. Start date: 2026-03-01. End date: 2027-02-28. Deductible: 200 EUR. Annual premium: 195 EUR.</x:v>
      </x:c>
      <x:c r="H320" s="10" t="str">
        <x:v>Hannah Vogel holds policy TEST-HH-2026-1402, a Household Insurance policy with Standard Coverage, status Active, a deductible of 200 EUR, and an annual premium of 195 EUR.</x:v>
      </x:c>
      <x:c r="I320" s="8" t="str">
        <x:v>household</x:v>
      </x:c>
      <x:c r="J320" s="8" t="str">
        <x:v>CALIBRATION</x:v>
      </x:c>
      <x:c r="K320" s="10" t="str"/>
      <x:c r="L320" s="12" t="str"/>
      <x:c r="M320" s="12" t="str"/>
      <x:c r="N320" s="12" t="str"/>
      <x:c r="O320" s="12" t="str"/>
      <x:c r="P320" s="12" t="str"/>
    </x:row>
    <x:row r="321">
      <x:c r="A321" s="8" t="str">
        <x:v>ext-crm-pass-010</x:v>
      </x:c>
      <x:c r="B321" s="8" t="str">
        <x:v>synthetic_crm</x:v>
      </x:c>
      <x:c r="C321" s="8" t="str">
        <x:v>data/synthetic/crm/policies.csv</x:v>
      </x:c>
      <x:c r="D321" s="8" t="str">
        <x:v>policy:TEST-RS-2026-1501</x:v>
      </x:c>
      <x:c r="E321" s="8" t="str"/>
      <x:c r="F321" s="10" t="str">
        <x:v>What are the customer, policy number, product, coverage, status, deductible and annual premium?</x:v>
      </x:c>
      <x:c r="G321" s="10" t="str">
        <x:v>Customer: Jonas Richter (jonas.richter@example.test). Policy number: TEST-RS-2026-1501. Product type: Legal Protection. Coverage type: Standard Coverage. Status: Cancelled. Start date: 2026-01-01. End date: 2026-06-30. Deductible: 150 EUR. Annual premium: 260 EUR.</x:v>
      </x:c>
      <x:c r="H321" s="10" t="str">
        <x:v>Jonas Richter holds policy TEST-RS-2026-1501, a Legal Protection policy with Standard Coverage, status Cancelled, a deductible of 150 EUR, and an annual premium of 260 EUR.</x:v>
      </x:c>
      <x:c r="I321" s="8" t="str">
        <x:v>legal_protection</x:v>
      </x:c>
      <x:c r="J321" s="8" t="str">
        <x:v>CALIBRATION</x:v>
      </x:c>
      <x:c r="K321" s="10" t="str"/>
      <x:c r="L321" s="12" t="str"/>
      <x:c r="M321" s="12" t="str"/>
      <x:c r="N321" s="12" t="str"/>
      <x:c r="O321" s="12" t="str"/>
      <x:c r="P321" s="12" t="str"/>
    </x:row>
    <x:row r="322">
      <x:c r="A322" s="8" t="str">
        <x:v>ext-crm-pass-011</x:v>
      </x:c>
      <x:c r="B322" s="8" t="str">
        <x:v>synthetic_crm</x:v>
      </x:c>
      <x:c r="C322" s="8" t="str">
        <x:v>data/synthetic/crm/policies.csv</x:v>
      </x:c>
      <x:c r="D322" s="8" t="str">
        <x:v>policy:TEST-PHV-2026-1601</x:v>
      </x:c>
      <x:c r="E322" s="8" t="str"/>
      <x:c r="F322" s="10" t="str">
        <x:v>What are the customer, policy number, product, coverage, status, deductible and annual premium?</x:v>
      </x:c>
      <x:c r="G322" s="10" t="str">
        <x:v>Customer: Amira Hoffmann (amira.hoffmann@example.test). Policy number: TEST-PHV-2026-1601. Product type: Personal Liability. Coverage type: Liability. Status: Active. Start date: 2026-04-01. End date: 2027-03-31. Deductible: 0 EUR. Annual premium: 102 EUR.</x:v>
      </x:c>
      <x:c r="H322" s="10" t="str">
        <x:v>Amira Hoffmann holds policy TEST-PHV-2026-1601, a Personal Liability policy with Liability, status Active, a deductible of 0 EUR, and an annual premium of 102 EUR.</x:v>
      </x:c>
      <x:c r="I322" s="8" t="str">
        <x:v>liability</x:v>
      </x:c>
      <x:c r="J322" s="8" t="str">
        <x:v>CALIBRATION</x:v>
      </x:c>
      <x:c r="K322" s="10" t="str"/>
      <x:c r="L322" s="12" t="str"/>
      <x:c r="M322" s="12" t="str"/>
      <x:c r="N322" s="12" t="str"/>
      <x:c r="O322" s="12" t="str"/>
      <x:c r="P322" s="12" t="str"/>
    </x:row>
    <x:row r="323">
      <x:c r="A323" s="8" t="str">
        <x:v>ext-crm-pass-012</x:v>
      </x:c>
      <x:c r="B323" s="8" t="str">
        <x:v>synthetic_crm</x:v>
      </x:c>
      <x:c r="C323" s="8" t="str">
        <x:v>data/synthetic/crm/policies.csv</x:v>
      </x:c>
      <x:c r="D323" s="8" t="str">
        <x:v>policy:TEST-KFZ-2026-1701</x:v>
      </x:c>
      <x:c r="E323" s="8" t="str"/>
      <x:c r="F323" s="10" t="str">
        <x:v>What are the customer, policy number, product, coverage, status, deductible and annual premium?</x:v>
      </x:c>
      <x:c r="G323" s="10" t="str">
        <x:v>Customer: Noah Weber (noah.weber@example.test). Policy number: TEST-KFZ-2026-1701. Product type: Motor Insurance. Coverage type: Partial Coverage. Status: Active. Start date: 2026-05-01. End date: 2027-04-30. Deductible: 300 EUR. Annual premium: 735 EUR.</x:v>
      </x:c>
      <x:c r="H323" s="10" t="str">
        <x:v>Noah Weber holds policy TEST-KFZ-2026-1701, a Motor Insurance policy with Partial Coverage, status Active, a deductible of 300 EUR, and an annual premium of 735 EUR.</x:v>
      </x:c>
      <x:c r="I323" s="8" t="str">
        <x:v>motor</x:v>
      </x:c>
      <x:c r="J323" s="8" t="str">
        <x:v>CALIBRATION</x:v>
      </x:c>
      <x:c r="K323" s="10" t="str"/>
      <x:c r="L323" s="12" t="str"/>
      <x:c r="M323" s="12" t="str"/>
      <x:c r="N323" s="12" t="str"/>
      <x:c r="O323" s="12" t="str"/>
      <x:c r="P323" s="12" t="str"/>
    </x:row>
    <x:row r="324">
      <x:c r="A324" s="8" t="str">
        <x:v>ext-crm-pass-013</x:v>
      </x:c>
      <x:c r="B324" s="8" t="str">
        <x:v>synthetic_crm</x:v>
      </x:c>
      <x:c r="C324" s="8" t="str">
        <x:v>data/synthetic/crm/policies.csv</x:v>
      </x:c>
      <x:c r="D324" s="8" t="str">
        <x:v>policy:TEST-RS-2026-1702</x:v>
      </x:c>
      <x:c r="E324" s="8" t="str"/>
      <x:c r="F324" s="10" t="str">
        <x:v>What are the customer, policy number, product, coverage, status, deductible and annual premium?</x:v>
      </x:c>
      <x:c r="G324" s="10" t="str">
        <x:v>Customer: Noah Weber (noah.weber@example.test). Policy number: TEST-RS-2026-1702. Product type: Legal Protection. Coverage type: Standard Coverage. Status: Active. Start date: 2026-05-01. End date: 2027-04-30. Deductible: 200 EUR. Annual premium: 310 EUR.</x:v>
      </x:c>
      <x:c r="H324" s="10" t="str">
        <x:v>Noah Weber holds policy TEST-RS-2026-1702, a Legal Protection policy with Standard Coverage, status Active, a deductible of 200 EUR, and an annual premium of 310 EUR.</x:v>
      </x:c>
      <x:c r="I324" s="8" t="str">
        <x:v>legal_protection</x:v>
      </x:c>
      <x:c r="J324" s="8" t="str">
        <x:v>CALIBRATION</x:v>
      </x:c>
      <x:c r="K324" s="10" t="str"/>
      <x:c r="L324" s="12" t="str"/>
      <x:c r="M324" s="12" t="str"/>
      <x:c r="N324" s="12" t="str"/>
      <x:c r="O324" s="12" t="str"/>
      <x:c r="P324" s="12" t="str"/>
    </x:row>
    <x:row r="325">
      <x:c r="A325" s="8" t="str">
        <x:v>ext-crm-pass-014</x:v>
      </x:c>
      <x:c r="B325" s="8" t="str">
        <x:v>synthetic_crm</x:v>
      </x:c>
      <x:c r="C325" s="8" t="str">
        <x:v>data/synthetic/crm/policies.csv</x:v>
      </x:c>
      <x:c r="D325" s="8" t="str">
        <x:v>policy:TEST-HH-2026-1801</x:v>
      </x:c>
      <x:c r="E325" s="8" t="str"/>
      <x:c r="F325" s="10" t="str">
        <x:v>What are the customer, policy number, product, coverage, status, deductible and annual premium?</x:v>
      </x:c>
      <x:c r="G325" s="10" t="str">
        <x:v>Customer: Mila Hartmann (mila.hartmann@example.test). Policy number: TEST-HH-2026-1801. Product type: Household Insurance. Coverage type: Standard Coverage. Status: Pending. Start date: 2026-09-01. End date: 2027-08-31. Deductible: 250 EUR. Annual premium: 225 EUR.</x:v>
      </x:c>
      <x:c r="H325" s="10" t="str">
        <x:v>Mila Hartmann holds policy TEST-HH-2026-1801, a Household Insurance policy with Standard Coverage, status Pending, a deductible of 250 EUR, and an annual premium of 225 EUR.</x:v>
      </x:c>
      <x:c r="I325" s="8" t="str">
        <x:v>household</x:v>
      </x:c>
      <x:c r="J325" s="8" t="str">
        <x:v>CALIBRATION</x:v>
      </x:c>
      <x:c r="K325" s="10" t="str"/>
      <x:c r="L325" s="12" t="str"/>
      <x:c r="M325" s="12" t="str"/>
      <x:c r="N325" s="12" t="str"/>
      <x:c r="O325" s="12" t="str"/>
      <x:c r="P325" s="12" t="str"/>
    </x:row>
    <x:row r="326">
      <x:c r="A326" s="8" t="str">
        <x:v>ext-crm-pass-015</x:v>
      </x:c>
      <x:c r="B326" s="8" t="str">
        <x:v>synthetic_crm</x:v>
      </x:c>
      <x:c r="C326" s="8" t="str">
        <x:v>data/synthetic/crm/policies.csv</x:v>
      </x:c>
      <x:c r="D326" s="8" t="str">
        <x:v>policy:TEST-KFZ-2026-1901</x:v>
      </x:c>
      <x:c r="E326" s="8" t="str"/>
      <x:c r="F326" s="10" t="str">
        <x:v>What are the customer, policy number, product, coverage, status, deductible and annual premium?</x:v>
      </x:c>
      <x:c r="G326" s="10" t="str">
        <x:v>Customer: Leon Becker (leon.becker@example.test). Policy number: TEST-KFZ-2026-1901. Product type: Motor Insurance. Coverage type: Comprehensive Coverage. Status: Active. Start date: 2026-06-01. End date: 2027-05-31. Deductible: 500 EUR. Annual premium: 1290 EUR.</x:v>
      </x:c>
      <x:c r="H326" s="10" t="str">
        <x:v>Leon Becker holds policy TEST-KFZ-2026-1901, a Motor Insurance policy with Comprehensive Coverage, status Active, a deductible of 500 EUR, and an annual premium of 1290 EUR.</x:v>
      </x:c>
      <x:c r="I326" s="8" t="str">
        <x:v>motor</x:v>
      </x:c>
      <x:c r="J326" s="8" t="str">
        <x:v>CALIBRATION</x:v>
      </x:c>
      <x:c r="K326" s="10" t="str"/>
      <x:c r="L326" s="12" t="str"/>
      <x:c r="M326" s="12" t="str"/>
      <x:c r="N326" s="12" t="str"/>
      <x:c r="O326" s="12" t="str"/>
      <x:c r="P326" s="12" t="str"/>
    </x:row>
    <x:row r="327">
      <x:c r="A327" s="8" t="str">
        <x:v>ext-crm-pass-016</x:v>
      </x:c>
      <x:c r="B327" s="8" t="str">
        <x:v>synthetic_crm</x:v>
      </x:c>
      <x:c r="C327" s="8" t="str">
        <x:v>data/synthetic/crm/policies.csv</x:v>
      </x:c>
      <x:c r="D327" s="8" t="str">
        <x:v>policy:TEST-PHV-2026-1902</x:v>
      </x:c>
      <x:c r="E327" s="8" t="str"/>
      <x:c r="F327" s="10" t="str">
        <x:v>What are the customer, policy number, product, coverage, status, deductible and annual premium?</x:v>
      </x:c>
      <x:c r="G327" s="10" t="str">
        <x:v>Customer: Leon Becker (leon.becker@example.test). Policy number: TEST-PHV-2026-1902. Product type: Personal Liability. Coverage type: Liability. Status: Active. Start date: 2026-06-01. End date: 2027-05-31. Deductible: 0 EUR. Annual premium: 108 EUR.</x:v>
      </x:c>
      <x:c r="H327" s="10" t="str">
        <x:v>Leon Becker holds policy TEST-PHV-2026-1902, a Personal Liability policy with Liability, status Active, a deductible of 0 EUR, and an annual premium of 108 EUR.</x:v>
      </x:c>
      <x:c r="I327" s="8" t="str">
        <x:v>liability</x:v>
      </x:c>
      <x:c r="J327" s="8" t="str">
        <x:v>CALIBRATION</x:v>
      </x:c>
      <x:c r="K327" s="10" t="str"/>
      <x:c r="L327" s="12" t="str"/>
      <x:c r="M327" s="12" t="str"/>
      <x:c r="N327" s="12" t="str"/>
      <x:c r="O327" s="12" t="str"/>
      <x:c r="P327" s="12" t="str"/>
    </x:row>
    <x:row r="328">
      <x:c r="A328" s="8" t="str">
        <x:v>ext-crm-pass-017</x:v>
      </x:c>
      <x:c r="B328" s="8" t="str">
        <x:v>synthetic_crm</x:v>
      </x:c>
      <x:c r="C328" s="8" t="str">
        <x:v>data/synthetic/crm/policies.csv</x:v>
      </x:c>
      <x:c r="D328" s="8" t="str">
        <x:v>policy:TEST-KFZ-2026-1001</x:v>
      </x:c>
      <x:c r="E328" s="8" t="str"/>
      <x:c r="F328" s="10" t="str">
        <x:v>What deductible and annual premium apply to this policy?</x:v>
      </x:c>
      <x:c r="G328" s="10" t="str">
        <x:v>Customer: Lara Neumann (lara.neumann@example.test). Policy number: TEST-KFZ-2026-1001. Product type: Motor Insurance. Coverage type: Partial Coverage. Status: Active. Start date: 2026-01-01. End date: 2026-12-31. Deductible: 150 EUR. Annual premium: 684 EUR.</x:v>
      </x:c>
      <x:c r="H328" s="10" t="str">
        <x:v>The deductible is 150 EUR and the annual premium is 684 EUR.</x:v>
      </x:c>
      <x:c r="I328" s="8" t="str">
        <x:v>motor</x:v>
      </x:c>
      <x:c r="J328" s="8" t="str">
        <x:v>CALIBRATION</x:v>
      </x:c>
      <x:c r="K328" s="10" t="str"/>
      <x:c r="L328" s="12" t="str"/>
      <x:c r="M328" s="12" t="str"/>
      <x:c r="N328" s="12" t="str"/>
      <x:c r="O328" s="12" t="str"/>
      <x:c r="P328" s="12" t="str"/>
    </x:row>
    <x:row r="329">
      <x:c r="A329" s="8" t="str">
        <x:v>ext-crm-pass-018</x:v>
      </x:c>
      <x:c r="B329" s="8" t="str">
        <x:v>synthetic_crm</x:v>
      </x:c>
      <x:c r="C329" s="8" t="str">
        <x:v>data/synthetic/crm/policies.csv</x:v>
      </x:c>
      <x:c r="D329" s="8" t="str">
        <x:v>policy:TEST-PHV-2026-1002</x:v>
      </x:c>
      <x:c r="E329" s="8" t="str"/>
      <x:c r="F329" s="10" t="str">
        <x:v>What deductible and annual premium apply to this policy?</x:v>
      </x:c>
      <x:c r="G329" s="10" t="str">
        <x:v>Customer: Lara Neumann (lara.neumann@example.test). Policy number: TEST-PHV-2026-1002. Product type: Personal Liability. Coverage type: Liability. Status: Active. Start date: 2026-01-01. End date: 2026-12-31. Deductible: 0 EUR. Annual premium: 96 EUR.</x:v>
      </x:c>
      <x:c r="H329" s="10" t="str">
        <x:v>The deductible is 0 EUR and the annual premium is 96 EUR.</x:v>
      </x:c>
      <x:c r="I329" s="8" t="str">
        <x:v>liability</x:v>
      </x:c>
      <x:c r="J329" s="8" t="str">
        <x:v>CALIBRATION</x:v>
      </x:c>
      <x:c r="K329" s="10" t="str"/>
      <x:c r="L329" s="12" t="str"/>
      <x:c r="M329" s="12" t="str"/>
      <x:c r="N329" s="12" t="str"/>
      <x:c r="O329" s="12" t="str"/>
      <x:c r="P329" s="12" t="str"/>
    </x:row>
    <x:row r="330">
      <x:c r="A330" s="8" t="str">
        <x:v>ext-crm-pass-019</x:v>
      </x:c>
      <x:c r="B330" s="8" t="str">
        <x:v>synthetic_crm</x:v>
      </x:c>
      <x:c r="C330" s="8" t="str">
        <x:v>data/synthetic/crm/policies.csv</x:v>
      </x:c>
      <x:c r="D330" s="8" t="str">
        <x:v>policy:TEST-KFZ-2026-1003</x:v>
      </x:c>
      <x:c r="E330" s="8" t="str"/>
      <x:c r="F330" s="10" t="str">
        <x:v>What deductible and annual premium apply to this policy?</x:v>
      </x:c>
      <x:c r="G330" s="10" t="str">
        <x:v>Customer: Lara Neumann (lara.neumann@example.test). Policy number: TEST-KFZ-2026-1003. Product type: Motor Insurance. Coverage type: Partial Coverage. Status: Active. Start date: 2026-07-01. End date: 2027-06-30. Deductible: 300 EUR. Annual premium: 720 EUR.</x:v>
      </x:c>
      <x:c r="H330" s="10" t="str">
        <x:v>The deductible is 300 EUR and the annual premium is 720 EUR.</x:v>
      </x:c>
      <x:c r="I330" s="8" t="str">
        <x:v>motor</x:v>
      </x:c>
      <x:c r="J330" s="8" t="str">
        <x:v>CALIBRATION</x:v>
      </x:c>
      <x:c r="K330" s="10" t="str"/>
      <x:c r="L330" s="12" t="str"/>
      <x:c r="M330" s="12" t="str"/>
      <x:c r="N330" s="12" t="str"/>
      <x:c r="O330" s="12" t="str"/>
      <x:c r="P330" s="12" t="str"/>
    </x:row>
    <x:row r="331">
      <x:c r="A331" s="8" t="str">
        <x:v>ext-crm-pass-020</x:v>
      </x:c>
      <x:c r="B331" s="8" t="str">
        <x:v>synthetic_crm</x:v>
      </x:c>
      <x:c r="C331" s="8" t="str">
        <x:v>data/synthetic/crm/policies.csv</x:v>
      </x:c>
      <x:c r="D331" s="8" t="str">
        <x:v>policy:TEST-KFZ-2026-1101</x:v>
      </x:c>
      <x:c r="E331" s="8" t="str"/>
      <x:c r="F331" s="10" t="str">
        <x:v>What deductible and annual premium apply to this policy?</x:v>
      </x:c>
      <x:c r="G331" s="10" t="str">
        <x:v>Customer: Oliver Brandt (oliver.brandt@example.test). Policy number: TEST-KFZ-2026-1101. Product type: Motor Insurance. Coverage type: Comprehensive Coverage. Status: Active. Start date: 2026-02-01. End date: 2027-01-31. Deductible: 300 EUR. Annual premium: 1120 EUR.</x:v>
      </x:c>
      <x:c r="H331" s="10" t="str">
        <x:v>The deductible is 300 EUR and the annual premium is 1120 EUR.</x:v>
      </x:c>
      <x:c r="I331" s="8" t="str">
        <x:v>motor</x:v>
      </x:c>
      <x:c r="J331" s="8" t="str">
        <x:v>CALIBRATION</x:v>
      </x:c>
      <x:c r="K331" s="10" t="str"/>
      <x:c r="L331" s="12" t="str"/>
      <x:c r="M331" s="12" t="str"/>
      <x:c r="N331" s="12" t="str"/>
      <x:c r="O331" s="12" t="str"/>
      <x:c r="P331" s="12" t="str"/>
    </x:row>
    <x:row r="332">
      <x:c r="A332" s="8" t="str">
        <x:v>ext-crm-pass-021</x:v>
      </x:c>
      <x:c r="B332" s="8" t="str">
        <x:v>synthetic_crm</x:v>
      </x:c>
      <x:c r="C332" s="8" t="str">
        <x:v>data/synthetic/crm/policies.csv</x:v>
      </x:c>
      <x:c r="D332" s="8" t="str">
        <x:v>policy:TEST-HH-2026-1201</x:v>
      </x:c>
      <x:c r="E332" s="8" t="str"/>
      <x:c r="F332" s="10" t="str">
        <x:v>What deductible and annual premium apply to this policy?</x:v>
      </x:c>
      <x:c r="G332" s="10" t="str">
        <x:v>Customer: Sophie Keller (sophie.keller@example.test). Policy number: TEST-HH-2026-1201. Product type: Household Insurance. Coverage type: Standard Coverage. Status: Active. Start date: 2026-01-15. End date: 2027-01-14. Deductible: 250 EUR. Annual premium: 210 EUR.</x:v>
      </x:c>
      <x:c r="H332" s="10" t="str">
        <x:v>The deductible is 250 EUR and the annual premium is 210 EUR.</x:v>
      </x:c>
      <x:c r="I332" s="8" t="str">
        <x:v>household</x:v>
      </x:c>
      <x:c r="J332" s="8" t="str">
        <x:v>CALIBRATION</x:v>
      </x:c>
      <x:c r="K332" s="10" t="str"/>
      <x:c r="L332" s="12" t="str"/>
      <x:c r="M332" s="12" t="str"/>
      <x:c r="N332" s="12" t="str"/>
      <x:c r="O332" s="12" t="str"/>
      <x:c r="P332" s="12" t="str"/>
    </x:row>
    <x:row r="333">
      <x:c r="A333" s="8" t="str">
        <x:v>ext-crm-pass-022</x:v>
      </x:c>
      <x:c r="B333" s="8" t="str">
        <x:v>synthetic_crm</x:v>
      </x:c>
      <x:c r="C333" s="8" t="str">
        <x:v>data/synthetic/crm/policies.csv</x:v>
      </x:c>
      <x:c r="D333" s="8" t="str">
        <x:v>policy:TEST-RS-2026-1202</x:v>
      </x:c>
      <x:c r="E333" s="8" t="str"/>
      <x:c r="F333" s="10" t="str">
        <x:v>What deductible and annual premium apply to this policy?</x:v>
      </x:c>
      <x:c r="G333" s="10" t="str">
        <x:v>Customer: Sophie Keller (sophie.keller@example.test). Policy number: TEST-RS-2026-1202. Product type: Legal Protection. Coverage type: Standard Coverage. Status: Pending. Start date: 2026-08-01. End date: 2027-07-31. Deductible: 150 EUR. Annual premium: 280 EUR.</x:v>
      </x:c>
      <x:c r="H333" s="10" t="str">
        <x:v>The deductible is 150 EUR and the annual premium is 280 EUR.</x:v>
      </x:c>
      <x:c r="I333" s="8" t="str">
        <x:v>legal_protection</x:v>
      </x:c>
      <x:c r="J333" s="8" t="str">
        <x:v>CALIBRATION</x:v>
      </x:c>
      <x:c r="K333" s="10" t="str"/>
      <x:c r="L333" s="12" t="str"/>
      <x:c r="M333" s="12" t="str"/>
      <x:c r="N333" s="12" t="str"/>
      <x:c r="O333" s="12" t="str"/>
      <x:c r="P333" s="12" t="str"/>
    </x:row>
    <x:row r="334">
      <x:c r="A334" s="8" t="str">
        <x:v>ext-crm-pass-023</x:v>
      </x:c>
      <x:c r="B334" s="8" t="str">
        <x:v>synthetic_crm</x:v>
      </x:c>
      <x:c r="C334" s="8" t="str">
        <x:v>data/synthetic/crm/policies.csv</x:v>
      </x:c>
      <x:c r="D334" s="8" t="str">
        <x:v>policy:TEST-PHV-2025-1301</x:v>
      </x:c>
      <x:c r="E334" s="8" t="str"/>
      <x:c r="F334" s="10" t="str">
        <x:v>What deductible and annual premium apply to this policy?</x:v>
      </x:c>
      <x:c r="G334" s="10" t="str">
        <x:v>Customer: Emil Fischer (emil.fischer@example.test). Policy number: TEST-PHV-2025-1301. Product type: Personal Liability. Coverage type: Liability. Status: Expired. Start date: 2025-01-01. End date: 2025-12-31. Deductible: 0 EUR. Annual premium: 84 EUR.</x:v>
      </x:c>
      <x:c r="H334" s="10" t="str">
        <x:v>The deductible is 0 EUR and the annual premium is 84 EUR.</x:v>
      </x:c>
      <x:c r="I334" s="8" t="str">
        <x:v>liability</x:v>
      </x:c>
      <x:c r="J334" s="8" t="str">
        <x:v>CALIBRATION</x:v>
      </x:c>
      <x:c r="K334" s="10" t="str"/>
      <x:c r="L334" s="12" t="str"/>
      <x:c r="M334" s="12" t="str"/>
      <x:c r="N334" s="12" t="str"/>
      <x:c r="O334" s="12" t="str"/>
      <x:c r="P334" s="12" t="str"/>
    </x:row>
    <x:row r="335">
      <x:c r="A335" s="8" t="str">
        <x:v>ext-crm-pass-024</x:v>
      </x:c>
      <x:c r="B335" s="8" t="str">
        <x:v>synthetic_crm</x:v>
      </x:c>
      <x:c r="C335" s="8" t="str">
        <x:v>data/synthetic/crm/policies.csv</x:v>
      </x:c>
      <x:c r="D335" s="8" t="str">
        <x:v>policy:TEST-KFZ-2026-1401</x:v>
      </x:c>
      <x:c r="E335" s="8" t="str"/>
      <x:c r="F335" s="10" t="str">
        <x:v>What deductible and annual premium apply to this policy?</x:v>
      </x:c>
      <x:c r="G335" s="10" t="str">
        <x:v>Customer: Hannah Vogel (hannah.vogel@example.test). Policy number: TEST-KFZ-2026-1401. Product type: Motor Insurance. Coverage type: Liability. Status: Active. Start date: 2026-03-01. End date: 2027-02-28. Deductible: 500 EUR. Annual premium: 520 EUR.</x:v>
      </x:c>
      <x:c r="H335" s="10" t="str">
        <x:v>The deductible is 500 EUR and the annual premium is 520 EUR.</x:v>
      </x:c>
      <x:c r="I335" s="8" t="str">
        <x:v>motor</x:v>
      </x:c>
      <x:c r="J335" s="8" t="str">
        <x:v>CALIBRATION</x:v>
      </x:c>
      <x:c r="K335" s="10" t="str"/>
      <x:c r="L335" s="12" t="str"/>
      <x:c r="M335" s="12" t="str"/>
      <x:c r="N335" s="12" t="str"/>
      <x:c r="O335" s="12" t="str"/>
      <x:c r="P335" s="12" t="str"/>
    </x:row>
    <x:row r="336">
      <x:c r="A336" s="8" t="str">
        <x:v>ext-crm-pass-025</x:v>
      </x:c>
      <x:c r="B336" s="8" t="str">
        <x:v>synthetic_crm</x:v>
      </x:c>
      <x:c r="C336" s="8" t="str">
        <x:v>data/synthetic/crm/policies.csv</x:v>
      </x:c>
      <x:c r="D336" s="8" t="str">
        <x:v>policy:TEST-HH-2026-1402</x:v>
      </x:c>
      <x:c r="E336" s="8" t="str"/>
      <x:c r="F336" s="10" t="str">
        <x:v>What deductible and annual premium apply to this policy?</x:v>
      </x:c>
      <x:c r="G336" s="10" t="str">
        <x:v>Customer: Hannah Vogel (hannah.vogel@example.test). Policy number: TEST-HH-2026-1402. Product type: Household Insurance. Coverage type: Standard Coverage. Status: Active. Start date: 2026-03-01. End date: 2027-02-28. Deductible: 200 EUR. Annual premium: 195 EUR.</x:v>
      </x:c>
      <x:c r="H336" s="10" t="str">
        <x:v>The deductible is 200 EUR and the annual premium is 195 EUR.</x:v>
      </x:c>
      <x:c r="I336" s="8" t="str">
        <x:v>household</x:v>
      </x:c>
      <x:c r="J336" s="8" t="str">
        <x:v>CALIBRATION</x:v>
      </x:c>
      <x:c r="K336" s="10" t="str"/>
      <x:c r="L336" s="12" t="str"/>
      <x:c r="M336" s="12" t="str"/>
      <x:c r="N336" s="12" t="str"/>
      <x:c r="O336" s="12" t="str"/>
      <x:c r="P336" s="12" t="str"/>
    </x:row>
    <x:row r="337">
      <x:c r="A337" s="8" t="str">
        <x:v>ext-crm-pass-026</x:v>
      </x:c>
      <x:c r="B337" s="8" t="str">
        <x:v>synthetic_crm</x:v>
      </x:c>
      <x:c r="C337" s="8" t="str">
        <x:v>data/synthetic/crm/policies.csv</x:v>
      </x:c>
      <x:c r="D337" s="8" t="str">
        <x:v>policy:TEST-RS-2026-1501</x:v>
      </x:c>
      <x:c r="E337" s="8" t="str"/>
      <x:c r="F337" s="10" t="str">
        <x:v>What deductible and annual premium apply to this policy?</x:v>
      </x:c>
      <x:c r="G337" s="10" t="str">
        <x:v>Customer: Jonas Richter (jonas.richter@example.test). Policy number: TEST-RS-2026-1501. Product type: Legal Protection. Coverage type: Standard Coverage. Status: Cancelled. Start date: 2026-01-01. End date: 2026-06-30. Deductible: 150 EUR. Annual premium: 260 EUR.</x:v>
      </x:c>
      <x:c r="H337" s="10" t="str">
        <x:v>The deductible is 150 EUR and the annual premium is 260 EUR.</x:v>
      </x:c>
      <x:c r="I337" s="8" t="str">
        <x:v>legal_protection</x:v>
      </x:c>
      <x:c r="J337" s="8" t="str">
        <x:v>CALIBRATION</x:v>
      </x:c>
      <x:c r="K337" s="10" t="str"/>
      <x:c r="L337" s="12" t="str"/>
      <x:c r="M337" s="12" t="str"/>
      <x:c r="N337" s="12" t="str"/>
      <x:c r="O337" s="12" t="str"/>
      <x:c r="P337" s="12" t="str"/>
    </x:row>
    <x:row r="338">
      <x:c r="A338" s="8" t="str">
        <x:v>ext-crm-pass-027</x:v>
      </x:c>
      <x:c r="B338" s="8" t="str">
        <x:v>synthetic_crm</x:v>
      </x:c>
      <x:c r="C338" s="8" t="str">
        <x:v>data/synthetic/crm/policies.csv</x:v>
      </x:c>
      <x:c r="D338" s="8" t="str">
        <x:v>policy:TEST-PHV-2026-1601</x:v>
      </x:c>
      <x:c r="E338" s="8" t="str"/>
      <x:c r="F338" s="10" t="str">
        <x:v>What deductible and annual premium apply to this policy?</x:v>
      </x:c>
      <x:c r="G338" s="10" t="str">
        <x:v>Customer: Amira Hoffmann (amira.hoffmann@example.test). Policy number: TEST-PHV-2026-1601. Product type: Personal Liability. Coverage type: Liability. Status: Active. Start date: 2026-04-01. End date: 2027-03-31. Deductible: 0 EUR. Annual premium: 102 EUR.</x:v>
      </x:c>
      <x:c r="H338" s="10" t="str">
        <x:v>The deductible is 0 EUR and the annual premium is 102 EUR.</x:v>
      </x:c>
      <x:c r="I338" s="8" t="str">
        <x:v>liability</x:v>
      </x:c>
      <x:c r="J338" s="8" t="str">
        <x:v>CALIBRATION</x:v>
      </x:c>
      <x:c r="K338" s="10" t="str"/>
      <x:c r="L338" s="12" t="str"/>
      <x:c r="M338" s="12" t="str"/>
      <x:c r="N338" s="12" t="str"/>
      <x:c r="O338" s="12" t="str"/>
      <x:c r="P338" s="12" t="str"/>
    </x:row>
    <x:row r="339">
      <x:c r="A339" s="8" t="str">
        <x:v>ext-crm-pass-028</x:v>
      </x:c>
      <x:c r="B339" s="8" t="str">
        <x:v>synthetic_crm</x:v>
      </x:c>
      <x:c r="C339" s="8" t="str">
        <x:v>data/synthetic/crm/policies.csv</x:v>
      </x:c>
      <x:c r="D339" s="8" t="str">
        <x:v>policy:TEST-KFZ-2026-1701</x:v>
      </x:c>
      <x:c r="E339" s="8" t="str"/>
      <x:c r="F339" s="10" t="str">
        <x:v>What deductible and annual premium apply to this policy?</x:v>
      </x:c>
      <x:c r="G339" s="10" t="str">
        <x:v>Customer: Noah Weber (noah.weber@example.test). Policy number: TEST-KFZ-2026-1701. Product type: Motor Insurance. Coverage type: Partial Coverage. Status: Active. Start date: 2026-05-01. End date: 2027-04-30. Deductible: 300 EUR. Annual premium: 735 EUR.</x:v>
      </x:c>
      <x:c r="H339" s="10" t="str">
        <x:v>The deductible is 300 EUR and the annual premium is 735 EUR.</x:v>
      </x:c>
      <x:c r="I339" s="8" t="str">
        <x:v>motor</x:v>
      </x:c>
      <x:c r="J339" s="8" t="str">
        <x:v>CALIBRATION</x:v>
      </x:c>
      <x:c r="K339" s="10" t="str"/>
      <x:c r="L339" s="12" t="str"/>
      <x:c r="M339" s="12" t="str"/>
      <x:c r="N339" s="12" t="str"/>
      <x:c r="O339" s="12" t="str"/>
      <x:c r="P339" s="12" t="str"/>
    </x:row>
    <x:row r="340">
      <x:c r="A340" s="8" t="str">
        <x:v>ext-crm-pass-029</x:v>
      </x:c>
      <x:c r="B340" s="8" t="str">
        <x:v>synthetic_crm</x:v>
      </x:c>
      <x:c r="C340" s="8" t="str">
        <x:v>data/synthetic/crm/policies.csv</x:v>
      </x:c>
      <x:c r="D340" s="8" t="str">
        <x:v>policy:TEST-RS-2026-1702</x:v>
      </x:c>
      <x:c r="E340" s="8" t="str"/>
      <x:c r="F340" s="10" t="str">
        <x:v>What deductible and annual premium apply to this policy?</x:v>
      </x:c>
      <x:c r="G340" s="10" t="str">
        <x:v>Customer: Noah Weber (noah.weber@example.test). Policy number: TEST-RS-2026-1702. Product type: Legal Protection. Coverage type: Standard Coverage. Status: Active. Start date: 2026-05-01. End date: 2027-04-30. Deductible: 200 EUR. Annual premium: 310 EUR.</x:v>
      </x:c>
      <x:c r="H340" s="10" t="str">
        <x:v>The deductible is 200 EUR and the annual premium is 310 EUR.</x:v>
      </x:c>
      <x:c r="I340" s="8" t="str">
        <x:v>legal_protection</x:v>
      </x:c>
      <x:c r="J340" s="8" t="str">
        <x:v>CALIBRATION</x:v>
      </x:c>
      <x:c r="K340" s="10" t="str"/>
      <x:c r="L340" s="12" t="str"/>
      <x:c r="M340" s="12" t="str"/>
      <x:c r="N340" s="12" t="str"/>
      <x:c r="O340" s="12" t="str"/>
      <x:c r="P340" s="12" t="str"/>
    </x:row>
    <x:row r="341">
      <x:c r="A341" s="8" t="str">
        <x:v>ext-crm-pass-030</x:v>
      </x:c>
      <x:c r="B341" s="8" t="str">
        <x:v>synthetic_crm</x:v>
      </x:c>
      <x:c r="C341" s="8" t="str">
        <x:v>data/synthetic/crm/policies.csv</x:v>
      </x:c>
      <x:c r="D341" s="8" t="str">
        <x:v>policy:TEST-HH-2026-1801</x:v>
      </x:c>
      <x:c r="E341" s="8" t="str"/>
      <x:c r="F341" s="10" t="str">
        <x:v>What deductible and annual premium apply to this policy?</x:v>
      </x:c>
      <x:c r="G341" s="10" t="str">
        <x:v>Customer: Mila Hartmann (mila.hartmann@example.test). Policy number: TEST-HH-2026-1801. Product type: Household Insurance. Coverage type: Standard Coverage. Status: Pending. Start date: 2026-09-01. End date: 2027-08-31. Deductible: 250 EUR. Annual premium: 225 EUR.</x:v>
      </x:c>
      <x:c r="H341" s="10" t="str">
        <x:v>The deductible is 250 EUR and the annual premium is 225 EUR.</x:v>
      </x:c>
      <x:c r="I341" s="8" t="str">
        <x:v>household</x:v>
      </x:c>
      <x:c r="J341" s="8" t="str">
        <x:v>CALIBRATION</x:v>
      </x:c>
      <x:c r="K341" s="10" t="str"/>
      <x:c r="L341" s="12" t="str"/>
      <x:c r="M341" s="12" t="str"/>
      <x:c r="N341" s="12" t="str"/>
      <x:c r="O341" s="12" t="str"/>
      <x:c r="P341" s="12" t="str"/>
    </x:row>
    <x:row r="342">
      <x:c r="A342" s="8" t="str">
        <x:v>ext-crm-pass-031</x:v>
      </x:c>
      <x:c r="B342" s="8" t="str">
        <x:v>synthetic_crm</x:v>
      </x:c>
      <x:c r="C342" s="8" t="str">
        <x:v>data/synthetic/crm/policies.csv</x:v>
      </x:c>
      <x:c r="D342" s="8" t="str">
        <x:v>policy:TEST-KFZ-2026-1901</x:v>
      </x:c>
      <x:c r="E342" s="8" t="str"/>
      <x:c r="F342" s="10" t="str">
        <x:v>What deductible and annual premium apply to this policy?</x:v>
      </x:c>
      <x:c r="G342" s="10" t="str">
        <x:v>Customer: Leon Becker (leon.becker@example.test). Policy number: TEST-KFZ-2026-1901. Product type: Motor Insurance. Coverage type: Comprehensive Coverage. Status: Active. Start date: 2026-06-01. End date: 2027-05-31. Deductible: 500 EUR. Annual premium: 1290 EUR.</x:v>
      </x:c>
      <x:c r="H342" s="10" t="str">
        <x:v>The deductible is 500 EUR and the annual premium is 1290 EUR.</x:v>
      </x:c>
      <x:c r="I342" s="8" t="str">
        <x:v>motor</x:v>
      </x:c>
      <x:c r="J342" s="8" t="str">
        <x:v>CALIBRATION</x:v>
      </x:c>
      <x:c r="K342" s="10" t="str"/>
      <x:c r="L342" s="12" t="str"/>
      <x:c r="M342" s="12" t="str"/>
      <x:c r="N342" s="12" t="str"/>
      <x:c r="O342" s="12" t="str"/>
      <x:c r="P342" s="12" t="str"/>
    </x:row>
    <x:row r="343">
      <x:c r="A343" s="8" t="str">
        <x:v>ext-crm-pass-032</x:v>
      </x:c>
      <x:c r="B343" s="8" t="str">
        <x:v>synthetic_crm</x:v>
      </x:c>
      <x:c r="C343" s="8" t="str">
        <x:v>data/synthetic/crm/policies.csv</x:v>
      </x:c>
      <x:c r="D343" s="8" t="str">
        <x:v>policy:TEST-PHV-2026-1902</x:v>
      </x:c>
      <x:c r="E343" s="8" t="str"/>
      <x:c r="F343" s="10" t="str">
        <x:v>What deductible and annual premium apply to this policy?</x:v>
      </x:c>
      <x:c r="G343" s="10" t="str">
        <x:v>Customer: Leon Becker (leon.becker@example.test). Policy number: TEST-PHV-2026-1902. Product type: Personal Liability. Coverage type: Liability. Status: Active. Start date: 2026-06-01. End date: 2027-05-31. Deductible: 0 EUR. Annual premium: 108 EUR.</x:v>
      </x:c>
      <x:c r="H343" s="10" t="str">
        <x:v>The deductible is 0 EUR and the annual premium is 108 EUR.</x:v>
      </x:c>
      <x:c r="I343" s="8" t="str">
        <x:v>liability</x:v>
      </x:c>
      <x:c r="J343" s="8" t="str">
        <x:v>CALIBRATION</x:v>
      </x:c>
      <x:c r="K343" s="10" t="str"/>
      <x:c r="L343" s="12" t="str"/>
      <x:c r="M343" s="12" t="str"/>
      <x:c r="N343" s="12" t="str"/>
      <x:c r="O343" s="12" t="str"/>
      <x:c r="P343" s="12" t="str"/>
    </x:row>
    <x:row r="344">
      <x:c r="A344" s="8" t="str">
        <x:v>ext-crm-pass-033</x:v>
      </x:c>
      <x:c r="B344" s="8" t="str">
        <x:v>synthetic_crm</x:v>
      </x:c>
      <x:c r="C344" s="8" t="str">
        <x:v>data/synthetic/crm/policies.csv</x:v>
      </x:c>
      <x:c r="D344" s="8" t="str">
        <x:v>policy:TEST-KFZ-2026-1001</x:v>
      </x:c>
      <x:c r="E344" s="8" t="str"/>
      <x:c r="F344" s="10" t="str">
        <x:v>What are the coverage type, policy status and contract dates?</x:v>
      </x:c>
      <x:c r="G344" s="10" t="str">
        <x:v>Customer: Lara Neumann (lara.neumann@example.test). Policy number: TEST-KFZ-2026-1001. Product type: Motor Insurance. Coverage type: Partial Coverage. Status: Active. Start date: 2026-01-01. End date: 2026-12-31. Deductible: 150 EUR. Annual premium: 684 EUR.</x:v>
      </x:c>
      <x:c r="H344" s="10" t="str">
        <x:v>The coverage type is Partial Coverage; the policy is Active from 2026-01-01 through 2026-12-31.</x:v>
      </x:c>
      <x:c r="I344" s="8" t="str">
        <x:v>motor</x:v>
      </x:c>
      <x:c r="J344" s="8" t="str">
        <x:v>CALIBRATION</x:v>
      </x:c>
      <x:c r="K344" s="10" t="str"/>
      <x:c r="L344" s="12" t="str"/>
      <x:c r="M344" s="12" t="str"/>
      <x:c r="N344" s="12" t="str"/>
      <x:c r="O344" s="12" t="str"/>
      <x:c r="P344" s="12" t="str"/>
    </x:row>
    <x:row r="345">
      <x:c r="A345" s="8" t="str">
        <x:v>ext-crm-pass-034</x:v>
      </x:c>
      <x:c r="B345" s="8" t="str">
        <x:v>synthetic_crm</x:v>
      </x:c>
      <x:c r="C345" s="8" t="str">
        <x:v>data/synthetic/crm/policies.csv</x:v>
      </x:c>
      <x:c r="D345" s="8" t="str">
        <x:v>policy:TEST-PHV-2026-1002</x:v>
      </x:c>
      <x:c r="E345" s="8" t="str"/>
      <x:c r="F345" s="10" t="str">
        <x:v>What are the coverage type, policy status and contract dates?</x:v>
      </x:c>
      <x:c r="G345" s="10" t="str">
        <x:v>Customer: Lara Neumann (lara.neumann@example.test). Policy number: TEST-PHV-2026-1002. Product type: Personal Liability. Coverage type: Liability. Status: Active. Start date: 2026-01-01. End date: 2026-12-31. Deductible: 0 EUR. Annual premium: 96 EUR.</x:v>
      </x:c>
      <x:c r="H345" s="10" t="str">
        <x:v>The coverage type is Liability; the policy is Active from 2026-01-01 through 2026-12-31.</x:v>
      </x:c>
      <x:c r="I345" s="8" t="str">
        <x:v>liability</x:v>
      </x:c>
      <x:c r="J345" s="8" t="str">
        <x:v>CALIBRATION</x:v>
      </x:c>
      <x:c r="K345" s="10" t="str"/>
      <x:c r="L345" s="12" t="str"/>
      <x:c r="M345" s="12" t="str"/>
      <x:c r="N345" s="12" t="str"/>
      <x:c r="O345" s="12" t="str"/>
      <x:c r="P345" s="12" t="str"/>
    </x:row>
    <x:row r="346">
      <x:c r="A346" s="8" t="str">
        <x:v>ext-crm-pass-035</x:v>
      </x:c>
      <x:c r="B346" s="8" t="str">
        <x:v>synthetic_crm</x:v>
      </x:c>
      <x:c r="C346" s="8" t="str">
        <x:v>data/synthetic/crm/policies.csv</x:v>
      </x:c>
      <x:c r="D346" s="8" t="str">
        <x:v>policy:TEST-KFZ-2026-1003</x:v>
      </x:c>
      <x:c r="E346" s="8" t="str"/>
      <x:c r="F346" s="10" t="str">
        <x:v>What are the coverage type, policy status and contract dates?</x:v>
      </x:c>
      <x:c r="G346" s="10" t="str">
        <x:v>Customer: Lara Neumann (lara.neumann@example.test). Policy number: TEST-KFZ-2026-1003. Product type: Motor Insurance. Coverage type: Partial Coverage. Status: Active. Start date: 2026-07-01. End date: 2027-06-30. Deductible: 300 EUR. Annual premium: 720 EUR.</x:v>
      </x:c>
      <x:c r="H346" s="10" t="str">
        <x:v>The coverage type is Partial Coverage; the policy is Active from 2026-07-01 through 2027-06-30.</x:v>
      </x:c>
      <x:c r="I346" s="8" t="str">
        <x:v>motor</x:v>
      </x:c>
      <x:c r="J346" s="8" t="str">
        <x:v>CALIBRATION</x:v>
      </x:c>
      <x:c r="K346" s="10" t="str"/>
      <x:c r="L346" s="12" t="str"/>
      <x:c r="M346" s="12" t="str"/>
      <x:c r="N346" s="12" t="str"/>
      <x:c r="O346" s="12" t="str"/>
      <x:c r="P346" s="12" t="str"/>
    </x:row>
    <x:row r="347">
      <x:c r="A347" s="8" t="str">
        <x:v>ext-crm-pass-036</x:v>
      </x:c>
      <x:c r="B347" s="8" t="str">
        <x:v>synthetic_crm</x:v>
      </x:c>
      <x:c r="C347" s="8" t="str">
        <x:v>data/synthetic/crm/policies.csv</x:v>
      </x:c>
      <x:c r="D347" s="8" t="str">
        <x:v>policy:TEST-KFZ-2026-1101</x:v>
      </x:c>
      <x:c r="E347" s="8" t="str"/>
      <x:c r="F347" s="10" t="str">
        <x:v>What are the coverage type, policy status and contract dates?</x:v>
      </x:c>
      <x:c r="G347" s="10" t="str">
        <x:v>Customer: Oliver Brandt (oliver.brandt@example.test). Policy number: TEST-KFZ-2026-1101. Product type: Motor Insurance. Coverage type: Comprehensive Coverage. Status: Active. Start date: 2026-02-01. End date: 2027-01-31. Deductible: 300 EUR. Annual premium: 1120 EUR.</x:v>
      </x:c>
      <x:c r="H347" s="10" t="str">
        <x:v>The coverage type is Comprehensive Coverage; the policy is Active from 2026-02-01 through 2027-01-31.</x:v>
      </x:c>
      <x:c r="I347" s="8" t="str">
        <x:v>motor</x:v>
      </x:c>
      <x:c r="J347" s="8" t="str">
        <x:v>CALIBRATION</x:v>
      </x:c>
      <x:c r="K347" s="10" t="str"/>
      <x:c r="L347" s="12" t="str"/>
      <x:c r="M347" s="12" t="str"/>
      <x:c r="N347" s="12" t="str"/>
      <x:c r="O347" s="12" t="str"/>
      <x:c r="P347" s="12" t="str"/>
    </x:row>
    <x:row r="348">
      <x:c r="A348" s="8" t="str">
        <x:v>ext-crm-pass-037</x:v>
      </x:c>
      <x:c r="B348" s="8" t="str">
        <x:v>synthetic_crm</x:v>
      </x:c>
      <x:c r="C348" s="8" t="str">
        <x:v>data/synthetic/crm/policies.csv</x:v>
      </x:c>
      <x:c r="D348" s="8" t="str">
        <x:v>policy:TEST-HH-2026-1201</x:v>
      </x:c>
      <x:c r="E348" s="8" t="str"/>
      <x:c r="F348" s="10" t="str">
        <x:v>What are the coverage type, policy status and contract dates?</x:v>
      </x:c>
      <x:c r="G348" s="10" t="str">
        <x:v>Customer: Sophie Keller (sophie.keller@example.test). Policy number: TEST-HH-2026-1201. Product type: Household Insurance. Coverage type: Standard Coverage. Status: Active. Start date: 2026-01-15. End date: 2027-01-14. Deductible: 250 EUR. Annual premium: 210 EUR.</x:v>
      </x:c>
      <x:c r="H348" s="10" t="str">
        <x:v>The coverage type is Standard Coverage; the policy is Active from 2026-01-15 through 2027-01-14.</x:v>
      </x:c>
      <x:c r="I348" s="8" t="str">
        <x:v>household</x:v>
      </x:c>
      <x:c r="J348" s="8" t="str">
        <x:v>CALIBRATION</x:v>
      </x:c>
      <x:c r="K348" s="10" t="str"/>
      <x:c r="L348" s="12" t="str"/>
      <x:c r="M348" s="12" t="str"/>
      <x:c r="N348" s="12" t="str"/>
      <x:c r="O348" s="12" t="str"/>
      <x:c r="P348" s="12" t="str"/>
    </x:row>
    <x:row r="349">
      <x:c r="A349" s="8" t="str">
        <x:v>ext-crm-pass-038</x:v>
      </x:c>
      <x:c r="B349" s="8" t="str">
        <x:v>synthetic_crm</x:v>
      </x:c>
      <x:c r="C349" s="8" t="str">
        <x:v>data/synthetic/crm/policies.csv</x:v>
      </x:c>
      <x:c r="D349" s="8" t="str">
        <x:v>policy:TEST-RS-2026-1202</x:v>
      </x:c>
      <x:c r="E349" s="8" t="str"/>
      <x:c r="F349" s="10" t="str">
        <x:v>What are the coverage type, policy status and contract dates?</x:v>
      </x:c>
      <x:c r="G349" s="10" t="str">
        <x:v>Customer: Sophie Keller (sophie.keller@example.test). Policy number: TEST-RS-2026-1202. Product type: Legal Protection. Coverage type: Standard Coverage. Status: Pending. Start date: 2026-08-01. End date: 2027-07-31. Deductible: 150 EUR. Annual premium: 280 EUR.</x:v>
      </x:c>
      <x:c r="H349" s="10" t="str">
        <x:v>The coverage type is Standard Coverage; the policy is Pending from 2026-08-01 through 2027-07-31.</x:v>
      </x:c>
      <x:c r="I349" s="8" t="str">
        <x:v>legal_protection</x:v>
      </x:c>
      <x:c r="J349" s="8" t="str">
        <x:v>CALIBRATION</x:v>
      </x:c>
      <x:c r="K349" s="10" t="str"/>
      <x:c r="L349" s="12" t="str"/>
      <x:c r="M349" s="12" t="str"/>
      <x:c r="N349" s="12" t="str"/>
      <x:c r="O349" s="12" t="str"/>
      <x:c r="P349" s="12" t="str"/>
    </x:row>
    <x:row r="350">
      <x:c r="A350" s="8" t="str">
        <x:v>ext-crm-pass-039</x:v>
      </x:c>
      <x:c r="B350" s="8" t="str">
        <x:v>synthetic_crm</x:v>
      </x:c>
      <x:c r="C350" s="8" t="str">
        <x:v>data/synthetic/crm/policies.csv</x:v>
      </x:c>
      <x:c r="D350" s="8" t="str">
        <x:v>policy:TEST-PHV-2025-1301</x:v>
      </x:c>
      <x:c r="E350" s="8" t="str"/>
      <x:c r="F350" s="10" t="str">
        <x:v>What are the coverage type, policy status and contract dates?</x:v>
      </x:c>
      <x:c r="G350" s="10" t="str">
        <x:v>Customer: Emil Fischer (emil.fischer@example.test). Policy number: TEST-PHV-2025-1301. Product type: Personal Liability. Coverage type: Liability. Status: Expired. Start date: 2025-01-01. End date: 2025-12-31. Deductible: 0 EUR. Annual premium: 84 EUR.</x:v>
      </x:c>
      <x:c r="H350" s="10" t="str">
        <x:v>The coverage type is Liability; the policy is Expired from 2025-01-01 through 2025-12-31.</x:v>
      </x:c>
      <x:c r="I350" s="8" t="str">
        <x:v>liability</x:v>
      </x:c>
      <x:c r="J350" s="8" t="str">
        <x:v>CALIBRATION</x:v>
      </x:c>
      <x:c r="K350" s="10" t="str"/>
      <x:c r="L350" s="12" t="str"/>
      <x:c r="M350" s="12" t="str"/>
      <x:c r="N350" s="12" t="str"/>
      <x:c r="O350" s="12" t="str"/>
      <x:c r="P350" s="12" t="str"/>
    </x:row>
    <x:row r="351">
      <x:c r="A351" s="8" t="str">
        <x:v>ext-crm-pass-040</x:v>
      </x:c>
      <x:c r="B351" s="8" t="str">
        <x:v>synthetic_crm</x:v>
      </x:c>
      <x:c r="C351" s="8" t="str">
        <x:v>data/synthetic/crm/policies.csv</x:v>
      </x:c>
      <x:c r="D351" s="8" t="str">
        <x:v>policy:TEST-KFZ-2026-1401</x:v>
      </x:c>
      <x:c r="E351" s="8" t="str"/>
      <x:c r="F351" s="10" t="str">
        <x:v>What are the coverage type, policy status and contract dates?</x:v>
      </x:c>
      <x:c r="G351" s="10" t="str">
        <x:v>Customer: Hannah Vogel (hannah.vogel@example.test). Policy number: TEST-KFZ-2026-1401. Product type: Motor Insurance. Coverage type: Liability. Status: Active. Start date: 2026-03-01. End date: 2027-02-28. Deductible: 500 EUR. Annual premium: 520 EUR.</x:v>
      </x:c>
      <x:c r="H351" s="10" t="str">
        <x:v>The coverage type is Liability; the policy is Active from 2026-03-01 through 2027-02-28.</x:v>
      </x:c>
      <x:c r="I351" s="8" t="str">
        <x:v>motor</x:v>
      </x:c>
      <x:c r="J351" s="8" t="str">
        <x:v>CALIBRATION</x:v>
      </x:c>
      <x:c r="K351" s="10" t="str"/>
      <x:c r="L351" s="12" t="str"/>
      <x:c r="M351" s="12" t="str"/>
      <x:c r="N351" s="12" t="str"/>
      <x:c r="O351" s="12" t="str"/>
      <x:c r="P351" s="12" t="str"/>
    </x:row>
    <x:row r="352">
      <x:c r="A352" s="8" t="str">
        <x:v>ext-crm-pass-041</x:v>
      </x:c>
      <x:c r="B352" s="8" t="str">
        <x:v>synthetic_crm</x:v>
      </x:c>
      <x:c r="C352" s="8" t="str">
        <x:v>data/synthetic/crm/policies.csv</x:v>
      </x:c>
      <x:c r="D352" s="8" t="str">
        <x:v>policy:TEST-HH-2026-1402</x:v>
      </x:c>
      <x:c r="E352" s="8" t="str"/>
      <x:c r="F352" s="10" t="str">
        <x:v>What are the coverage type, policy status and contract dates?</x:v>
      </x:c>
      <x:c r="G352" s="10" t="str">
        <x:v>Customer: Hannah Vogel (hannah.vogel@example.test). Policy number: TEST-HH-2026-1402. Product type: Household Insurance. Coverage type: Standard Coverage. Status: Active. Start date: 2026-03-01. End date: 2027-02-28. Deductible: 200 EUR. Annual premium: 195 EUR.</x:v>
      </x:c>
      <x:c r="H352" s="10" t="str">
        <x:v>The coverage type is Standard Coverage; the policy is Active from 2026-03-01 through 2027-02-28.</x:v>
      </x:c>
      <x:c r="I352" s="8" t="str">
        <x:v>household</x:v>
      </x:c>
      <x:c r="J352" s="8" t="str">
        <x:v>CALIBRATION</x:v>
      </x:c>
      <x:c r="K352" s="10" t="str"/>
      <x:c r="L352" s="12" t="str"/>
      <x:c r="M352" s="12" t="str"/>
      <x:c r="N352" s="12" t="str"/>
      <x:c r="O352" s="12" t="str"/>
      <x:c r="P352" s="12" t="str"/>
    </x:row>
    <x:row r="353">
      <x:c r="A353" s="8" t="str">
        <x:v>ext-crm-pass-042</x:v>
      </x:c>
      <x:c r="B353" s="8" t="str">
        <x:v>synthetic_crm</x:v>
      </x:c>
      <x:c r="C353" s="8" t="str">
        <x:v>data/synthetic/crm/policies.csv</x:v>
      </x:c>
      <x:c r="D353" s="8" t="str">
        <x:v>policy:TEST-RS-2026-1501</x:v>
      </x:c>
      <x:c r="E353" s="8" t="str"/>
      <x:c r="F353" s="10" t="str">
        <x:v>What are the coverage type, policy status and contract dates?</x:v>
      </x:c>
      <x:c r="G353" s="10" t="str">
        <x:v>Customer: Jonas Richter (jonas.richter@example.test). Policy number: TEST-RS-2026-1501. Product type: Legal Protection. Coverage type: Standard Coverage. Status: Cancelled. Start date: 2026-01-01. End date: 2026-06-30. Deductible: 150 EUR. Annual premium: 260 EUR.</x:v>
      </x:c>
      <x:c r="H353" s="10" t="str">
        <x:v>The coverage type is Standard Coverage; the policy is Cancelled from 2026-01-01 through 2026-06-30.</x:v>
      </x:c>
      <x:c r="I353" s="8" t="str">
        <x:v>legal_protection</x:v>
      </x:c>
      <x:c r="J353" s="8" t="str">
        <x:v>CALIBRATION</x:v>
      </x:c>
      <x:c r="K353" s="10" t="str"/>
      <x:c r="L353" s="12" t="str"/>
      <x:c r="M353" s="12" t="str"/>
      <x:c r="N353" s="12" t="str"/>
      <x:c r="O353" s="12" t="str"/>
      <x:c r="P353" s="12" t="str"/>
    </x:row>
    <x:row r="354">
      <x:c r="A354" s="8" t="str">
        <x:v>ext-crm-pass-043</x:v>
      </x:c>
      <x:c r="B354" s="8" t="str">
        <x:v>synthetic_crm</x:v>
      </x:c>
      <x:c r="C354" s="8" t="str">
        <x:v>data/synthetic/crm/policies.csv</x:v>
      </x:c>
      <x:c r="D354" s="8" t="str">
        <x:v>policy:TEST-PHV-2026-1601</x:v>
      </x:c>
      <x:c r="E354" s="8" t="str"/>
      <x:c r="F354" s="10" t="str">
        <x:v>What are the coverage type, policy status and contract dates?</x:v>
      </x:c>
      <x:c r="G354" s="10" t="str">
        <x:v>Customer: Amira Hoffmann (amira.hoffmann@example.test). Policy number: TEST-PHV-2026-1601. Product type: Personal Liability. Coverage type: Liability. Status: Active. Start date: 2026-04-01. End date: 2027-03-31. Deductible: 0 EUR. Annual premium: 102 EUR.</x:v>
      </x:c>
      <x:c r="H354" s="10" t="str">
        <x:v>The coverage type is Liability; the policy is Active from 2026-04-01 through 2027-03-31.</x:v>
      </x:c>
      <x:c r="I354" s="8" t="str">
        <x:v>liability</x:v>
      </x:c>
      <x:c r="J354" s="8" t="str">
        <x:v>CALIBRATION</x:v>
      </x:c>
      <x:c r="K354" s="10" t="str"/>
      <x:c r="L354" s="12" t="str"/>
      <x:c r="M354" s="12" t="str"/>
      <x:c r="N354" s="12" t="str"/>
      <x:c r="O354" s="12" t="str"/>
      <x:c r="P354" s="12" t="str"/>
    </x:row>
    <x:row r="355">
      <x:c r="A355" s="8" t="str">
        <x:v>ext-crm-pass-044</x:v>
      </x:c>
      <x:c r="B355" s="8" t="str">
        <x:v>synthetic_crm</x:v>
      </x:c>
      <x:c r="C355" s="8" t="str">
        <x:v>data/synthetic/crm/policies.csv</x:v>
      </x:c>
      <x:c r="D355" s="8" t="str">
        <x:v>policy:TEST-KFZ-2026-1701</x:v>
      </x:c>
      <x:c r="E355" s="8" t="str"/>
      <x:c r="F355" s="10" t="str">
        <x:v>What are the coverage type, policy status and contract dates?</x:v>
      </x:c>
      <x:c r="G355" s="10" t="str">
        <x:v>Customer: Noah Weber (noah.weber@example.test). Policy number: TEST-KFZ-2026-1701. Product type: Motor Insurance. Coverage type: Partial Coverage. Status: Active. Start date: 2026-05-01. End date: 2027-04-30. Deductible: 300 EUR. Annual premium: 735 EUR.</x:v>
      </x:c>
      <x:c r="H355" s="10" t="str">
        <x:v>The coverage type is Partial Coverage; the policy is Active from 2026-05-01 through 2027-04-30.</x:v>
      </x:c>
      <x:c r="I355" s="8" t="str">
        <x:v>motor</x:v>
      </x:c>
      <x:c r="J355" s="8" t="str">
        <x:v>CALIBRATION</x:v>
      </x:c>
      <x:c r="K355" s="10" t="str"/>
      <x:c r="L355" s="12" t="str"/>
      <x:c r="M355" s="12" t="str"/>
      <x:c r="N355" s="12" t="str"/>
      <x:c r="O355" s="12" t="str"/>
      <x:c r="P355" s="12" t="str"/>
    </x:row>
    <x:row r="356">
      <x:c r="A356" s="8" t="str">
        <x:v>ext-crm-pass-045</x:v>
      </x:c>
      <x:c r="B356" s="8" t="str">
        <x:v>synthetic_crm</x:v>
      </x:c>
      <x:c r="C356" s="8" t="str">
        <x:v>data/synthetic/crm/policies.csv</x:v>
      </x:c>
      <x:c r="D356" s="8" t="str">
        <x:v>policy:TEST-RS-2026-1702</x:v>
      </x:c>
      <x:c r="E356" s="8" t="str"/>
      <x:c r="F356" s="10" t="str">
        <x:v>What are the coverage type, policy status and contract dates?</x:v>
      </x:c>
      <x:c r="G356" s="10" t="str">
        <x:v>Customer: Noah Weber (noah.weber@example.test). Policy number: TEST-RS-2026-1702. Product type: Legal Protection. Coverage type: Standard Coverage. Status: Active. Start date: 2026-05-01. End date: 2027-04-30. Deductible: 200 EUR. Annual premium: 310 EUR.</x:v>
      </x:c>
      <x:c r="H356" s="10" t="str">
        <x:v>The coverage type is Standard Coverage; the policy is Active from 2026-05-01 through 2027-04-30.</x:v>
      </x:c>
      <x:c r="I356" s="8" t="str">
        <x:v>legal_protection</x:v>
      </x:c>
      <x:c r="J356" s="8" t="str">
        <x:v>CALIBRATION</x:v>
      </x:c>
      <x:c r="K356" s="10" t="str"/>
      <x:c r="L356" s="12" t="str"/>
      <x:c r="M356" s="12" t="str"/>
      <x:c r="N356" s="12" t="str"/>
      <x:c r="O356" s="12" t="str"/>
      <x:c r="P356" s="12" t="str"/>
    </x:row>
    <x:row r="357">
      <x:c r="A357" s="8" t="str">
        <x:v>ext-crm-pass-046</x:v>
      </x:c>
      <x:c r="B357" s="8" t="str">
        <x:v>synthetic_crm</x:v>
      </x:c>
      <x:c r="C357" s="8" t="str">
        <x:v>data/synthetic/crm/policies.csv</x:v>
      </x:c>
      <x:c r="D357" s="8" t="str">
        <x:v>policy:TEST-HH-2026-1801</x:v>
      </x:c>
      <x:c r="E357" s="8" t="str"/>
      <x:c r="F357" s="10" t="str">
        <x:v>What are the coverage type, policy status and contract dates?</x:v>
      </x:c>
      <x:c r="G357" s="10" t="str">
        <x:v>Customer: Mila Hartmann (mila.hartmann@example.test). Policy number: TEST-HH-2026-1801. Product type: Household Insurance. Coverage type: Standard Coverage. Status: Pending. Start date: 2026-09-01. End date: 2027-08-31. Deductible: 250 EUR. Annual premium: 225 EUR.</x:v>
      </x:c>
      <x:c r="H357" s="10" t="str">
        <x:v>The coverage type is Standard Coverage; the policy is Pending from 2026-09-01 through 2027-08-31.</x:v>
      </x:c>
      <x:c r="I357" s="8" t="str">
        <x:v>household</x:v>
      </x:c>
      <x:c r="J357" s="8" t="str">
        <x:v>CALIBRATION</x:v>
      </x:c>
      <x:c r="K357" s="10" t="str"/>
      <x:c r="L357" s="12" t="str"/>
      <x:c r="M357" s="12" t="str"/>
      <x:c r="N357" s="12" t="str"/>
      <x:c r="O357" s="12" t="str"/>
      <x:c r="P357" s="12" t="str"/>
    </x:row>
    <x:row r="358">
      <x:c r="A358" s="8" t="str">
        <x:v>ext-crm-pass-047</x:v>
      </x:c>
      <x:c r="B358" s="8" t="str">
        <x:v>synthetic_crm</x:v>
      </x:c>
      <x:c r="C358" s="8" t="str">
        <x:v>data/synthetic/crm/policies.csv</x:v>
      </x:c>
      <x:c r="D358" s="8" t="str">
        <x:v>policy:TEST-KFZ-2026-1901</x:v>
      </x:c>
      <x:c r="E358" s="8" t="str"/>
      <x:c r="F358" s="10" t="str">
        <x:v>What are the coverage type, policy status and contract dates?</x:v>
      </x:c>
      <x:c r="G358" s="10" t="str">
        <x:v>Customer: Leon Becker (leon.becker@example.test). Policy number: TEST-KFZ-2026-1901. Product type: Motor Insurance. Coverage type: Comprehensive Coverage. Status: Active. Start date: 2026-06-01. End date: 2027-05-31. Deductible: 500 EUR. Annual premium: 1290 EUR.</x:v>
      </x:c>
      <x:c r="H358" s="10" t="str">
        <x:v>The coverage type is Comprehensive Coverage; the policy is Active from 2026-06-01 through 2027-05-31.</x:v>
      </x:c>
      <x:c r="I358" s="8" t="str">
        <x:v>motor</x:v>
      </x:c>
      <x:c r="J358" s="8" t="str">
        <x:v>CALIBRATION</x:v>
      </x:c>
      <x:c r="K358" s="10" t="str"/>
      <x:c r="L358" s="12" t="str"/>
      <x:c r="M358" s="12" t="str"/>
      <x:c r="N358" s="12" t="str"/>
      <x:c r="O358" s="12" t="str"/>
      <x:c r="P358" s="12" t="str"/>
    </x:row>
    <x:row r="359">
      <x:c r="A359" s="8" t="str">
        <x:v>ext-crm-pass-048</x:v>
      </x:c>
      <x:c r="B359" s="8" t="str">
        <x:v>synthetic_crm</x:v>
      </x:c>
      <x:c r="C359" s="8" t="str">
        <x:v>data/synthetic/crm/policies.csv</x:v>
      </x:c>
      <x:c r="D359" s="8" t="str">
        <x:v>policy:TEST-PHV-2026-1902</x:v>
      </x:c>
      <x:c r="E359" s="8" t="str"/>
      <x:c r="F359" s="10" t="str">
        <x:v>What are the coverage type, policy status and contract dates?</x:v>
      </x:c>
      <x:c r="G359" s="10" t="str">
        <x:v>Customer: Leon Becker (leon.becker@example.test). Policy number: TEST-PHV-2026-1902. Product type: Personal Liability. Coverage type: Liability. Status: Active. Start date: 2026-06-01. End date: 2027-05-31. Deductible: 0 EUR. Annual premium: 108 EUR.</x:v>
      </x:c>
      <x:c r="H359" s="10" t="str">
        <x:v>The coverage type is Liability; the policy is Active from 2026-06-01 through 2027-05-31.</x:v>
      </x:c>
      <x:c r="I359" s="8" t="str">
        <x:v>liability</x:v>
      </x:c>
      <x:c r="J359" s="8" t="str">
        <x:v>CALIBRATION</x:v>
      </x:c>
      <x:c r="K359" s="10" t="str"/>
      <x:c r="L359" s="12" t="str"/>
      <x:c r="M359" s="12" t="str"/>
      <x:c r="N359" s="12" t="str"/>
      <x:c r="O359" s="12" t="str"/>
      <x:c r="P359" s="12" t="str"/>
    </x:row>
    <x:row r="360">
      <x:c r="A360" s="8" t="str">
        <x:v>ext-crm-pass-049</x:v>
      </x:c>
      <x:c r="B360" s="8" t="str">
        <x:v>synthetic_crm</x:v>
      </x:c>
      <x:c r="C360" s="8" t="str">
        <x:v>data/synthetic/crm/policies.csv</x:v>
      </x:c>
      <x:c r="D360" s="8" t="str">
        <x:v>customer:lara.neumann@example.test</x:v>
      </x:c>
      <x:c r="E360" s="8" t="str"/>
      <x:c r="F360" s="10" t="str">
        <x:v>As of 2026-08-01, what is Lara Neumann's current motor policy?</x:v>
      </x:c>
      <x:c r="G360"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360" s="10" t="str">
        <x:v>Lara Neumann's current motor policy is TEST-KFZ-2026-1003 with Partial Coverage, a 300 EUR deductible and a 720 EUR annual premium.</x:v>
      </x:c>
      <x:c r="I360" s="8" t="str">
        <x:v>motor</x:v>
      </x:c>
      <x:c r="J360" s="8" t="str">
        <x:v>CALIBRATION</x:v>
      </x:c>
      <x:c r="K360" s="10" t="str"/>
      <x:c r="L360" s="12" t="str"/>
      <x:c r="M360" s="12" t="str"/>
      <x:c r="N360" s="12" t="str"/>
      <x:c r="O360" s="12" t="str"/>
      <x:c r="P360" s="12" t="str"/>
    </x:row>
    <x:row r="361">
      <x:c r="A361" s="8" t="str">
        <x:v>ext-crm-pass-050</x:v>
      </x:c>
      <x:c r="B361" s="8" t="str">
        <x:v>synthetic_crm</x:v>
      </x:c>
      <x:c r="C361" s="8" t="str">
        <x:v>data/synthetic/crm/claims.csv</x:v>
      </x:c>
      <x:c r="D361" s="8" t="str">
        <x:v>claim:TEST-CLM-2026-2001</x:v>
      </x:c>
      <x:c r="E361" s="8" t="str"/>
      <x:c r="F361" s="10" t="str">
        <x:v>What are the claim number, policy number, damage type, claimed amount and current status?</x:v>
      </x:c>
      <x:c r="G361" s="10" t="str">
        <x:v>Customer: Lara Neumann. Claim number: TEST-CLM-2026-2001. Policy number: TEST-KFZ-2026-1001. Claim date: 2026-07-10. Damage type: Glass Damage. Claimed amount: 780 EUR. Status: Under Review.</x:v>
      </x:c>
      <x:c r="H361" s="10" t="str">
        <x:v>Claim TEST-CLM-2026-2001 concerns Glass Damage under policy TEST-KFZ-2026-1001, with 780 EUR claimed and status Under Review.</x:v>
      </x:c>
      <x:c r="I361" s="8" t="str">
        <x:v>motor</x:v>
      </x:c>
      <x:c r="J361" s="8" t="str">
        <x:v>CALIBRATION</x:v>
      </x:c>
      <x:c r="K361" s="10" t="str"/>
      <x:c r="L361" s="12" t="str"/>
      <x:c r="M361" s="12" t="str"/>
      <x:c r="N361" s="12" t="str"/>
      <x:c r="O361" s="12" t="str"/>
      <x:c r="P361" s="12" t="str"/>
    </x:row>
    <x:row r="362">
      <x:c r="A362" s="8" t="str">
        <x:v>ext-crm-fail-001</x:v>
      </x:c>
      <x:c r="B362" s="8" t="str">
        <x:v>synthetic_crm</x:v>
      </x:c>
      <x:c r="C362" s="8" t="str">
        <x:v>data/synthetic/crm/policies.csv</x:v>
      </x:c>
      <x:c r="D362" s="8" t="str">
        <x:v>policy:TEST-KFZ-2026-1001</x:v>
      </x:c>
      <x:c r="E362" s="8" t="str"/>
      <x:c r="F362" s="10" t="str">
        <x:v>Which customer holds the policy shown in the context?</x:v>
      </x:c>
      <x:c r="G362" s="10" t="str">
        <x:v>Customer: Lara Neumann (lara.neumann@example.test). Policy number: TEST-KFZ-2026-1001. Product type: Motor Insurance. Coverage type: Partial Coverage. Status: Active. Start date: 2026-01-01. End date: 2026-12-31. Deductible: 150 EUR. Annual premium: 684 EUR.</x:v>
      </x:c>
      <x:c r="H362" s="10" t="str">
        <x:v>The policy belongs to Oliver Brandt.</x:v>
      </x:c>
      <x:c r="I362" s="8" t="str">
        <x:v>motor</x:v>
      </x:c>
      <x:c r="J362" s="8" t="str">
        <x:v>CALIBRATION</x:v>
      </x:c>
      <x:c r="K362" s="10" t="str"/>
      <x:c r="L362" s="12" t="str"/>
      <x:c r="M362" s="12" t="str"/>
      <x:c r="N362" s="12" t="str"/>
      <x:c r="O362" s="12" t="str"/>
      <x:c r="P362" s="12" t="str"/>
    </x:row>
    <x:row r="363">
      <x:c r="A363" s="8" t="str">
        <x:v>ext-crm-fail-002</x:v>
      </x:c>
      <x:c r="B363" s="8" t="str">
        <x:v>synthetic_crm</x:v>
      </x:c>
      <x:c r="C363" s="8" t="str">
        <x:v>data/synthetic/crm/policies.csv</x:v>
      </x:c>
      <x:c r="D363" s="8" t="str">
        <x:v>policy:TEST-PHV-2026-1002</x:v>
      </x:c>
      <x:c r="E363" s="8" t="str"/>
      <x:c r="F363" s="10" t="str">
        <x:v>Which customer holds the policy shown in the context?</x:v>
      </x:c>
      <x:c r="G363" s="10" t="str">
        <x:v>Customer: Lara Neumann (lara.neumann@example.test). Policy number: TEST-PHV-2026-1002. Product type: Personal Liability. Coverage type: Liability. Status: Active. Start date: 2026-01-01. End date: 2026-12-31. Deductible: 0 EUR. Annual premium: 96 EUR.</x:v>
      </x:c>
      <x:c r="H363" s="10" t="str">
        <x:v>The policy belongs to Oliver Brandt.</x:v>
      </x:c>
      <x:c r="I363" s="8" t="str">
        <x:v>liability</x:v>
      </x:c>
      <x:c r="J363" s="8" t="str">
        <x:v>CALIBRATION</x:v>
      </x:c>
      <x:c r="K363" s="10" t="str"/>
      <x:c r="L363" s="12" t="str"/>
      <x:c r="M363" s="12" t="str"/>
      <x:c r="N363" s="12" t="str"/>
      <x:c r="O363" s="12" t="str"/>
      <x:c r="P363" s="12" t="str"/>
    </x:row>
    <x:row r="364">
      <x:c r="A364" s="8" t="str">
        <x:v>ext-crm-fail-003</x:v>
      </x:c>
      <x:c r="B364" s="8" t="str">
        <x:v>synthetic_crm</x:v>
      </x:c>
      <x:c r="C364" s="8" t="str">
        <x:v>data/synthetic/crm/policies.csv</x:v>
      </x:c>
      <x:c r="D364" s="8" t="str">
        <x:v>policy:TEST-KFZ-2026-1003</x:v>
      </x:c>
      <x:c r="E364" s="8" t="str"/>
      <x:c r="F364" s="10" t="str">
        <x:v>Which customer holds the policy shown in the context?</x:v>
      </x:c>
      <x:c r="G364" s="10" t="str">
        <x:v>Customer: Lara Neumann (lara.neumann@example.test). Policy number: TEST-KFZ-2026-1003. Product type: Motor Insurance. Coverage type: Partial Coverage. Status: Active. Start date: 2026-07-01. End date: 2027-06-30. Deductible: 300 EUR. Annual premium: 720 EUR.</x:v>
      </x:c>
      <x:c r="H364" s="10" t="str">
        <x:v>The policy belongs to Oliver Brandt.</x:v>
      </x:c>
      <x:c r="I364" s="8" t="str">
        <x:v>motor</x:v>
      </x:c>
      <x:c r="J364" s="8" t="str">
        <x:v>CALIBRATION</x:v>
      </x:c>
      <x:c r="K364" s="10" t="str"/>
      <x:c r="L364" s="12" t="str"/>
      <x:c r="M364" s="12" t="str"/>
      <x:c r="N364" s="12" t="str"/>
      <x:c r="O364" s="12" t="str"/>
      <x:c r="P364" s="12" t="str"/>
    </x:row>
    <x:row r="365">
      <x:c r="A365" s="8" t="str">
        <x:v>ext-crm-fail-004</x:v>
      </x:c>
      <x:c r="B365" s="8" t="str">
        <x:v>synthetic_crm</x:v>
      </x:c>
      <x:c r="C365" s="8" t="str">
        <x:v>data/synthetic/crm/policies.csv</x:v>
      </x:c>
      <x:c r="D365" s="8" t="str">
        <x:v>policy:TEST-KFZ-2026-1101</x:v>
      </x:c>
      <x:c r="E365" s="8" t="str"/>
      <x:c r="F365" s="10" t="str">
        <x:v>Which customer holds the policy shown in the context?</x:v>
      </x:c>
      <x:c r="G365" s="10" t="str">
        <x:v>Customer: Oliver Brandt (oliver.brandt@example.test). Policy number: TEST-KFZ-2026-1101. Product type: Motor Insurance. Coverage type: Comprehensive Coverage. Status: Active. Start date: 2026-02-01. End date: 2027-01-31. Deductible: 300 EUR. Annual premium: 1120 EUR.</x:v>
      </x:c>
      <x:c r="H365" s="10" t="str">
        <x:v>The policy belongs to Lara Neumann.</x:v>
      </x:c>
      <x:c r="I365" s="8" t="str">
        <x:v>motor</x:v>
      </x:c>
      <x:c r="J365" s="8" t="str">
        <x:v>CALIBRATION</x:v>
      </x:c>
      <x:c r="K365" s="10" t="str"/>
      <x:c r="L365" s="12" t="str"/>
      <x:c r="M365" s="12" t="str"/>
      <x:c r="N365" s="12" t="str"/>
      <x:c r="O365" s="12" t="str"/>
      <x:c r="P365" s="12" t="str"/>
    </x:row>
    <x:row r="366">
      <x:c r="A366" s="8" t="str">
        <x:v>ext-crm-fail-005</x:v>
      </x:c>
      <x:c r="B366" s="8" t="str">
        <x:v>synthetic_crm</x:v>
      </x:c>
      <x:c r="C366" s="8" t="str">
        <x:v>data/synthetic/crm/policies.csv</x:v>
      </x:c>
      <x:c r="D366" s="8" t="str">
        <x:v>policy:TEST-HH-2026-1201</x:v>
      </x:c>
      <x:c r="E366" s="8" t="str"/>
      <x:c r="F366" s="10" t="str">
        <x:v>Which customer holds the policy shown in the context?</x:v>
      </x:c>
      <x:c r="G366" s="10" t="str">
        <x:v>Customer: Sophie Keller (sophie.keller@example.test). Policy number: TEST-HH-2026-1201. Product type: Household Insurance. Coverage type: Standard Coverage. Status: Active. Start date: 2026-01-15. End date: 2027-01-14. Deductible: 250 EUR. Annual premium: 210 EUR.</x:v>
      </x:c>
      <x:c r="H366" s="10" t="str">
        <x:v>The policy belongs to Lara Neumann.</x:v>
      </x:c>
      <x:c r="I366" s="8" t="str">
        <x:v>household</x:v>
      </x:c>
      <x:c r="J366" s="8" t="str">
        <x:v>CALIBRATION</x:v>
      </x:c>
      <x:c r="K366" s="10" t="str"/>
      <x:c r="L366" s="12" t="str"/>
      <x:c r="M366" s="12" t="str"/>
      <x:c r="N366" s="12" t="str"/>
      <x:c r="O366" s="12" t="str"/>
      <x:c r="P366" s="12" t="str"/>
    </x:row>
    <x:row r="367">
      <x:c r="A367" s="8" t="str">
        <x:v>ext-crm-fail-006</x:v>
      </x:c>
      <x:c r="B367" s="8" t="str">
        <x:v>synthetic_crm</x:v>
      </x:c>
      <x:c r="C367" s="8" t="str">
        <x:v>data/synthetic/crm/policies.csv</x:v>
      </x:c>
      <x:c r="D367" s="8" t="str">
        <x:v>policy:TEST-RS-2026-1202</x:v>
      </x:c>
      <x:c r="E367" s="8" t="str"/>
      <x:c r="F367" s="10" t="str">
        <x:v>Which customer holds the policy shown in the context?</x:v>
      </x:c>
      <x:c r="G367" s="10" t="str">
        <x:v>Customer: Sophie Keller (sophie.keller@example.test). Policy number: TEST-RS-2026-1202. Product type: Legal Protection. Coverage type: Standard Coverage. Status: Pending. Start date: 2026-08-01. End date: 2027-07-31. Deductible: 150 EUR. Annual premium: 280 EUR.</x:v>
      </x:c>
      <x:c r="H367" s="10" t="str">
        <x:v>The policy belongs to Lara Neumann.</x:v>
      </x:c>
      <x:c r="I367" s="8" t="str">
        <x:v>legal_protection</x:v>
      </x:c>
      <x:c r="J367" s="8" t="str">
        <x:v>CALIBRATION</x:v>
      </x:c>
      <x:c r="K367" s="10" t="str"/>
      <x:c r="L367" s="12" t="str"/>
      <x:c r="M367" s="12" t="str"/>
      <x:c r="N367" s="12" t="str"/>
      <x:c r="O367" s="12" t="str"/>
      <x:c r="P367" s="12" t="str"/>
    </x:row>
    <x:row r="368">
      <x:c r="A368" s="8" t="str">
        <x:v>ext-crm-fail-007</x:v>
      </x:c>
      <x:c r="B368" s="8" t="str">
        <x:v>synthetic_crm</x:v>
      </x:c>
      <x:c r="C368" s="8" t="str">
        <x:v>data/synthetic/crm/policies.csv</x:v>
      </x:c>
      <x:c r="D368" s="8" t="str">
        <x:v>policy:TEST-PHV-2025-1301</x:v>
      </x:c>
      <x:c r="E368" s="8" t="str"/>
      <x:c r="F368" s="10" t="str">
        <x:v>Which customer holds the policy shown in the context?</x:v>
      </x:c>
      <x:c r="G368" s="10" t="str">
        <x:v>Customer: Emil Fischer (emil.fischer@example.test). Policy number: TEST-PHV-2025-1301. Product type: Personal Liability. Coverage type: Liability. Status: Expired. Start date: 2025-01-01. End date: 2025-12-31. Deductible: 0 EUR. Annual premium: 84 EUR.</x:v>
      </x:c>
      <x:c r="H368" s="10" t="str">
        <x:v>The policy belongs to Lara Neumann.</x:v>
      </x:c>
      <x:c r="I368" s="8" t="str">
        <x:v>liability</x:v>
      </x:c>
      <x:c r="J368" s="8" t="str">
        <x:v>CALIBRATION</x:v>
      </x:c>
      <x:c r="K368" s="10" t="str"/>
      <x:c r="L368" s="12" t="str"/>
      <x:c r="M368" s="12" t="str"/>
      <x:c r="N368" s="12" t="str"/>
      <x:c r="O368" s="12" t="str"/>
      <x:c r="P368" s="12" t="str"/>
    </x:row>
    <x:row r="369">
      <x:c r="A369" s="8" t="str">
        <x:v>ext-crm-fail-008</x:v>
      </x:c>
      <x:c r="B369" s="8" t="str">
        <x:v>synthetic_crm</x:v>
      </x:c>
      <x:c r="C369" s="8" t="str">
        <x:v>data/synthetic/crm/policies.csv</x:v>
      </x:c>
      <x:c r="D369" s="8" t="str">
        <x:v>policy:TEST-KFZ-2026-1401</x:v>
      </x:c>
      <x:c r="E369" s="8" t="str"/>
      <x:c r="F369" s="10" t="str">
        <x:v>Which customer holds the policy shown in the context?</x:v>
      </x:c>
      <x:c r="G369" s="10" t="str">
        <x:v>Customer: Hannah Vogel (hannah.vogel@example.test). Policy number: TEST-KFZ-2026-1401. Product type: Motor Insurance. Coverage type: Liability. Status: Active. Start date: 2026-03-01. End date: 2027-02-28. Deductible: 500 EUR. Annual premium: 520 EUR.</x:v>
      </x:c>
      <x:c r="H369" s="10" t="str">
        <x:v>The policy belongs to Lara Neumann.</x:v>
      </x:c>
      <x:c r="I369" s="8" t="str">
        <x:v>motor</x:v>
      </x:c>
      <x:c r="J369" s="8" t="str">
        <x:v>CALIBRATION</x:v>
      </x:c>
      <x:c r="K369" s="10" t="str"/>
      <x:c r="L369" s="12" t="str"/>
      <x:c r="M369" s="12" t="str"/>
      <x:c r="N369" s="12" t="str"/>
      <x:c r="O369" s="12" t="str"/>
      <x:c r="P369" s="12" t="str"/>
    </x:row>
    <x:row r="370">
      <x:c r="A370" s="8" t="str">
        <x:v>ext-crm-fail-009</x:v>
      </x:c>
      <x:c r="B370" s="8" t="str">
        <x:v>synthetic_crm</x:v>
      </x:c>
      <x:c r="C370" s="8" t="str">
        <x:v>data/synthetic/crm/policies.csv</x:v>
      </x:c>
      <x:c r="D370" s="8" t="str">
        <x:v>policy:TEST-HH-2026-1402</x:v>
      </x:c>
      <x:c r="E370" s="8" t="str"/>
      <x:c r="F370" s="10" t="str">
        <x:v>Which customer holds the policy shown in the context?</x:v>
      </x:c>
      <x:c r="G370" s="10" t="str">
        <x:v>Customer: Hannah Vogel (hannah.vogel@example.test). Policy number: TEST-HH-2026-1402. Product type: Household Insurance. Coverage type: Standard Coverage. Status: Active. Start date: 2026-03-01. End date: 2027-02-28. Deductible: 200 EUR. Annual premium: 195 EUR.</x:v>
      </x:c>
      <x:c r="H370" s="10" t="str">
        <x:v>The policy belongs to Lara Neumann.</x:v>
      </x:c>
      <x:c r="I370" s="8" t="str">
        <x:v>household</x:v>
      </x:c>
      <x:c r="J370" s="8" t="str">
        <x:v>CALIBRATION</x:v>
      </x:c>
      <x:c r="K370" s="10" t="str"/>
      <x:c r="L370" s="12" t="str"/>
      <x:c r="M370" s="12" t="str"/>
      <x:c r="N370" s="12" t="str"/>
      <x:c r="O370" s="12" t="str"/>
      <x:c r="P370" s="12" t="str"/>
    </x:row>
    <x:row r="371">
      <x:c r="A371" s="8" t="str">
        <x:v>ext-crm-fail-010</x:v>
      </x:c>
      <x:c r="B371" s="8" t="str">
        <x:v>synthetic_crm</x:v>
      </x:c>
      <x:c r="C371" s="8" t="str">
        <x:v>data/synthetic/crm/policies.csv</x:v>
      </x:c>
      <x:c r="D371" s="8" t="str">
        <x:v>policy:TEST-RS-2026-1501</x:v>
      </x:c>
      <x:c r="E371" s="8" t="str"/>
      <x:c r="F371" s="10" t="str">
        <x:v>Which customer holds the policy shown in the context?</x:v>
      </x:c>
      <x:c r="G371" s="10" t="str">
        <x:v>Customer: Jonas Richter (jonas.richter@example.test). Policy number: TEST-RS-2026-1501. Product type: Legal Protection. Coverage type: Standard Coverage. Status: Cancelled. Start date: 2026-01-01. End date: 2026-06-30. Deductible: 150 EUR. Annual premium: 260 EUR.</x:v>
      </x:c>
      <x:c r="H371" s="10" t="str">
        <x:v>The policy belongs to Lara Neumann.</x:v>
      </x:c>
      <x:c r="I371" s="8" t="str">
        <x:v>legal_protection</x:v>
      </x:c>
      <x:c r="J371" s="8" t="str">
        <x:v>CALIBRATION</x:v>
      </x:c>
      <x:c r="K371" s="10" t="str"/>
      <x:c r="L371" s="12" t="str"/>
      <x:c r="M371" s="12" t="str"/>
      <x:c r="N371" s="12" t="str"/>
      <x:c r="O371" s="12" t="str"/>
      <x:c r="P371" s="12" t="str"/>
    </x:row>
    <x:row r="372">
      <x:c r="A372" s="8" t="str">
        <x:v>ext-crm-fail-011</x:v>
      </x:c>
      <x:c r="B372" s="8" t="str">
        <x:v>synthetic_crm</x:v>
      </x:c>
      <x:c r="C372" s="8" t="str">
        <x:v>data/synthetic/crm/policies.csv</x:v>
      </x:c>
      <x:c r="D372" s="8" t="str">
        <x:v>policy:TEST-PHV-2026-1601</x:v>
      </x:c>
      <x:c r="E372" s="8" t="str"/>
      <x:c r="F372" s="10" t="str">
        <x:v>What is the policy number?</x:v>
      </x:c>
      <x:c r="G372" s="10" t="str">
        <x:v>Customer: Amira Hoffmann (amira.hoffmann@example.test). Policy number: TEST-PHV-2026-1601. Product type: Personal Liability. Coverage type: Liability. Status: Active. Start date: 2026-04-01. End date: 2027-03-31. Deductible: 0 EUR. Annual premium: 102 EUR.</x:v>
      </x:c>
      <x:c r="H372" s="10" t="str">
        <x:v>The policy number is TEST-KFZ-2026-1001.</x:v>
      </x:c>
      <x:c r="I372" s="8" t="str">
        <x:v>liability</x:v>
      </x:c>
      <x:c r="J372" s="8" t="str">
        <x:v>CALIBRATION</x:v>
      </x:c>
      <x:c r="K372" s="10" t="str"/>
      <x:c r="L372" s="12" t="str"/>
      <x:c r="M372" s="12" t="str"/>
      <x:c r="N372" s="12" t="str"/>
      <x:c r="O372" s="12" t="str"/>
      <x:c r="P372" s="12" t="str"/>
    </x:row>
    <x:row r="373">
      <x:c r="A373" s="8" t="str">
        <x:v>ext-crm-fail-012</x:v>
      </x:c>
      <x:c r="B373" s="8" t="str">
        <x:v>synthetic_crm</x:v>
      </x:c>
      <x:c r="C373" s="8" t="str">
        <x:v>data/synthetic/crm/policies.csv</x:v>
      </x:c>
      <x:c r="D373" s="8" t="str">
        <x:v>policy:TEST-KFZ-2026-1701</x:v>
      </x:c>
      <x:c r="E373" s="8" t="str"/>
      <x:c r="F373" s="10" t="str">
        <x:v>What is the policy number?</x:v>
      </x:c>
      <x:c r="G373" s="10" t="str">
        <x:v>Customer: Noah Weber (noah.weber@example.test). Policy number: TEST-KFZ-2026-1701. Product type: Motor Insurance. Coverage type: Partial Coverage. Status: Active. Start date: 2026-05-01. End date: 2027-04-30. Deductible: 300 EUR. Annual premium: 735 EUR.</x:v>
      </x:c>
      <x:c r="H373" s="10" t="str">
        <x:v>The policy number is TEST-KFZ-2026-1001.</x:v>
      </x:c>
      <x:c r="I373" s="8" t="str">
        <x:v>motor</x:v>
      </x:c>
      <x:c r="J373" s="8" t="str">
        <x:v>CALIBRATION</x:v>
      </x:c>
      <x:c r="K373" s="10" t="str"/>
      <x:c r="L373" s="12" t="str"/>
      <x:c r="M373" s="12" t="str"/>
      <x:c r="N373" s="12" t="str"/>
      <x:c r="O373" s="12" t="str"/>
      <x:c r="P373" s="12" t="str"/>
    </x:row>
    <x:row r="374">
      <x:c r="A374" s="8" t="str">
        <x:v>ext-crm-fail-013</x:v>
      </x:c>
      <x:c r="B374" s="8" t="str">
        <x:v>synthetic_crm</x:v>
      </x:c>
      <x:c r="C374" s="8" t="str">
        <x:v>data/synthetic/crm/policies.csv</x:v>
      </x:c>
      <x:c r="D374" s="8" t="str">
        <x:v>policy:TEST-RS-2026-1702</x:v>
      </x:c>
      <x:c r="E374" s="8" t="str"/>
      <x:c r="F374" s="10" t="str">
        <x:v>What is the policy number?</x:v>
      </x:c>
      <x:c r="G374" s="10" t="str">
        <x:v>Customer: Noah Weber (noah.weber@example.test). Policy number: TEST-RS-2026-1702. Product type: Legal Protection. Coverage type: Standard Coverage. Status: Active. Start date: 2026-05-01. End date: 2027-04-30. Deductible: 200 EUR. Annual premium: 310 EUR.</x:v>
      </x:c>
      <x:c r="H374" s="10" t="str">
        <x:v>The policy number is TEST-KFZ-2026-1001.</x:v>
      </x:c>
      <x:c r="I374" s="8" t="str">
        <x:v>legal_protection</x:v>
      </x:c>
      <x:c r="J374" s="8" t="str">
        <x:v>CALIBRATION</x:v>
      </x:c>
      <x:c r="K374" s="10" t="str"/>
      <x:c r="L374" s="12" t="str"/>
      <x:c r="M374" s="12" t="str"/>
      <x:c r="N374" s="12" t="str"/>
      <x:c r="O374" s="12" t="str"/>
      <x:c r="P374" s="12" t="str"/>
    </x:row>
    <x:row r="375">
      <x:c r="A375" s="8" t="str">
        <x:v>ext-crm-fail-014</x:v>
      </x:c>
      <x:c r="B375" s="8" t="str">
        <x:v>synthetic_crm</x:v>
      </x:c>
      <x:c r="C375" s="8" t="str">
        <x:v>data/synthetic/crm/policies.csv</x:v>
      </x:c>
      <x:c r="D375" s="8" t="str">
        <x:v>policy:TEST-HH-2026-1801</x:v>
      </x:c>
      <x:c r="E375" s="8" t="str"/>
      <x:c r="F375" s="10" t="str">
        <x:v>What is the policy number?</x:v>
      </x:c>
      <x:c r="G375" s="10" t="str">
        <x:v>Customer: Mila Hartmann (mila.hartmann@example.test). Policy number: TEST-HH-2026-1801. Product type: Household Insurance. Coverage type: Standard Coverage. Status: Pending. Start date: 2026-09-01. End date: 2027-08-31. Deductible: 250 EUR. Annual premium: 225 EUR.</x:v>
      </x:c>
      <x:c r="H375" s="10" t="str">
        <x:v>The policy number is TEST-KFZ-2026-1001.</x:v>
      </x:c>
      <x:c r="I375" s="8" t="str">
        <x:v>household</x:v>
      </x:c>
      <x:c r="J375" s="8" t="str">
        <x:v>CALIBRATION</x:v>
      </x:c>
      <x:c r="K375" s="10" t="str"/>
      <x:c r="L375" s="12" t="str"/>
      <x:c r="M375" s="12" t="str"/>
      <x:c r="N375" s="12" t="str"/>
      <x:c r="O375" s="12" t="str"/>
      <x:c r="P375" s="12" t="str"/>
    </x:row>
    <x:row r="376">
      <x:c r="A376" s="8" t="str">
        <x:v>ext-crm-fail-015</x:v>
      </x:c>
      <x:c r="B376" s="8" t="str">
        <x:v>synthetic_crm</x:v>
      </x:c>
      <x:c r="C376" s="8" t="str">
        <x:v>data/synthetic/crm/policies.csv</x:v>
      </x:c>
      <x:c r="D376" s="8" t="str">
        <x:v>policy:TEST-KFZ-2026-1901</x:v>
      </x:c>
      <x:c r="E376" s="8" t="str"/>
      <x:c r="F376" s="10" t="str">
        <x:v>What is the policy number?</x:v>
      </x:c>
      <x:c r="G376" s="10" t="str">
        <x:v>Customer: Leon Becker (leon.becker@example.test). Policy number: TEST-KFZ-2026-1901. Product type: Motor Insurance. Coverage type: Comprehensive Coverage. Status: Active. Start date: 2026-06-01. End date: 2027-05-31. Deductible: 500 EUR. Annual premium: 1290 EUR.</x:v>
      </x:c>
      <x:c r="H376" s="10" t="str">
        <x:v>The policy number is TEST-KFZ-2026-1001.</x:v>
      </x:c>
      <x:c r="I376" s="8" t="str">
        <x:v>motor</x:v>
      </x:c>
      <x:c r="J376" s="8" t="str">
        <x:v>CALIBRATION</x:v>
      </x:c>
      <x:c r="K376" s="10" t="str"/>
      <x:c r="L376" s="12" t="str"/>
      <x:c r="M376" s="12" t="str"/>
      <x:c r="N376" s="12" t="str"/>
      <x:c r="O376" s="12" t="str"/>
      <x:c r="P376" s="12" t="str"/>
    </x:row>
    <x:row r="377">
      <x:c r="A377" s="8" t="str">
        <x:v>ext-crm-fail-016</x:v>
      </x:c>
      <x:c r="B377" s="8" t="str">
        <x:v>synthetic_crm</x:v>
      </x:c>
      <x:c r="C377" s="8" t="str">
        <x:v>data/synthetic/crm/policies.csv</x:v>
      </x:c>
      <x:c r="D377" s="8" t="str">
        <x:v>policy:TEST-PHV-2026-1902</x:v>
      </x:c>
      <x:c r="E377" s="8" t="str"/>
      <x:c r="F377" s="10" t="str">
        <x:v>What is the policy number?</x:v>
      </x:c>
      <x:c r="G377" s="10" t="str">
        <x:v>Customer: Leon Becker (leon.becker@example.test). Policy number: TEST-PHV-2026-1902. Product type: Personal Liability. Coverage type: Liability. Status: Active. Start date: 2026-06-01. End date: 2027-05-31. Deductible: 0 EUR. Annual premium: 108 EUR.</x:v>
      </x:c>
      <x:c r="H377" s="10" t="str">
        <x:v>The policy number is TEST-KFZ-2026-1001.</x:v>
      </x:c>
      <x:c r="I377" s="8" t="str">
        <x:v>liability</x:v>
      </x:c>
      <x:c r="J377" s="8" t="str">
        <x:v>CALIBRATION</x:v>
      </x:c>
      <x:c r="K377" s="10" t="str"/>
      <x:c r="L377" s="12" t="str"/>
      <x:c r="M377" s="12" t="str"/>
      <x:c r="N377" s="12" t="str"/>
      <x:c r="O377" s="12" t="str"/>
      <x:c r="P377" s="12" t="str"/>
    </x:row>
    <x:row r="378">
      <x:c r="A378" s="8" t="str">
        <x:v>ext-crm-fail-017</x:v>
      </x:c>
      <x:c r="B378" s="8" t="str">
        <x:v>synthetic_crm</x:v>
      </x:c>
      <x:c r="C378" s="8" t="str">
        <x:v>data/synthetic/crm/policies.csv</x:v>
      </x:c>
      <x:c r="D378" s="8" t="str">
        <x:v>policy:TEST-KFZ-2026-1001</x:v>
      </x:c>
      <x:c r="E378" s="8" t="str"/>
      <x:c r="F378" s="10" t="str">
        <x:v>What is the policy number?</x:v>
      </x:c>
      <x:c r="G378" s="10" t="str">
        <x:v>Customer: Lara Neumann (lara.neumann@example.test). Policy number: TEST-KFZ-2026-1001. Product type: Motor Insurance. Coverage type: Partial Coverage. Status: Active. Start date: 2026-01-01. End date: 2026-12-31. Deductible: 150 EUR. Annual premium: 684 EUR.</x:v>
      </x:c>
      <x:c r="H378" s="10" t="str">
        <x:v>The policy number is TEST-PHV-2026-1002.</x:v>
      </x:c>
      <x:c r="I378" s="8" t="str">
        <x:v>motor</x:v>
      </x:c>
      <x:c r="J378" s="8" t="str">
        <x:v>CALIBRATION</x:v>
      </x:c>
      <x:c r="K378" s="10" t="str"/>
      <x:c r="L378" s="12" t="str"/>
      <x:c r="M378" s="12" t="str"/>
      <x:c r="N378" s="12" t="str"/>
      <x:c r="O378" s="12" t="str"/>
      <x:c r="P378" s="12" t="str"/>
    </x:row>
    <x:row r="379">
      <x:c r="A379" s="8" t="str">
        <x:v>ext-crm-fail-018</x:v>
      </x:c>
      <x:c r="B379" s="8" t="str">
        <x:v>synthetic_crm</x:v>
      </x:c>
      <x:c r="C379" s="8" t="str">
        <x:v>data/synthetic/crm/policies.csv</x:v>
      </x:c>
      <x:c r="D379" s="8" t="str">
        <x:v>policy:TEST-PHV-2026-1002</x:v>
      </x:c>
      <x:c r="E379" s="8" t="str"/>
      <x:c r="F379" s="10" t="str">
        <x:v>What is the policy number?</x:v>
      </x:c>
      <x:c r="G379" s="10" t="str">
        <x:v>Customer: Lara Neumann (lara.neumann@example.test). Policy number: TEST-PHV-2026-1002. Product type: Personal Liability. Coverage type: Liability. Status: Active. Start date: 2026-01-01. End date: 2026-12-31. Deductible: 0 EUR. Annual premium: 96 EUR.</x:v>
      </x:c>
      <x:c r="H379" s="10" t="str">
        <x:v>The policy number is TEST-KFZ-2026-1001.</x:v>
      </x:c>
      <x:c r="I379" s="8" t="str">
        <x:v>liability</x:v>
      </x:c>
      <x:c r="J379" s="8" t="str">
        <x:v>CALIBRATION</x:v>
      </x:c>
      <x:c r="K379" s="10" t="str"/>
      <x:c r="L379" s="12" t="str"/>
      <x:c r="M379" s="12" t="str"/>
      <x:c r="N379" s="12" t="str"/>
      <x:c r="O379" s="12" t="str"/>
      <x:c r="P379" s="12" t="str"/>
    </x:row>
    <x:row r="380">
      <x:c r="A380" s="8" t="str">
        <x:v>ext-crm-fail-019</x:v>
      </x:c>
      <x:c r="B380" s="8" t="str">
        <x:v>synthetic_crm</x:v>
      </x:c>
      <x:c r="C380" s="8" t="str">
        <x:v>data/synthetic/crm/policies.csv</x:v>
      </x:c>
      <x:c r="D380" s="8" t="str">
        <x:v>policy:TEST-KFZ-2026-1003</x:v>
      </x:c>
      <x:c r="E380" s="8" t="str"/>
      <x:c r="F380" s="10" t="str">
        <x:v>What is the policy number?</x:v>
      </x:c>
      <x:c r="G380" s="10" t="str">
        <x:v>Customer: Lara Neumann (lara.neumann@example.test). Policy number: TEST-KFZ-2026-1003. Product type: Motor Insurance. Coverage type: Partial Coverage. Status: Active. Start date: 2026-07-01. End date: 2027-06-30. Deductible: 300 EUR. Annual premium: 720 EUR.</x:v>
      </x:c>
      <x:c r="H380" s="10" t="str">
        <x:v>The policy number is TEST-KFZ-2026-1001.</x:v>
      </x:c>
      <x:c r="I380" s="8" t="str">
        <x:v>motor</x:v>
      </x:c>
      <x:c r="J380" s="8" t="str">
        <x:v>CALIBRATION</x:v>
      </x:c>
      <x:c r="K380" s="10" t="str"/>
      <x:c r="L380" s="12" t="str"/>
      <x:c r="M380" s="12" t="str"/>
      <x:c r="N380" s="12" t="str"/>
      <x:c r="O380" s="12" t="str"/>
      <x:c r="P380" s="12" t="str"/>
    </x:row>
    <x:row r="381">
      <x:c r="A381" s="8" t="str">
        <x:v>ext-crm-fail-020</x:v>
      </x:c>
      <x:c r="B381" s="8" t="str">
        <x:v>synthetic_crm</x:v>
      </x:c>
      <x:c r="C381" s="8" t="str">
        <x:v>data/synthetic/crm/policies.csv</x:v>
      </x:c>
      <x:c r="D381" s="8" t="str">
        <x:v>policy:TEST-KFZ-2026-1101</x:v>
      </x:c>
      <x:c r="E381" s="8" t="str"/>
      <x:c r="F381" s="10" t="str">
        <x:v>What is the policy number?</x:v>
      </x:c>
      <x:c r="G381" s="10" t="str">
        <x:v>Customer: Oliver Brandt (oliver.brandt@example.test). Policy number: TEST-KFZ-2026-1101. Product type: Motor Insurance. Coverage type: Comprehensive Coverage. Status: Active. Start date: 2026-02-01. End date: 2027-01-31. Deductible: 300 EUR. Annual premium: 1120 EUR.</x:v>
      </x:c>
      <x:c r="H381" s="10" t="str">
        <x:v>The policy number is TEST-KFZ-2026-1001.</x:v>
      </x:c>
      <x:c r="I381" s="8" t="str">
        <x:v>motor</x:v>
      </x:c>
      <x:c r="J381" s="8" t="str">
        <x:v>CALIBRATION</x:v>
      </x:c>
      <x:c r="K381" s="10" t="str"/>
      <x:c r="L381" s="12" t="str"/>
      <x:c r="M381" s="12" t="str"/>
      <x:c r="N381" s="12" t="str"/>
      <x:c r="O381" s="12" t="str"/>
      <x:c r="P381" s="12" t="str"/>
    </x:row>
    <x:row r="382">
      <x:c r="A382" s="8" t="str">
        <x:v>ext-crm-fail-021</x:v>
      </x:c>
      <x:c r="B382" s="8" t="str">
        <x:v>synthetic_crm</x:v>
      </x:c>
      <x:c r="C382" s="8" t="str">
        <x:v>data/synthetic/crm/policies.csv</x:v>
      </x:c>
      <x:c r="D382" s="8" t="str">
        <x:v>policy:TEST-HH-2026-1201</x:v>
      </x:c>
      <x:c r="E382" s="8" t="str"/>
      <x:c r="F382" s="10" t="str">
        <x:v>What is the current policy status?</x:v>
      </x:c>
      <x:c r="G382" s="10" t="str">
        <x:v>Customer: Sophie Keller (sophie.keller@example.test). Policy number: TEST-HH-2026-1201. Product type: Household Insurance. Coverage type: Standard Coverage. Status: Active. Start date: 2026-01-15. End date: 2027-01-14. Deductible: 250 EUR. Annual premium: 210 EUR.</x:v>
      </x:c>
      <x:c r="H382" s="10" t="str">
        <x:v>The policy status is Pending.</x:v>
      </x:c>
      <x:c r="I382" s="8" t="str">
        <x:v>household</x:v>
      </x:c>
      <x:c r="J382" s="8" t="str">
        <x:v>CALIBRATION</x:v>
      </x:c>
      <x:c r="K382" s="10" t="str"/>
      <x:c r="L382" s="12" t="str"/>
      <x:c r="M382" s="12" t="str"/>
      <x:c r="N382" s="12" t="str"/>
      <x:c r="O382" s="12" t="str"/>
      <x:c r="P382" s="12" t="str"/>
    </x:row>
    <x:row r="383">
      <x:c r="A383" s="8" t="str">
        <x:v>ext-crm-fail-022</x:v>
      </x:c>
      <x:c r="B383" s="8" t="str">
        <x:v>synthetic_crm</x:v>
      </x:c>
      <x:c r="C383" s="8" t="str">
        <x:v>data/synthetic/crm/policies.csv</x:v>
      </x:c>
      <x:c r="D383" s="8" t="str">
        <x:v>policy:TEST-RS-2026-1202</x:v>
      </x:c>
      <x:c r="E383" s="8" t="str"/>
      <x:c r="F383" s="10" t="str">
        <x:v>What is the current policy status?</x:v>
      </x:c>
      <x:c r="G383" s="10" t="str">
        <x:v>Customer: Sophie Keller (sophie.keller@example.test). Policy number: TEST-RS-2026-1202. Product type: Legal Protection. Coverage type: Standard Coverage. Status: Pending. Start date: 2026-08-01. End date: 2027-07-31. Deductible: 150 EUR. Annual premium: 280 EUR.</x:v>
      </x:c>
      <x:c r="H383" s="10" t="str">
        <x:v>The policy status is Active.</x:v>
      </x:c>
      <x:c r="I383" s="8" t="str">
        <x:v>legal_protection</x:v>
      </x:c>
      <x:c r="J383" s="8" t="str">
        <x:v>CALIBRATION</x:v>
      </x:c>
      <x:c r="K383" s="10" t="str"/>
      <x:c r="L383" s="12" t="str"/>
      <x:c r="M383" s="12" t="str"/>
      <x:c r="N383" s="12" t="str"/>
      <x:c r="O383" s="12" t="str"/>
      <x:c r="P383" s="12" t="str"/>
    </x:row>
    <x:row r="384">
      <x:c r="A384" s="8" t="str">
        <x:v>ext-crm-fail-023</x:v>
      </x:c>
      <x:c r="B384" s="8" t="str">
        <x:v>synthetic_crm</x:v>
      </x:c>
      <x:c r="C384" s="8" t="str">
        <x:v>data/synthetic/crm/policies.csv</x:v>
      </x:c>
      <x:c r="D384" s="8" t="str">
        <x:v>policy:TEST-PHV-2025-1301</x:v>
      </x:c>
      <x:c r="E384" s="8" t="str"/>
      <x:c r="F384" s="10" t="str">
        <x:v>What is the current policy status?</x:v>
      </x:c>
      <x:c r="G384" s="10" t="str">
        <x:v>Customer: Emil Fischer (emil.fischer@example.test). Policy number: TEST-PHV-2025-1301. Product type: Personal Liability. Coverage type: Liability. Status: Expired. Start date: 2025-01-01. End date: 2025-12-31. Deductible: 0 EUR. Annual premium: 84 EUR.</x:v>
      </x:c>
      <x:c r="H384" s="10" t="str">
        <x:v>The policy status is Active.</x:v>
      </x:c>
      <x:c r="I384" s="8" t="str">
        <x:v>liability</x:v>
      </x:c>
      <x:c r="J384" s="8" t="str">
        <x:v>CALIBRATION</x:v>
      </x:c>
      <x:c r="K384" s="10" t="str"/>
      <x:c r="L384" s="12" t="str"/>
      <x:c r="M384" s="12" t="str"/>
      <x:c r="N384" s="12" t="str"/>
      <x:c r="O384" s="12" t="str"/>
      <x:c r="P384" s="12" t="str"/>
    </x:row>
    <x:row r="385">
      <x:c r="A385" s="8" t="str">
        <x:v>ext-crm-fail-024</x:v>
      </x:c>
      <x:c r="B385" s="8" t="str">
        <x:v>synthetic_crm</x:v>
      </x:c>
      <x:c r="C385" s="8" t="str">
        <x:v>data/synthetic/crm/policies.csv</x:v>
      </x:c>
      <x:c r="D385" s="8" t="str">
        <x:v>policy:TEST-KFZ-2026-1401</x:v>
      </x:c>
      <x:c r="E385" s="8" t="str"/>
      <x:c r="F385" s="10" t="str">
        <x:v>What is the current policy status?</x:v>
      </x:c>
      <x:c r="G385" s="10" t="str">
        <x:v>Customer: Hannah Vogel (hannah.vogel@example.test). Policy number: TEST-KFZ-2026-1401. Product type: Motor Insurance. Coverage type: Liability. Status: Active. Start date: 2026-03-01. End date: 2027-02-28. Deductible: 500 EUR. Annual premium: 520 EUR.</x:v>
      </x:c>
      <x:c r="H385" s="10" t="str">
        <x:v>The policy status is Pending.</x:v>
      </x:c>
      <x:c r="I385" s="8" t="str">
        <x:v>motor</x:v>
      </x:c>
      <x:c r="J385" s="8" t="str">
        <x:v>CALIBRATION</x:v>
      </x:c>
      <x:c r="K385" s="10" t="str"/>
      <x:c r="L385" s="12" t="str"/>
      <x:c r="M385" s="12" t="str"/>
      <x:c r="N385" s="12" t="str"/>
      <x:c r="O385" s="12" t="str"/>
      <x:c r="P385" s="12" t="str"/>
    </x:row>
    <x:row r="386">
      <x:c r="A386" s="8" t="str">
        <x:v>ext-crm-fail-025</x:v>
      </x:c>
      <x:c r="B386" s="8" t="str">
        <x:v>synthetic_crm</x:v>
      </x:c>
      <x:c r="C386" s="8" t="str">
        <x:v>data/synthetic/crm/policies.csv</x:v>
      </x:c>
      <x:c r="D386" s="8" t="str">
        <x:v>policy:TEST-HH-2026-1402</x:v>
      </x:c>
      <x:c r="E386" s="8" t="str"/>
      <x:c r="F386" s="10" t="str">
        <x:v>What is the current policy status?</x:v>
      </x:c>
      <x:c r="G386" s="10" t="str">
        <x:v>Customer: Hannah Vogel (hannah.vogel@example.test). Policy number: TEST-HH-2026-1402. Product type: Household Insurance. Coverage type: Standard Coverage. Status: Active. Start date: 2026-03-01. End date: 2027-02-28. Deductible: 200 EUR. Annual premium: 195 EUR.</x:v>
      </x:c>
      <x:c r="H386" s="10" t="str">
        <x:v>The policy status is Pending.</x:v>
      </x:c>
      <x:c r="I386" s="8" t="str">
        <x:v>household</x:v>
      </x:c>
      <x:c r="J386" s="8" t="str">
        <x:v>CALIBRATION</x:v>
      </x:c>
      <x:c r="K386" s="10" t="str"/>
      <x:c r="L386" s="12" t="str"/>
      <x:c r="M386" s="12" t="str"/>
      <x:c r="N386" s="12" t="str"/>
      <x:c r="O386" s="12" t="str"/>
      <x:c r="P386" s="12" t="str"/>
    </x:row>
    <x:row r="387">
      <x:c r="A387" s="8" t="str">
        <x:v>ext-crm-fail-026</x:v>
      </x:c>
      <x:c r="B387" s="8" t="str">
        <x:v>synthetic_crm</x:v>
      </x:c>
      <x:c r="C387" s="8" t="str">
        <x:v>data/synthetic/crm/policies.csv</x:v>
      </x:c>
      <x:c r="D387" s="8" t="str">
        <x:v>policy:TEST-RS-2026-1501</x:v>
      </x:c>
      <x:c r="E387" s="8" t="str"/>
      <x:c r="F387" s="10" t="str">
        <x:v>What is the current policy status?</x:v>
      </x:c>
      <x:c r="G387" s="10" t="str">
        <x:v>Customer: Jonas Richter (jonas.richter@example.test). Policy number: TEST-RS-2026-1501. Product type: Legal Protection. Coverage type: Standard Coverage. Status: Cancelled. Start date: 2026-01-01. End date: 2026-06-30. Deductible: 150 EUR. Annual premium: 260 EUR.</x:v>
      </x:c>
      <x:c r="H387" s="10" t="str">
        <x:v>The policy status is Active.</x:v>
      </x:c>
      <x:c r="I387" s="8" t="str">
        <x:v>legal_protection</x:v>
      </x:c>
      <x:c r="J387" s="8" t="str">
        <x:v>CALIBRATION</x:v>
      </x:c>
      <x:c r="K387" s="10" t="str"/>
      <x:c r="L387" s="12" t="str"/>
      <x:c r="M387" s="12" t="str"/>
      <x:c r="N387" s="12" t="str"/>
      <x:c r="O387" s="12" t="str"/>
      <x:c r="P387" s="12" t="str"/>
    </x:row>
    <x:row r="388">
      <x:c r="A388" s="8" t="str">
        <x:v>ext-crm-fail-027</x:v>
      </x:c>
      <x:c r="B388" s="8" t="str">
        <x:v>synthetic_crm</x:v>
      </x:c>
      <x:c r="C388" s="8" t="str">
        <x:v>data/synthetic/crm/policies.csv</x:v>
      </x:c>
      <x:c r="D388" s="8" t="str">
        <x:v>policy:TEST-PHV-2026-1601</x:v>
      </x:c>
      <x:c r="E388" s="8" t="str"/>
      <x:c r="F388" s="10" t="str">
        <x:v>What is the current policy status?</x:v>
      </x:c>
      <x:c r="G388" s="10" t="str">
        <x:v>Customer: Amira Hoffmann (amira.hoffmann@example.test). Policy number: TEST-PHV-2026-1601. Product type: Personal Liability. Coverage type: Liability. Status: Active. Start date: 2026-04-01. End date: 2027-03-31. Deductible: 0 EUR. Annual premium: 102 EUR.</x:v>
      </x:c>
      <x:c r="H388" s="10" t="str">
        <x:v>The policy status is Pending.</x:v>
      </x:c>
      <x:c r="I388" s="8" t="str">
        <x:v>liability</x:v>
      </x:c>
      <x:c r="J388" s="8" t="str">
        <x:v>CALIBRATION</x:v>
      </x:c>
      <x:c r="K388" s="10" t="str"/>
      <x:c r="L388" s="12" t="str"/>
      <x:c r="M388" s="12" t="str"/>
      <x:c r="N388" s="12" t="str"/>
      <x:c r="O388" s="12" t="str"/>
      <x:c r="P388" s="12" t="str"/>
    </x:row>
    <x:row r="389">
      <x:c r="A389" s="8" t="str">
        <x:v>ext-crm-fail-028</x:v>
      </x:c>
      <x:c r="B389" s="8" t="str">
        <x:v>synthetic_crm</x:v>
      </x:c>
      <x:c r="C389" s="8" t="str">
        <x:v>data/synthetic/crm/policies.csv</x:v>
      </x:c>
      <x:c r="D389" s="8" t="str">
        <x:v>policy:TEST-KFZ-2026-1701</x:v>
      </x:c>
      <x:c r="E389" s="8" t="str"/>
      <x:c r="F389" s="10" t="str">
        <x:v>What is the current policy status?</x:v>
      </x:c>
      <x:c r="G389" s="10" t="str">
        <x:v>Customer: Noah Weber (noah.weber@example.test). Policy number: TEST-KFZ-2026-1701. Product type: Motor Insurance. Coverage type: Partial Coverage. Status: Active. Start date: 2026-05-01. End date: 2027-04-30. Deductible: 300 EUR. Annual premium: 735 EUR.</x:v>
      </x:c>
      <x:c r="H389" s="10" t="str">
        <x:v>The policy status is Pending.</x:v>
      </x:c>
      <x:c r="I389" s="8" t="str">
        <x:v>motor</x:v>
      </x:c>
      <x:c r="J389" s="8" t="str">
        <x:v>CALIBRATION</x:v>
      </x:c>
      <x:c r="K389" s="10" t="str"/>
      <x:c r="L389" s="12" t="str"/>
      <x:c r="M389" s="12" t="str"/>
      <x:c r="N389" s="12" t="str"/>
      <x:c r="O389" s="12" t="str"/>
      <x:c r="P389" s="12" t="str"/>
    </x:row>
    <x:row r="390">
      <x:c r="A390" s="8" t="str">
        <x:v>ext-crm-fail-029</x:v>
      </x:c>
      <x:c r="B390" s="8" t="str">
        <x:v>synthetic_crm</x:v>
      </x:c>
      <x:c r="C390" s="8" t="str">
        <x:v>data/synthetic/crm/policies.csv</x:v>
      </x:c>
      <x:c r="D390" s="8" t="str">
        <x:v>policy:TEST-RS-2026-1702</x:v>
      </x:c>
      <x:c r="E390" s="8" t="str"/>
      <x:c r="F390" s="10" t="str">
        <x:v>What is the current policy status?</x:v>
      </x:c>
      <x:c r="G390" s="10" t="str">
        <x:v>Customer: Noah Weber (noah.weber@example.test). Policy number: TEST-RS-2026-1702. Product type: Legal Protection. Coverage type: Standard Coverage. Status: Active. Start date: 2026-05-01. End date: 2027-04-30. Deductible: 200 EUR. Annual premium: 310 EUR.</x:v>
      </x:c>
      <x:c r="H390" s="10" t="str">
        <x:v>The policy status is Pending.</x:v>
      </x:c>
      <x:c r="I390" s="8" t="str">
        <x:v>legal_protection</x:v>
      </x:c>
      <x:c r="J390" s="8" t="str">
        <x:v>CALIBRATION</x:v>
      </x:c>
      <x:c r="K390" s="10" t="str"/>
      <x:c r="L390" s="12" t="str"/>
      <x:c r="M390" s="12" t="str"/>
      <x:c r="N390" s="12" t="str"/>
      <x:c r="O390" s="12" t="str"/>
      <x:c r="P390" s="12" t="str"/>
    </x:row>
    <x:row r="391">
      <x:c r="A391" s="8" t="str">
        <x:v>ext-crm-fail-030</x:v>
      </x:c>
      <x:c r="B391" s="8" t="str">
        <x:v>synthetic_crm</x:v>
      </x:c>
      <x:c r="C391" s="8" t="str">
        <x:v>data/synthetic/crm/policies.csv</x:v>
      </x:c>
      <x:c r="D391" s="8" t="str">
        <x:v>policy:TEST-HH-2026-1801</x:v>
      </x:c>
      <x:c r="E391" s="8" t="str"/>
      <x:c r="F391" s="10" t="str">
        <x:v>What is the current policy status?</x:v>
      </x:c>
      <x:c r="G391" s="10" t="str">
        <x:v>Customer: Mila Hartmann (mila.hartmann@example.test). Policy number: TEST-HH-2026-1801. Product type: Household Insurance. Coverage type: Standard Coverage. Status: Pending. Start date: 2026-09-01. End date: 2027-08-31. Deductible: 250 EUR. Annual premium: 225 EUR.</x:v>
      </x:c>
      <x:c r="H391" s="10" t="str">
        <x:v>The policy status is Active.</x:v>
      </x:c>
      <x:c r="I391" s="8" t="str">
        <x:v>household</x:v>
      </x:c>
      <x:c r="J391" s="8" t="str">
        <x:v>CALIBRATION</x:v>
      </x:c>
      <x:c r="K391" s="10" t="str"/>
      <x:c r="L391" s="12" t="str"/>
      <x:c r="M391" s="12" t="str"/>
      <x:c r="N391" s="12" t="str"/>
      <x:c r="O391" s="12" t="str"/>
      <x:c r="P391" s="12" t="str"/>
    </x:row>
    <x:row r="392">
      <x:c r="A392" s="8" t="str">
        <x:v>ext-crm-fail-031</x:v>
      </x:c>
      <x:c r="B392" s="8" t="str">
        <x:v>synthetic_crm</x:v>
      </x:c>
      <x:c r="C392" s="8" t="str">
        <x:v>data/synthetic/crm/policies.csv</x:v>
      </x:c>
      <x:c r="D392" s="8" t="str">
        <x:v>policy:TEST-KFZ-2026-1901</x:v>
      </x:c>
      <x:c r="E392" s="8" t="str"/>
      <x:c r="F392" s="10" t="str">
        <x:v>What deductible applies to this policy?</x:v>
      </x:c>
      <x:c r="G392" s="10" t="str">
        <x:v>Customer: Leon Becker (leon.becker@example.test). Policy number: TEST-KFZ-2026-1901. Product type: Motor Insurance. Coverage type: Comprehensive Coverage. Status: Active. Start date: 2026-06-01. End date: 2027-05-31. Deductible: 500 EUR. Annual premium: 1290 EUR.</x:v>
      </x:c>
      <x:c r="H392" s="10" t="str">
        <x:v>The deductible is 150 EUR.</x:v>
      </x:c>
      <x:c r="I392" s="8" t="str">
        <x:v>motor</x:v>
      </x:c>
      <x:c r="J392" s="8" t="str">
        <x:v>CALIBRATION</x:v>
      </x:c>
      <x:c r="K392" s="10" t="str"/>
      <x:c r="L392" s="12" t="str"/>
      <x:c r="M392" s="12" t="str"/>
      <x:c r="N392" s="12" t="str"/>
      <x:c r="O392" s="12" t="str"/>
      <x:c r="P392" s="12" t="str"/>
    </x:row>
    <x:row r="393">
      <x:c r="A393" s="8" t="str">
        <x:v>ext-crm-fail-032</x:v>
      </x:c>
      <x:c r="B393" s="8" t="str">
        <x:v>synthetic_crm</x:v>
      </x:c>
      <x:c r="C393" s="8" t="str">
        <x:v>data/synthetic/crm/policies.csv</x:v>
      </x:c>
      <x:c r="D393" s="8" t="str">
        <x:v>policy:TEST-PHV-2026-1902</x:v>
      </x:c>
      <x:c r="E393" s="8" t="str"/>
      <x:c r="F393" s="10" t="str">
        <x:v>What deductible applies to this policy?</x:v>
      </x:c>
      <x:c r="G393" s="10" t="str">
        <x:v>Customer: Leon Becker (leon.becker@example.test). Policy number: TEST-PHV-2026-1902. Product type: Personal Liability. Coverage type: Liability. Status: Active. Start date: 2026-06-01. End date: 2027-05-31. Deductible: 0 EUR. Annual premium: 108 EUR.</x:v>
      </x:c>
      <x:c r="H393" s="10" t="str">
        <x:v>The deductible is 150 EUR.</x:v>
      </x:c>
      <x:c r="I393" s="8" t="str">
        <x:v>liability</x:v>
      </x:c>
      <x:c r="J393" s="8" t="str">
        <x:v>CALIBRATION</x:v>
      </x:c>
      <x:c r="K393" s="10" t="str"/>
      <x:c r="L393" s="12" t="str"/>
      <x:c r="M393" s="12" t="str"/>
      <x:c r="N393" s="12" t="str"/>
      <x:c r="O393" s="12" t="str"/>
      <x:c r="P393" s="12" t="str"/>
    </x:row>
    <x:row r="394">
      <x:c r="A394" s="8" t="str">
        <x:v>ext-crm-fail-033</x:v>
      </x:c>
      <x:c r="B394" s="8" t="str">
        <x:v>synthetic_crm</x:v>
      </x:c>
      <x:c r="C394" s="8" t="str">
        <x:v>data/synthetic/crm/policies.csv</x:v>
      </x:c>
      <x:c r="D394" s="8" t="str">
        <x:v>policy:TEST-KFZ-2026-1001</x:v>
      </x:c>
      <x:c r="E394" s="8" t="str"/>
      <x:c r="F394" s="10" t="str">
        <x:v>What deductible applies to this policy?</x:v>
      </x:c>
      <x:c r="G394" s="10" t="str">
        <x:v>Customer: Lara Neumann (lara.neumann@example.test). Policy number: TEST-KFZ-2026-1001. Product type: Motor Insurance. Coverage type: Partial Coverage. Status: Active. Start date: 2026-01-01. End date: 2026-12-31. Deductible: 150 EUR. Annual premium: 684 EUR.</x:v>
      </x:c>
      <x:c r="H394" s="10" t="str">
        <x:v>The deductible is 0 EUR.</x:v>
      </x:c>
      <x:c r="I394" s="8" t="str">
        <x:v>motor</x:v>
      </x:c>
      <x:c r="J394" s="8" t="str">
        <x:v>CALIBRATION</x:v>
      </x:c>
      <x:c r="K394" s="10" t="str"/>
      <x:c r="L394" s="12" t="str"/>
      <x:c r="M394" s="12" t="str"/>
      <x:c r="N394" s="12" t="str"/>
      <x:c r="O394" s="12" t="str"/>
      <x:c r="P394" s="12" t="str"/>
    </x:row>
    <x:row r="395">
      <x:c r="A395" s="8" t="str">
        <x:v>ext-crm-fail-034</x:v>
      </x:c>
      <x:c r="B395" s="8" t="str">
        <x:v>synthetic_crm</x:v>
      </x:c>
      <x:c r="C395" s="8" t="str">
        <x:v>data/synthetic/crm/policies.csv</x:v>
      </x:c>
      <x:c r="D395" s="8" t="str">
        <x:v>policy:TEST-PHV-2026-1002</x:v>
      </x:c>
      <x:c r="E395" s="8" t="str"/>
      <x:c r="F395" s="10" t="str">
        <x:v>What deductible applies to this policy?</x:v>
      </x:c>
      <x:c r="G395" s="10" t="str">
        <x:v>Customer: Lara Neumann (lara.neumann@example.test). Policy number: TEST-PHV-2026-1002. Product type: Personal Liability. Coverage type: Liability. Status: Active. Start date: 2026-01-01. End date: 2026-12-31. Deductible: 0 EUR. Annual premium: 96 EUR.</x:v>
      </x:c>
      <x:c r="H395" s="10" t="str">
        <x:v>The deductible is 150 EUR.</x:v>
      </x:c>
      <x:c r="I395" s="8" t="str">
        <x:v>liability</x:v>
      </x:c>
      <x:c r="J395" s="8" t="str">
        <x:v>CALIBRATION</x:v>
      </x:c>
      <x:c r="K395" s="10" t="str"/>
      <x:c r="L395" s="12" t="str"/>
      <x:c r="M395" s="12" t="str"/>
      <x:c r="N395" s="12" t="str"/>
      <x:c r="O395" s="12" t="str"/>
      <x:c r="P395" s="12" t="str"/>
    </x:row>
    <x:row r="396">
      <x:c r="A396" s="8" t="str">
        <x:v>ext-crm-fail-035</x:v>
      </x:c>
      <x:c r="B396" s="8" t="str">
        <x:v>synthetic_crm</x:v>
      </x:c>
      <x:c r="C396" s="8" t="str">
        <x:v>data/synthetic/crm/policies.csv</x:v>
      </x:c>
      <x:c r="D396" s="8" t="str">
        <x:v>policy:TEST-KFZ-2026-1003</x:v>
      </x:c>
      <x:c r="E396" s="8" t="str"/>
      <x:c r="F396" s="10" t="str">
        <x:v>What deductible applies to this policy?</x:v>
      </x:c>
      <x:c r="G396" s="10" t="str">
        <x:v>Customer: Lara Neumann (lara.neumann@example.test). Policy number: TEST-KFZ-2026-1003. Product type: Motor Insurance. Coverage type: Partial Coverage. Status: Active. Start date: 2026-07-01. End date: 2027-06-30. Deductible: 300 EUR. Annual premium: 720 EUR.</x:v>
      </x:c>
      <x:c r="H396" s="10" t="str">
        <x:v>The deductible is 150 EUR.</x:v>
      </x:c>
      <x:c r="I396" s="8" t="str">
        <x:v>motor</x:v>
      </x:c>
      <x:c r="J396" s="8" t="str">
        <x:v>CALIBRATION</x:v>
      </x:c>
      <x:c r="K396" s="10" t="str"/>
      <x:c r="L396" s="12" t="str"/>
      <x:c r="M396" s="12" t="str"/>
      <x:c r="N396" s="12" t="str"/>
      <x:c r="O396" s="12" t="str"/>
      <x:c r="P396" s="12" t="str"/>
    </x:row>
    <x:row r="397">
      <x:c r="A397" s="8" t="str">
        <x:v>ext-crm-fail-036</x:v>
      </x:c>
      <x:c r="B397" s="8" t="str">
        <x:v>synthetic_crm</x:v>
      </x:c>
      <x:c r="C397" s="8" t="str">
        <x:v>data/synthetic/crm/policies.csv</x:v>
      </x:c>
      <x:c r="D397" s="8" t="str">
        <x:v>policy:TEST-KFZ-2026-1101</x:v>
      </x:c>
      <x:c r="E397" s="8" t="str"/>
      <x:c r="F397" s="10" t="str">
        <x:v>What deductible applies to this policy?</x:v>
      </x:c>
      <x:c r="G397" s="10" t="str">
        <x:v>Customer: Oliver Brandt (oliver.brandt@example.test). Policy number: TEST-KFZ-2026-1101. Product type: Motor Insurance. Coverage type: Comprehensive Coverage. Status: Active. Start date: 2026-02-01. End date: 2027-01-31. Deductible: 300 EUR. Annual premium: 1120 EUR.</x:v>
      </x:c>
      <x:c r="H397" s="10" t="str">
        <x:v>The deductible is 150 EUR.</x:v>
      </x:c>
      <x:c r="I397" s="8" t="str">
        <x:v>motor</x:v>
      </x:c>
      <x:c r="J397" s="8" t="str">
        <x:v>CALIBRATION</x:v>
      </x:c>
      <x:c r="K397" s="10" t="str"/>
      <x:c r="L397" s="12" t="str"/>
      <x:c r="M397" s="12" t="str"/>
      <x:c r="N397" s="12" t="str"/>
      <x:c r="O397" s="12" t="str"/>
      <x:c r="P397" s="12" t="str"/>
    </x:row>
    <x:row r="398">
      <x:c r="A398" s="8" t="str">
        <x:v>ext-crm-fail-037</x:v>
      </x:c>
      <x:c r="B398" s="8" t="str">
        <x:v>synthetic_crm</x:v>
      </x:c>
      <x:c r="C398" s="8" t="str">
        <x:v>data/synthetic/crm/policies.csv</x:v>
      </x:c>
      <x:c r="D398" s="8" t="str">
        <x:v>policy:TEST-HH-2026-1201</x:v>
      </x:c>
      <x:c r="E398" s="8" t="str"/>
      <x:c r="F398" s="10" t="str">
        <x:v>What deductible applies to this policy?</x:v>
      </x:c>
      <x:c r="G398" s="10" t="str">
        <x:v>Customer: Sophie Keller (sophie.keller@example.test). Policy number: TEST-HH-2026-1201. Product type: Household Insurance. Coverage type: Standard Coverage. Status: Active. Start date: 2026-01-15. End date: 2027-01-14. Deductible: 250 EUR. Annual premium: 210 EUR.</x:v>
      </x:c>
      <x:c r="H398" s="10" t="str">
        <x:v>The deductible is 150 EUR.</x:v>
      </x:c>
      <x:c r="I398" s="8" t="str">
        <x:v>household</x:v>
      </x:c>
      <x:c r="J398" s="8" t="str">
        <x:v>CALIBRATION</x:v>
      </x:c>
      <x:c r="K398" s="10" t="str"/>
      <x:c r="L398" s="12" t="str"/>
      <x:c r="M398" s="12" t="str"/>
      <x:c r="N398" s="12" t="str"/>
      <x:c r="O398" s="12" t="str"/>
      <x:c r="P398" s="12" t="str"/>
    </x:row>
    <x:row r="399">
      <x:c r="A399" s="8" t="str">
        <x:v>ext-crm-fail-038</x:v>
      </x:c>
      <x:c r="B399" s="8" t="str">
        <x:v>synthetic_crm</x:v>
      </x:c>
      <x:c r="C399" s="8" t="str">
        <x:v>data/synthetic/crm/policies.csv</x:v>
      </x:c>
      <x:c r="D399" s="8" t="str">
        <x:v>policy:TEST-RS-2026-1202</x:v>
      </x:c>
      <x:c r="E399" s="8" t="str"/>
      <x:c r="F399" s="10" t="str">
        <x:v>What deductible applies to this policy?</x:v>
      </x:c>
      <x:c r="G399" s="10" t="str">
        <x:v>Customer: Sophie Keller (sophie.keller@example.test). Policy number: TEST-RS-2026-1202. Product type: Legal Protection. Coverage type: Standard Coverage. Status: Pending. Start date: 2026-08-01. End date: 2027-07-31. Deductible: 150 EUR. Annual premium: 280 EUR.</x:v>
      </x:c>
      <x:c r="H399" s="10" t="str">
        <x:v>The deductible is 0 EUR.</x:v>
      </x:c>
      <x:c r="I399" s="8" t="str">
        <x:v>legal_protection</x:v>
      </x:c>
      <x:c r="J399" s="8" t="str">
        <x:v>CALIBRATION</x:v>
      </x:c>
      <x:c r="K399" s="10" t="str"/>
      <x:c r="L399" s="12" t="str"/>
      <x:c r="M399" s="12" t="str"/>
      <x:c r="N399" s="12" t="str"/>
      <x:c r="O399" s="12" t="str"/>
      <x:c r="P399" s="12" t="str"/>
    </x:row>
    <x:row r="400">
      <x:c r="A400" s="8" t="str">
        <x:v>ext-crm-fail-039</x:v>
      </x:c>
      <x:c r="B400" s="8" t="str">
        <x:v>synthetic_crm</x:v>
      </x:c>
      <x:c r="C400" s="8" t="str">
        <x:v>data/synthetic/crm/policies.csv</x:v>
      </x:c>
      <x:c r="D400" s="8" t="str">
        <x:v>policy:TEST-PHV-2025-1301</x:v>
      </x:c>
      <x:c r="E400" s="8" t="str"/>
      <x:c r="F400" s="10" t="str">
        <x:v>What deductible applies to this policy?</x:v>
      </x:c>
      <x:c r="G400" s="10" t="str">
        <x:v>Customer: Emil Fischer (emil.fischer@example.test). Policy number: TEST-PHV-2025-1301. Product type: Personal Liability. Coverage type: Liability. Status: Expired. Start date: 2025-01-01. End date: 2025-12-31. Deductible: 0 EUR. Annual premium: 84 EUR.</x:v>
      </x:c>
      <x:c r="H400" s="10" t="str">
        <x:v>The deductible is 150 EUR.</x:v>
      </x:c>
      <x:c r="I400" s="8" t="str">
        <x:v>liability</x:v>
      </x:c>
      <x:c r="J400" s="8" t="str">
        <x:v>CALIBRATION</x:v>
      </x:c>
      <x:c r="K400" s="10" t="str"/>
      <x:c r="L400" s="12" t="str"/>
      <x:c r="M400" s="12" t="str"/>
      <x:c r="N400" s="12" t="str"/>
      <x:c r="O400" s="12" t="str"/>
      <x:c r="P400" s="12" t="str"/>
    </x:row>
    <x:row r="401">
      <x:c r="A401" s="8" t="str">
        <x:v>ext-crm-fail-040</x:v>
      </x:c>
      <x:c r="B401" s="8" t="str">
        <x:v>synthetic_crm</x:v>
      </x:c>
      <x:c r="C401" s="8" t="str">
        <x:v>data/synthetic/crm/policies.csv</x:v>
      </x:c>
      <x:c r="D401" s="8" t="str">
        <x:v>policy:TEST-KFZ-2026-1401</x:v>
      </x:c>
      <x:c r="E401" s="8" t="str"/>
      <x:c r="F401" s="10" t="str">
        <x:v>What deductible applies to this policy?</x:v>
      </x:c>
      <x:c r="G401" s="10" t="str">
        <x:v>Customer: Hannah Vogel (hannah.vogel@example.test). Policy number: TEST-KFZ-2026-1401. Product type: Motor Insurance. Coverage type: Liability. Status: Active. Start date: 2026-03-01. End date: 2027-02-28. Deductible: 500 EUR. Annual premium: 520 EUR.</x:v>
      </x:c>
      <x:c r="H401" s="10" t="str">
        <x:v>The deductible is 150 EUR.</x:v>
      </x:c>
      <x:c r="I401" s="8" t="str">
        <x:v>motor</x:v>
      </x:c>
      <x:c r="J401" s="8" t="str">
        <x:v>CALIBRATION</x:v>
      </x:c>
      <x:c r="K401" s="10" t="str"/>
      <x:c r="L401" s="12" t="str"/>
      <x:c r="M401" s="12" t="str"/>
      <x:c r="N401" s="12" t="str"/>
      <x:c r="O401" s="12" t="str"/>
      <x:c r="P401" s="12" t="str"/>
    </x:row>
    <x:row r="402">
      <x:c r="A402" s="8" t="str">
        <x:v>ext-crm-fail-041</x:v>
      </x:c>
      <x:c r="B402" s="8" t="str">
        <x:v>synthetic_crm</x:v>
      </x:c>
      <x:c r="C402" s="8" t="str">
        <x:v>data/synthetic/crm/policies.csv</x:v>
      </x:c>
      <x:c r="D402" s="8" t="str">
        <x:v>policy:TEST-HH-2026-1402</x:v>
      </x:c>
      <x:c r="E402" s="8" t="str"/>
      <x:c r="F402" s="10" t="str">
        <x:v>What is the annual premium of this policy?</x:v>
      </x:c>
      <x:c r="G402" s="10" t="str">
        <x:v>Customer: Hannah Vogel (hannah.vogel@example.test). Policy number: TEST-HH-2026-1402. Product type: Household Insurance. Coverage type: Standard Coverage. Status: Active. Start date: 2026-03-01. End date: 2027-02-28. Deductible: 200 EUR. Annual premium: 195 EUR.</x:v>
      </x:c>
      <x:c r="H402" s="10" t="str">
        <x:v>The annual premium is 684 EUR.</x:v>
      </x:c>
      <x:c r="I402" s="8" t="str">
        <x:v>household</x:v>
      </x:c>
      <x:c r="J402" s="8" t="str">
        <x:v>CALIBRATION</x:v>
      </x:c>
      <x:c r="K402" s="10" t="str"/>
      <x:c r="L402" s="12" t="str"/>
      <x:c r="M402" s="12" t="str"/>
      <x:c r="N402" s="12" t="str"/>
      <x:c r="O402" s="12" t="str"/>
      <x:c r="P402" s="12" t="str"/>
    </x:row>
    <x:row r="403">
      <x:c r="A403" s="8" t="str">
        <x:v>ext-crm-fail-042</x:v>
      </x:c>
      <x:c r="B403" s="8" t="str">
        <x:v>synthetic_crm</x:v>
      </x:c>
      <x:c r="C403" s="8" t="str">
        <x:v>data/synthetic/crm/policies.csv</x:v>
      </x:c>
      <x:c r="D403" s="8" t="str">
        <x:v>policy:TEST-RS-2026-1501</x:v>
      </x:c>
      <x:c r="E403" s="8" t="str"/>
      <x:c r="F403" s="10" t="str">
        <x:v>What is the annual premium of this policy?</x:v>
      </x:c>
      <x:c r="G403" s="10" t="str">
        <x:v>Customer: Jonas Richter (jonas.richter@example.test). Policy number: TEST-RS-2026-1501. Product type: Legal Protection. Coverage type: Standard Coverage. Status: Cancelled. Start date: 2026-01-01. End date: 2026-06-30. Deductible: 150 EUR. Annual premium: 260 EUR.</x:v>
      </x:c>
      <x:c r="H403" s="10" t="str">
        <x:v>The annual premium is 684 EUR.</x:v>
      </x:c>
      <x:c r="I403" s="8" t="str">
        <x:v>legal_protection</x:v>
      </x:c>
      <x:c r="J403" s="8" t="str">
        <x:v>CALIBRATION</x:v>
      </x:c>
      <x:c r="K403" s="10" t="str"/>
      <x:c r="L403" s="12" t="str"/>
      <x:c r="M403" s="12" t="str"/>
      <x:c r="N403" s="12" t="str"/>
      <x:c r="O403" s="12" t="str"/>
      <x:c r="P403" s="12" t="str"/>
    </x:row>
    <x:row r="404">
      <x:c r="A404" s="8" t="str">
        <x:v>ext-crm-fail-043</x:v>
      </x:c>
      <x:c r="B404" s="8" t="str">
        <x:v>synthetic_crm</x:v>
      </x:c>
      <x:c r="C404" s="8" t="str">
        <x:v>data/synthetic/crm/policies.csv</x:v>
      </x:c>
      <x:c r="D404" s="8" t="str">
        <x:v>policy:TEST-PHV-2026-1601</x:v>
      </x:c>
      <x:c r="E404" s="8" t="str"/>
      <x:c r="F404" s="10" t="str">
        <x:v>What is the annual premium of this policy?</x:v>
      </x:c>
      <x:c r="G404" s="10" t="str">
        <x:v>Customer: Amira Hoffmann (amira.hoffmann@example.test). Policy number: TEST-PHV-2026-1601. Product type: Personal Liability. Coverage type: Liability. Status: Active. Start date: 2026-04-01. End date: 2027-03-31. Deductible: 0 EUR. Annual premium: 102 EUR.</x:v>
      </x:c>
      <x:c r="H404" s="10" t="str">
        <x:v>The annual premium is 684 EUR.</x:v>
      </x:c>
      <x:c r="I404" s="8" t="str">
        <x:v>liability</x:v>
      </x:c>
      <x:c r="J404" s="8" t="str">
        <x:v>CALIBRATION</x:v>
      </x:c>
      <x:c r="K404" s="10" t="str"/>
      <x:c r="L404" s="12" t="str"/>
      <x:c r="M404" s="12" t="str"/>
      <x:c r="N404" s="12" t="str"/>
      <x:c r="O404" s="12" t="str"/>
      <x:c r="P404" s="12" t="str"/>
    </x:row>
    <x:row r="405">
      <x:c r="A405" s="8" t="str">
        <x:v>ext-crm-fail-044</x:v>
      </x:c>
      <x:c r="B405" s="8" t="str">
        <x:v>synthetic_crm</x:v>
      </x:c>
      <x:c r="C405" s="8" t="str">
        <x:v>data/synthetic/crm/policies.csv</x:v>
      </x:c>
      <x:c r="D405" s="8" t="str">
        <x:v>policy:TEST-KFZ-2026-1701</x:v>
      </x:c>
      <x:c r="E405" s="8" t="str"/>
      <x:c r="F405" s="10" t="str">
        <x:v>What is the annual premium of this policy?</x:v>
      </x:c>
      <x:c r="G405" s="10" t="str">
        <x:v>Customer: Noah Weber (noah.weber@example.test). Policy number: TEST-KFZ-2026-1701. Product type: Motor Insurance. Coverage type: Partial Coverage. Status: Active. Start date: 2026-05-01. End date: 2027-04-30. Deductible: 300 EUR. Annual premium: 735 EUR.</x:v>
      </x:c>
      <x:c r="H405" s="10" t="str">
        <x:v>The annual premium is 684 EUR.</x:v>
      </x:c>
      <x:c r="I405" s="8" t="str">
        <x:v>motor</x:v>
      </x:c>
      <x:c r="J405" s="8" t="str">
        <x:v>CALIBRATION</x:v>
      </x:c>
      <x:c r="K405" s="10" t="str"/>
      <x:c r="L405" s="12" t="str"/>
      <x:c r="M405" s="12" t="str"/>
      <x:c r="N405" s="12" t="str"/>
      <x:c r="O405" s="12" t="str"/>
      <x:c r="P405" s="12" t="str"/>
    </x:row>
    <x:row r="406">
      <x:c r="A406" s="8" t="str">
        <x:v>ext-crm-fail-045</x:v>
      </x:c>
      <x:c r="B406" s="8" t="str">
        <x:v>synthetic_crm</x:v>
      </x:c>
      <x:c r="C406" s="8" t="str">
        <x:v>data/synthetic/crm/policies.csv</x:v>
      </x:c>
      <x:c r="D406" s="8" t="str">
        <x:v>policy:TEST-RS-2026-1702</x:v>
      </x:c>
      <x:c r="E406" s="8" t="str"/>
      <x:c r="F406" s="10" t="str">
        <x:v>What is the annual premium of this policy?</x:v>
      </x:c>
      <x:c r="G406" s="10" t="str">
        <x:v>Customer: Noah Weber (noah.weber@example.test). Policy number: TEST-RS-2026-1702. Product type: Legal Protection. Coverage type: Standard Coverage. Status: Active. Start date: 2026-05-01. End date: 2027-04-30. Deductible: 200 EUR. Annual premium: 310 EUR.</x:v>
      </x:c>
      <x:c r="H406" s="10" t="str">
        <x:v>The annual premium is 684 EUR.</x:v>
      </x:c>
      <x:c r="I406" s="8" t="str">
        <x:v>legal_protection</x:v>
      </x:c>
      <x:c r="J406" s="8" t="str">
        <x:v>CALIBRATION</x:v>
      </x:c>
      <x:c r="K406" s="10" t="str"/>
      <x:c r="L406" s="12" t="str"/>
      <x:c r="M406" s="12" t="str"/>
      <x:c r="N406" s="12" t="str"/>
      <x:c r="O406" s="12" t="str"/>
      <x:c r="P406" s="12" t="str"/>
    </x:row>
    <x:row r="407">
      <x:c r="A407" s="8" t="str">
        <x:v>ext-crm-fail-046</x:v>
      </x:c>
      <x:c r="B407" s="8" t="str">
        <x:v>synthetic_crm</x:v>
      </x:c>
      <x:c r="C407" s="8" t="str">
        <x:v>data/synthetic/crm/policies.csv</x:v>
      </x:c>
      <x:c r="D407" s="8" t="str">
        <x:v>policy:TEST-HH-2026-1801</x:v>
      </x:c>
      <x:c r="E407" s="8" t="str"/>
      <x:c r="F407" s="10" t="str">
        <x:v>What is the annual premium of this policy?</x:v>
      </x:c>
      <x:c r="G407" s="10" t="str">
        <x:v>Customer: Mila Hartmann (mila.hartmann@example.test). Policy number: TEST-HH-2026-1801. Product type: Household Insurance. Coverage type: Standard Coverage. Status: Pending. Start date: 2026-09-01. End date: 2027-08-31. Deductible: 250 EUR. Annual premium: 225 EUR.</x:v>
      </x:c>
      <x:c r="H407" s="10" t="str">
        <x:v>The annual premium is 684 EUR.</x:v>
      </x:c>
      <x:c r="I407" s="8" t="str">
        <x:v>household</x:v>
      </x:c>
      <x:c r="J407" s="8" t="str">
        <x:v>CALIBRATION</x:v>
      </x:c>
      <x:c r="K407" s="10" t="str"/>
      <x:c r="L407" s="12" t="str"/>
      <x:c r="M407" s="12" t="str"/>
      <x:c r="N407" s="12" t="str"/>
      <x:c r="O407" s="12" t="str"/>
      <x:c r="P407" s="12" t="str"/>
    </x:row>
    <x:row r="408">
      <x:c r="A408" s="8" t="str">
        <x:v>ext-crm-fail-047</x:v>
      </x:c>
      <x:c r="B408" s="8" t="str">
        <x:v>synthetic_crm</x:v>
      </x:c>
      <x:c r="C408" s="8" t="str">
        <x:v>data/synthetic/crm/policies.csv</x:v>
      </x:c>
      <x:c r="D408" s="8" t="str">
        <x:v>policy:TEST-KFZ-2026-1901</x:v>
      </x:c>
      <x:c r="E408" s="8" t="str"/>
      <x:c r="F408" s="10" t="str">
        <x:v>What is the annual premium of this policy?</x:v>
      </x:c>
      <x:c r="G408" s="10" t="str">
        <x:v>Customer: Leon Becker (leon.becker@example.test). Policy number: TEST-KFZ-2026-1901. Product type: Motor Insurance. Coverage type: Comprehensive Coverage. Status: Active. Start date: 2026-06-01. End date: 2027-05-31. Deductible: 500 EUR. Annual premium: 1290 EUR.</x:v>
      </x:c>
      <x:c r="H408" s="10" t="str">
        <x:v>The annual premium is 684 EUR.</x:v>
      </x:c>
      <x:c r="I408" s="8" t="str">
        <x:v>motor</x:v>
      </x:c>
      <x:c r="J408" s="8" t="str">
        <x:v>CALIBRATION</x:v>
      </x:c>
      <x:c r="K408" s="10" t="str"/>
      <x:c r="L408" s="12" t="str"/>
      <x:c r="M408" s="12" t="str"/>
      <x:c r="N408" s="12" t="str"/>
      <x:c r="O408" s="12" t="str"/>
      <x:c r="P408" s="12" t="str"/>
    </x:row>
    <x:row r="409">
      <x:c r="A409" s="8" t="str">
        <x:v>ext-crm-fail-048</x:v>
      </x:c>
      <x:c r="B409" s="8" t="str">
        <x:v>synthetic_crm</x:v>
      </x:c>
      <x:c r="C409" s="8" t="str">
        <x:v>data/synthetic/crm/policies.csv</x:v>
      </x:c>
      <x:c r="D409" s="8" t="str">
        <x:v>policy:TEST-PHV-2026-1902</x:v>
      </x:c>
      <x:c r="E409" s="8" t="str"/>
      <x:c r="F409" s="10" t="str">
        <x:v>What is the annual premium of this policy?</x:v>
      </x:c>
      <x:c r="G409" s="10" t="str">
        <x:v>Customer: Leon Becker (leon.becker@example.test). Policy number: TEST-PHV-2026-1902. Product type: Personal Liability. Coverage type: Liability. Status: Active. Start date: 2026-06-01. End date: 2027-05-31. Deductible: 0 EUR. Annual premium: 108 EUR.</x:v>
      </x:c>
      <x:c r="H409" s="10" t="str">
        <x:v>The annual premium is 684 EUR.</x:v>
      </x:c>
      <x:c r="I409" s="8" t="str">
        <x:v>liability</x:v>
      </x:c>
      <x:c r="J409" s="8" t="str">
        <x:v>CALIBRATION</x:v>
      </x:c>
      <x:c r="K409" s="10" t="str"/>
      <x:c r="L409" s="12" t="str"/>
      <x:c r="M409" s="12" t="str"/>
      <x:c r="N409" s="12" t="str"/>
      <x:c r="O409" s="12" t="str"/>
      <x:c r="P409" s="12" t="str"/>
    </x:row>
    <x:row r="410">
      <x:c r="A410" s="8" t="str">
        <x:v>ext-crm-fail-049</x:v>
      </x:c>
      <x:c r="B410" s="8" t="str">
        <x:v>synthetic_crm</x:v>
      </x:c>
      <x:c r="C410" s="8" t="str">
        <x:v>data/synthetic/crm/policies.csv</x:v>
      </x:c>
      <x:c r="D410" s="8" t="str">
        <x:v>policy:TEST-KFZ-2026-1001</x:v>
      </x:c>
      <x:c r="E410" s="8" t="str"/>
      <x:c r="F410" s="10" t="str">
        <x:v>What is the annual premium of this policy?</x:v>
      </x:c>
      <x:c r="G410" s="10" t="str">
        <x:v>Customer: Lara Neumann (lara.neumann@example.test). Policy number: TEST-KFZ-2026-1001. Product type: Motor Insurance. Coverage type: Partial Coverage. Status: Active. Start date: 2026-01-01. End date: 2026-12-31. Deductible: 150 EUR. Annual premium: 684 EUR.</x:v>
      </x:c>
      <x:c r="H410" s="10" t="str">
        <x:v>The annual premium is 96 EUR.</x:v>
      </x:c>
      <x:c r="I410" s="8" t="str">
        <x:v>motor</x:v>
      </x:c>
      <x:c r="J410" s="8" t="str">
        <x:v>CALIBRATION</x:v>
      </x:c>
      <x:c r="K410" s="10" t="str"/>
      <x:c r="L410" s="12" t="str"/>
      <x:c r="M410" s="12" t="str"/>
      <x:c r="N410" s="12" t="str"/>
      <x:c r="O410" s="12" t="str"/>
      <x:c r="P410" s="12" t="str"/>
    </x:row>
    <x:row r="411">
      <x:c r="A411" s="8" t="str">
        <x:v>ext-crm-fail-050</x:v>
      </x:c>
      <x:c r="B411" s="8" t="str">
        <x:v>synthetic_crm</x:v>
      </x:c>
      <x:c r="C411" s="8" t="str">
        <x:v>data/synthetic/crm/policies.csv</x:v>
      </x:c>
      <x:c r="D411" s="8" t="str">
        <x:v>policy:TEST-PHV-2026-1002</x:v>
      </x:c>
      <x:c r="E411" s="8" t="str"/>
      <x:c r="F411" s="10" t="str">
        <x:v>What is the annual premium of this policy?</x:v>
      </x:c>
      <x:c r="G411" s="10" t="str">
        <x:v>Customer: Lara Neumann (lara.neumann@example.test). Policy number: TEST-PHV-2026-1002. Product type: Personal Liability. Coverage type: Liability. Status: Active. Start date: 2026-01-01. End date: 2026-12-31. Deductible: 0 EUR. Annual premium: 96 EUR.</x:v>
      </x:c>
      <x:c r="H411" s="10" t="str">
        <x:v>The annual premium is 684 EUR.</x:v>
      </x:c>
      <x:c r="I411" s="8" t="str">
        <x:v>liability</x:v>
      </x:c>
      <x:c r="J411" s="8" t="str">
        <x:v>CALIBRATION</x:v>
      </x:c>
      <x:c r="K411" s="10" t="str"/>
      <x:c r="L411" s="12" t="str"/>
      <x:c r="M411" s="12" t="str"/>
      <x:c r="N411" s="12" t="str"/>
      <x:c r="O411" s="12" t="str"/>
      <x:c r="P411" s="12" t="str"/>
    </x:row>
    <x:row r="412">
      <x:c r="A412" s="8" t="str">
        <x:v>ext-crm-fail-051</x:v>
      </x:c>
      <x:c r="B412" s="8" t="str">
        <x:v>synthetic_crm</x:v>
      </x:c>
      <x:c r="C412" s="8" t="str">
        <x:v>data/synthetic/crm/policies.csv</x:v>
      </x:c>
      <x:c r="D412" s="8" t="str">
        <x:v>policy:TEST-KFZ-2026-1003</x:v>
      </x:c>
      <x:c r="E412" s="8" t="str"/>
      <x:c r="F412" s="10" t="str">
        <x:v>What coverage type applies to this policy?</x:v>
      </x:c>
      <x:c r="G412" s="10" t="str">
        <x:v>Customer: Lara Neumann (lara.neumann@example.test). Policy number: TEST-KFZ-2026-1003. Product type: Motor Insurance. Coverage type: Partial Coverage. Status: Active. Start date: 2026-07-01. End date: 2027-06-30. Deductible: 300 EUR. Annual premium: 720 EUR.</x:v>
      </x:c>
      <x:c r="H412" s="10" t="str">
        <x:v>The coverage type is Liability.</x:v>
      </x:c>
      <x:c r="I412" s="8" t="str">
        <x:v>motor</x:v>
      </x:c>
      <x:c r="J412" s="8" t="str">
        <x:v>CALIBRATION</x:v>
      </x:c>
      <x:c r="K412" s="10" t="str"/>
      <x:c r="L412" s="12" t="str"/>
      <x:c r="M412" s="12" t="str"/>
      <x:c r="N412" s="12" t="str"/>
      <x:c r="O412" s="12" t="str"/>
      <x:c r="P412" s="12" t="str"/>
    </x:row>
    <x:row r="413">
      <x:c r="A413" s="8" t="str">
        <x:v>ext-crm-fail-052</x:v>
      </x:c>
      <x:c r="B413" s="8" t="str">
        <x:v>synthetic_crm</x:v>
      </x:c>
      <x:c r="C413" s="8" t="str">
        <x:v>data/synthetic/crm/policies.csv</x:v>
      </x:c>
      <x:c r="D413" s="8" t="str">
        <x:v>policy:TEST-KFZ-2026-1101</x:v>
      </x:c>
      <x:c r="E413" s="8" t="str"/>
      <x:c r="F413" s="10" t="str">
        <x:v>What coverage type applies to this policy?</x:v>
      </x:c>
      <x:c r="G413" s="10" t="str">
        <x:v>Customer: Oliver Brandt (oliver.brandt@example.test). Policy number: TEST-KFZ-2026-1101. Product type: Motor Insurance. Coverage type: Comprehensive Coverage. Status: Active. Start date: 2026-02-01. End date: 2027-01-31. Deductible: 300 EUR. Annual premium: 1120 EUR.</x:v>
      </x:c>
      <x:c r="H413" s="10" t="str">
        <x:v>The coverage type is Partial Coverage.</x:v>
      </x:c>
      <x:c r="I413" s="8" t="str">
        <x:v>motor</x:v>
      </x:c>
      <x:c r="J413" s="8" t="str">
        <x:v>CALIBRATION</x:v>
      </x:c>
      <x:c r="K413" s="10" t="str"/>
      <x:c r="L413" s="12" t="str"/>
      <x:c r="M413" s="12" t="str"/>
      <x:c r="N413" s="12" t="str"/>
      <x:c r="O413" s="12" t="str"/>
      <x:c r="P413" s="12" t="str"/>
    </x:row>
    <x:row r="414">
      <x:c r="A414" s="8" t="str">
        <x:v>ext-crm-fail-053</x:v>
      </x:c>
      <x:c r="B414" s="8" t="str">
        <x:v>synthetic_crm</x:v>
      </x:c>
      <x:c r="C414" s="8" t="str">
        <x:v>data/synthetic/crm/policies.csv</x:v>
      </x:c>
      <x:c r="D414" s="8" t="str">
        <x:v>policy:TEST-HH-2026-1201</x:v>
      </x:c>
      <x:c r="E414" s="8" t="str"/>
      <x:c r="F414" s="10" t="str">
        <x:v>What coverage type applies to this policy?</x:v>
      </x:c>
      <x:c r="G414" s="10" t="str">
        <x:v>Customer: Sophie Keller (sophie.keller@example.test). Policy number: TEST-HH-2026-1201. Product type: Household Insurance. Coverage type: Standard Coverage. Status: Active. Start date: 2026-01-15. End date: 2027-01-14. Deductible: 250 EUR. Annual premium: 210 EUR.</x:v>
      </x:c>
      <x:c r="H414" s="10" t="str">
        <x:v>The coverage type is Partial Coverage.</x:v>
      </x:c>
      <x:c r="I414" s="8" t="str">
        <x:v>household</x:v>
      </x:c>
      <x:c r="J414" s="8" t="str">
        <x:v>CALIBRATION</x:v>
      </x:c>
      <x:c r="K414" s="10" t="str"/>
      <x:c r="L414" s="12" t="str"/>
      <x:c r="M414" s="12" t="str"/>
      <x:c r="N414" s="12" t="str"/>
      <x:c r="O414" s="12" t="str"/>
      <x:c r="P414" s="12" t="str"/>
    </x:row>
    <x:row r="415">
      <x:c r="A415" s="8" t="str">
        <x:v>ext-crm-fail-054</x:v>
      </x:c>
      <x:c r="B415" s="8" t="str">
        <x:v>synthetic_crm</x:v>
      </x:c>
      <x:c r="C415" s="8" t="str">
        <x:v>data/synthetic/crm/policies.csv</x:v>
      </x:c>
      <x:c r="D415" s="8" t="str">
        <x:v>policy:TEST-RS-2026-1202</x:v>
      </x:c>
      <x:c r="E415" s="8" t="str"/>
      <x:c r="F415" s="10" t="str">
        <x:v>What coverage type applies to this policy?</x:v>
      </x:c>
      <x:c r="G415" s="10" t="str">
        <x:v>Customer: Sophie Keller (sophie.keller@example.test). Policy number: TEST-RS-2026-1202. Product type: Legal Protection. Coverage type: Standard Coverage. Status: Pending. Start date: 2026-08-01. End date: 2027-07-31. Deductible: 150 EUR. Annual premium: 280 EUR.</x:v>
      </x:c>
      <x:c r="H415" s="10" t="str">
        <x:v>The coverage type is Partial Coverage.</x:v>
      </x:c>
      <x:c r="I415" s="8" t="str">
        <x:v>legal_protection</x:v>
      </x:c>
      <x:c r="J415" s="8" t="str">
        <x:v>CALIBRATION</x:v>
      </x:c>
      <x:c r="K415" s="10" t="str"/>
      <x:c r="L415" s="12" t="str"/>
      <x:c r="M415" s="12" t="str"/>
      <x:c r="N415" s="12" t="str"/>
      <x:c r="O415" s="12" t="str"/>
      <x:c r="P415" s="12" t="str"/>
    </x:row>
    <x:row r="416">
      <x:c r="A416" s="8" t="str">
        <x:v>ext-crm-fail-055</x:v>
      </x:c>
      <x:c r="B416" s="8" t="str">
        <x:v>synthetic_crm</x:v>
      </x:c>
      <x:c r="C416" s="8" t="str">
        <x:v>data/synthetic/crm/policies.csv</x:v>
      </x:c>
      <x:c r="D416" s="8" t="str">
        <x:v>policy:TEST-PHV-2025-1301</x:v>
      </x:c>
      <x:c r="E416" s="8" t="str"/>
      <x:c r="F416" s="10" t="str">
        <x:v>What coverage type applies to this policy?</x:v>
      </x:c>
      <x:c r="G416" s="10" t="str">
        <x:v>Customer: Emil Fischer (emil.fischer@example.test). Policy number: TEST-PHV-2025-1301. Product type: Personal Liability. Coverage type: Liability. Status: Expired. Start date: 2025-01-01. End date: 2025-12-31. Deductible: 0 EUR. Annual premium: 84 EUR.</x:v>
      </x:c>
      <x:c r="H416" s="10" t="str">
        <x:v>The coverage type is Partial Coverage.</x:v>
      </x:c>
      <x:c r="I416" s="8" t="str">
        <x:v>liability</x:v>
      </x:c>
      <x:c r="J416" s="8" t="str">
        <x:v>CALIBRATION</x:v>
      </x:c>
      <x:c r="K416" s="10" t="str"/>
      <x:c r="L416" s="12" t="str"/>
      <x:c r="M416" s="12" t="str"/>
      <x:c r="N416" s="12" t="str"/>
      <x:c r="O416" s="12" t="str"/>
      <x:c r="P416" s="12" t="str"/>
    </x:row>
    <x:row r="417">
      <x:c r="A417" s="8" t="str">
        <x:v>ext-crm-fail-056</x:v>
      </x:c>
      <x:c r="B417" s="8" t="str">
        <x:v>synthetic_crm</x:v>
      </x:c>
      <x:c r="C417" s="8" t="str">
        <x:v>data/synthetic/crm/policies.csv</x:v>
      </x:c>
      <x:c r="D417" s="8" t="str">
        <x:v>policy:TEST-KFZ-2026-1401</x:v>
      </x:c>
      <x:c r="E417" s="8" t="str"/>
      <x:c r="F417" s="10" t="str">
        <x:v>What coverage type applies to this policy?</x:v>
      </x:c>
      <x:c r="G417" s="10" t="str">
        <x:v>Customer: Hannah Vogel (hannah.vogel@example.test). Policy number: TEST-KFZ-2026-1401. Product type: Motor Insurance. Coverage type: Liability. Status: Active. Start date: 2026-03-01. End date: 2027-02-28. Deductible: 500 EUR. Annual premium: 520 EUR.</x:v>
      </x:c>
      <x:c r="H417" s="10" t="str">
        <x:v>The coverage type is Partial Coverage.</x:v>
      </x:c>
      <x:c r="I417" s="8" t="str">
        <x:v>motor</x:v>
      </x:c>
      <x:c r="J417" s="8" t="str">
        <x:v>CALIBRATION</x:v>
      </x:c>
      <x:c r="K417" s="10" t="str"/>
      <x:c r="L417" s="12" t="str"/>
      <x:c r="M417" s="12" t="str"/>
      <x:c r="N417" s="12" t="str"/>
      <x:c r="O417" s="12" t="str"/>
      <x:c r="P417" s="12" t="str"/>
    </x:row>
    <x:row r="418">
      <x:c r="A418" s="8" t="str">
        <x:v>ext-crm-fail-057</x:v>
      </x:c>
      <x:c r="B418" s="8" t="str">
        <x:v>synthetic_crm</x:v>
      </x:c>
      <x:c r="C418" s="8" t="str">
        <x:v>data/synthetic/crm/policies.csv</x:v>
      </x:c>
      <x:c r="D418" s="8" t="str">
        <x:v>policy:TEST-HH-2026-1402</x:v>
      </x:c>
      <x:c r="E418" s="8" t="str"/>
      <x:c r="F418" s="10" t="str">
        <x:v>What coverage type applies to this policy?</x:v>
      </x:c>
      <x:c r="G418" s="10" t="str">
        <x:v>Customer: Hannah Vogel (hannah.vogel@example.test). Policy number: TEST-HH-2026-1402. Product type: Household Insurance. Coverage type: Standard Coverage. Status: Active. Start date: 2026-03-01. End date: 2027-02-28. Deductible: 200 EUR. Annual premium: 195 EUR.</x:v>
      </x:c>
      <x:c r="H418" s="10" t="str">
        <x:v>The coverage type is Partial Coverage.</x:v>
      </x:c>
      <x:c r="I418" s="8" t="str">
        <x:v>household</x:v>
      </x:c>
      <x:c r="J418" s="8" t="str">
        <x:v>CALIBRATION</x:v>
      </x:c>
      <x:c r="K418" s="10" t="str"/>
      <x:c r="L418" s="12" t="str"/>
      <x:c r="M418" s="12" t="str"/>
      <x:c r="N418" s="12" t="str"/>
      <x:c r="O418" s="12" t="str"/>
      <x:c r="P418" s="12" t="str"/>
    </x:row>
    <x:row r="419">
      <x:c r="A419" s="8" t="str">
        <x:v>ext-crm-fail-058</x:v>
      </x:c>
      <x:c r="B419" s="8" t="str">
        <x:v>synthetic_crm</x:v>
      </x:c>
      <x:c r="C419" s="8" t="str">
        <x:v>data/synthetic/crm/policies.csv</x:v>
      </x:c>
      <x:c r="D419" s="8" t="str">
        <x:v>policy:TEST-RS-2026-1501</x:v>
      </x:c>
      <x:c r="E419" s="8" t="str"/>
      <x:c r="F419" s="10" t="str">
        <x:v>What coverage type applies to this policy?</x:v>
      </x:c>
      <x:c r="G419" s="10" t="str">
        <x:v>Customer: Jonas Richter (jonas.richter@example.test). Policy number: TEST-RS-2026-1501. Product type: Legal Protection. Coverage type: Standard Coverage. Status: Cancelled. Start date: 2026-01-01. End date: 2026-06-30. Deductible: 150 EUR. Annual premium: 260 EUR.</x:v>
      </x:c>
      <x:c r="H419" s="10" t="str">
        <x:v>The coverage type is Partial Coverage.</x:v>
      </x:c>
      <x:c r="I419" s="8" t="str">
        <x:v>legal_protection</x:v>
      </x:c>
      <x:c r="J419" s="8" t="str">
        <x:v>CALIBRATION</x:v>
      </x:c>
      <x:c r="K419" s="10" t="str"/>
      <x:c r="L419" s="12" t="str"/>
      <x:c r="M419" s="12" t="str"/>
      <x:c r="N419" s="12" t="str"/>
      <x:c r="O419" s="12" t="str"/>
      <x:c r="P419" s="12" t="str"/>
    </x:row>
    <x:row r="420">
      <x:c r="A420" s="8" t="str">
        <x:v>ext-crm-fail-059</x:v>
      </x:c>
      <x:c r="B420" s="8" t="str">
        <x:v>synthetic_crm</x:v>
      </x:c>
      <x:c r="C420" s="8" t="str">
        <x:v>data/synthetic/crm/policies.csv</x:v>
      </x:c>
      <x:c r="D420" s="8" t="str">
        <x:v>policy:TEST-PHV-2026-1601</x:v>
      </x:c>
      <x:c r="E420" s="8" t="str"/>
      <x:c r="F420" s="10" t="str">
        <x:v>What coverage type applies to this policy?</x:v>
      </x:c>
      <x:c r="G420" s="10" t="str">
        <x:v>Customer: Amira Hoffmann (amira.hoffmann@example.test). Policy number: TEST-PHV-2026-1601. Product type: Personal Liability. Coverage type: Liability. Status: Active. Start date: 2026-04-01. End date: 2027-03-31. Deductible: 0 EUR. Annual premium: 102 EUR.</x:v>
      </x:c>
      <x:c r="H420" s="10" t="str">
        <x:v>The coverage type is Partial Coverage.</x:v>
      </x:c>
      <x:c r="I420" s="8" t="str">
        <x:v>liability</x:v>
      </x:c>
      <x:c r="J420" s="8" t="str">
        <x:v>CALIBRATION</x:v>
      </x:c>
      <x:c r="K420" s="10" t="str"/>
      <x:c r="L420" s="12" t="str"/>
      <x:c r="M420" s="12" t="str"/>
      <x:c r="N420" s="12" t="str"/>
      <x:c r="O420" s="12" t="str"/>
      <x:c r="P420" s="12" t="str"/>
    </x:row>
    <x:row r="421">
      <x:c r="A421" s="8" t="str">
        <x:v>ext-crm-fail-060</x:v>
      </x:c>
      <x:c r="B421" s="8" t="str">
        <x:v>synthetic_crm</x:v>
      </x:c>
      <x:c r="C421" s="8" t="str">
        <x:v>data/synthetic/crm/policies.csv</x:v>
      </x:c>
      <x:c r="D421" s="8" t="str">
        <x:v>policy:TEST-KFZ-2026-1701</x:v>
      </x:c>
      <x:c r="E421" s="8" t="str"/>
      <x:c r="F421" s="10" t="str">
        <x:v>What coverage type applies to this policy?</x:v>
      </x:c>
      <x:c r="G421" s="10" t="str">
        <x:v>Customer: Noah Weber (noah.weber@example.test). Policy number: TEST-KFZ-2026-1701. Product type: Motor Insurance. Coverage type: Partial Coverage. Status: Active. Start date: 2026-05-01. End date: 2027-04-30. Deductible: 300 EUR. Annual premium: 735 EUR.</x:v>
      </x:c>
      <x:c r="H421" s="10" t="str">
        <x:v>The coverage type is Liability.</x:v>
      </x:c>
      <x:c r="I421" s="8" t="str">
        <x:v>motor</x:v>
      </x:c>
      <x:c r="J421" s="8" t="str">
        <x:v>CALIBRATION</x:v>
      </x:c>
      <x:c r="K421" s="10" t="str"/>
      <x:c r="L421" s="12" t="str"/>
      <x:c r="M421" s="12" t="str"/>
      <x:c r="N421" s="12" t="str"/>
      <x:c r="O421" s="12" t="str"/>
      <x:c r="P421" s="12" t="str"/>
    </x:row>
    <x:row r="422">
      <x:c r="A422" s="8" t="str">
        <x:v>ext-crm-fail-061</x:v>
      </x:c>
      <x:c r="B422" s="8" t="str">
        <x:v>synthetic_crm</x:v>
      </x:c>
      <x:c r="C422" s="8" t="str">
        <x:v>data/synthetic/crm/policies.csv</x:v>
      </x:c>
      <x:c r="D422" s="8" t="str">
        <x:v>policy:TEST-RS-2026-1702</x:v>
      </x:c>
      <x:c r="E422" s="8" t="str"/>
      <x:c r="F422" s="10" t="str">
        <x:v>What are the start and end dates of this policy?</x:v>
      </x:c>
      <x:c r="G422" s="10" t="str">
        <x:v>Customer: Noah Weber (noah.weber@example.test). Policy number: TEST-RS-2026-1702. Product type: Legal Protection. Coverage type: Standard Coverage. Status: Active. Start date: 2026-05-01. End date: 2027-04-30. Deductible: 200 EUR. Annual premium: 310 EUR.</x:v>
      </x:c>
      <x:c r="H422" s="10" t="str">
        <x:v>The policy runs from 2026-01-01 through 2026-12-31.</x:v>
      </x:c>
      <x:c r="I422" s="8" t="str">
        <x:v>legal_protection</x:v>
      </x:c>
      <x:c r="J422" s="8" t="str">
        <x:v>CALIBRATION</x:v>
      </x:c>
      <x:c r="K422" s="10" t="str"/>
      <x:c r="L422" s="12" t="str"/>
      <x:c r="M422" s="12" t="str"/>
      <x:c r="N422" s="12" t="str"/>
      <x:c r="O422" s="12" t="str"/>
      <x:c r="P422" s="12" t="str"/>
    </x:row>
    <x:row r="423">
      <x:c r="A423" s="8" t="str">
        <x:v>ext-crm-fail-062</x:v>
      </x:c>
      <x:c r="B423" s="8" t="str">
        <x:v>synthetic_crm</x:v>
      </x:c>
      <x:c r="C423" s="8" t="str">
        <x:v>data/synthetic/crm/policies.csv</x:v>
      </x:c>
      <x:c r="D423" s="8" t="str">
        <x:v>policy:TEST-HH-2026-1801</x:v>
      </x:c>
      <x:c r="E423" s="8" t="str"/>
      <x:c r="F423" s="10" t="str">
        <x:v>What are the start and end dates of this policy?</x:v>
      </x:c>
      <x:c r="G423" s="10" t="str">
        <x:v>Customer: Mila Hartmann (mila.hartmann@example.test). Policy number: TEST-HH-2026-1801. Product type: Household Insurance. Coverage type: Standard Coverage. Status: Pending. Start date: 2026-09-01. End date: 2027-08-31. Deductible: 250 EUR. Annual premium: 225 EUR.</x:v>
      </x:c>
      <x:c r="H423" s="10" t="str">
        <x:v>The policy runs from 2026-01-01 through 2026-12-31.</x:v>
      </x:c>
      <x:c r="I423" s="8" t="str">
        <x:v>household</x:v>
      </x:c>
      <x:c r="J423" s="8" t="str">
        <x:v>CALIBRATION</x:v>
      </x:c>
      <x:c r="K423" s="10" t="str"/>
      <x:c r="L423" s="12" t="str"/>
      <x:c r="M423" s="12" t="str"/>
      <x:c r="N423" s="12" t="str"/>
      <x:c r="O423" s="12" t="str"/>
      <x:c r="P423" s="12" t="str"/>
    </x:row>
    <x:row r="424">
      <x:c r="A424" s="8" t="str">
        <x:v>ext-crm-fail-063</x:v>
      </x:c>
      <x:c r="B424" s="8" t="str">
        <x:v>synthetic_crm</x:v>
      </x:c>
      <x:c r="C424" s="8" t="str">
        <x:v>data/synthetic/crm/policies.csv</x:v>
      </x:c>
      <x:c r="D424" s="8" t="str">
        <x:v>policy:TEST-KFZ-2026-1901</x:v>
      </x:c>
      <x:c r="E424" s="8" t="str"/>
      <x:c r="F424" s="10" t="str">
        <x:v>What are the start and end dates of this policy?</x:v>
      </x:c>
      <x:c r="G424" s="10" t="str">
        <x:v>Customer: Leon Becker (leon.becker@example.test). Policy number: TEST-KFZ-2026-1901. Product type: Motor Insurance. Coverage type: Comprehensive Coverage. Status: Active. Start date: 2026-06-01. End date: 2027-05-31. Deductible: 500 EUR. Annual premium: 1290 EUR.</x:v>
      </x:c>
      <x:c r="H424" s="10" t="str">
        <x:v>The policy runs from 2026-01-01 through 2026-12-31.</x:v>
      </x:c>
      <x:c r="I424" s="8" t="str">
        <x:v>motor</x:v>
      </x:c>
      <x:c r="J424" s="8" t="str">
        <x:v>CALIBRATION</x:v>
      </x:c>
      <x:c r="K424" s="10" t="str"/>
      <x:c r="L424" s="12" t="str"/>
      <x:c r="M424" s="12" t="str"/>
      <x:c r="N424" s="12" t="str"/>
      <x:c r="O424" s="12" t="str"/>
      <x:c r="P424" s="12" t="str"/>
    </x:row>
    <x:row r="425">
      <x:c r="A425" s="8" t="str">
        <x:v>ext-crm-fail-064</x:v>
      </x:c>
      <x:c r="B425" s="8" t="str">
        <x:v>synthetic_crm</x:v>
      </x:c>
      <x:c r="C425" s="8" t="str">
        <x:v>data/synthetic/crm/policies.csv</x:v>
      </x:c>
      <x:c r="D425" s="8" t="str">
        <x:v>policy:TEST-PHV-2026-1902</x:v>
      </x:c>
      <x:c r="E425" s="8" t="str"/>
      <x:c r="F425" s="10" t="str">
        <x:v>What are the start and end dates of this policy?</x:v>
      </x:c>
      <x:c r="G425" s="10" t="str">
        <x:v>Customer: Leon Becker (leon.becker@example.test). Policy number: TEST-PHV-2026-1902. Product type: Personal Liability. Coverage type: Liability. Status: Active. Start date: 2026-06-01. End date: 2027-05-31. Deductible: 0 EUR. Annual premium: 108 EUR.</x:v>
      </x:c>
      <x:c r="H425" s="10" t="str">
        <x:v>The policy runs from 2026-01-01 through 2026-12-31.</x:v>
      </x:c>
      <x:c r="I425" s="8" t="str">
        <x:v>liability</x:v>
      </x:c>
      <x:c r="J425" s="8" t="str">
        <x:v>CALIBRATION</x:v>
      </x:c>
      <x:c r="K425" s="10" t="str"/>
      <x:c r="L425" s="12" t="str"/>
      <x:c r="M425" s="12" t="str"/>
      <x:c r="N425" s="12" t="str"/>
      <x:c r="O425" s="12" t="str"/>
      <x:c r="P425" s="12" t="str"/>
    </x:row>
    <x:row r="426">
      <x:c r="A426" s="8" t="str">
        <x:v>ext-crm-fail-065</x:v>
      </x:c>
      <x:c r="B426" s="8" t="str">
        <x:v>synthetic_crm</x:v>
      </x:c>
      <x:c r="C426" s="8" t="str">
        <x:v>data/synthetic/crm/policies.csv</x:v>
      </x:c>
      <x:c r="D426" s="8" t="str">
        <x:v>policy:TEST-KFZ-2026-1001</x:v>
      </x:c>
      <x:c r="E426" s="8" t="str"/>
      <x:c r="F426" s="10" t="str">
        <x:v>What are the start and end dates of this policy?</x:v>
      </x:c>
      <x:c r="G426" s="10" t="str">
        <x:v>Customer: Lara Neumann (lara.neumann@example.test). Policy number: TEST-KFZ-2026-1001. Product type: Motor Insurance. Coverage type: Partial Coverage. Status: Active. Start date: 2026-01-01. End date: 2026-12-31. Deductible: 150 EUR. Annual premium: 684 EUR.</x:v>
      </x:c>
      <x:c r="H426" s="10" t="str">
        <x:v>The policy runs from 2026-07-01 through 2027-06-30.</x:v>
      </x:c>
      <x:c r="I426" s="8" t="str">
        <x:v>motor</x:v>
      </x:c>
      <x:c r="J426" s="8" t="str">
        <x:v>CALIBRATION</x:v>
      </x:c>
      <x:c r="K426" s="10" t="str"/>
      <x:c r="L426" s="12" t="str"/>
      <x:c r="M426" s="12" t="str"/>
      <x:c r="N426" s="12" t="str"/>
      <x:c r="O426" s="12" t="str"/>
      <x:c r="P426" s="12" t="str"/>
    </x:row>
    <x:row r="427">
      <x:c r="A427" s="8" t="str">
        <x:v>ext-crm-fail-066</x:v>
      </x:c>
      <x:c r="B427" s="8" t="str">
        <x:v>synthetic_crm</x:v>
      </x:c>
      <x:c r="C427" s="8" t="str">
        <x:v>data/synthetic/crm/policies.csv</x:v>
      </x:c>
      <x:c r="D427" s="8" t="str">
        <x:v>policy:TEST-PHV-2026-1002</x:v>
      </x:c>
      <x:c r="E427" s="8" t="str"/>
      <x:c r="F427" s="10" t="str">
        <x:v>What are the start and end dates of this policy?</x:v>
      </x:c>
      <x:c r="G427" s="10" t="str">
        <x:v>Customer: Lara Neumann (lara.neumann@example.test). Policy number: TEST-PHV-2026-1002. Product type: Personal Liability. Coverage type: Liability. Status: Active. Start date: 2026-01-01. End date: 2026-12-31. Deductible: 0 EUR. Annual premium: 96 EUR.</x:v>
      </x:c>
      <x:c r="H427" s="10" t="str">
        <x:v>The policy runs from 2026-07-01 through 2027-06-30.</x:v>
      </x:c>
      <x:c r="I427" s="8" t="str">
        <x:v>liability</x:v>
      </x:c>
      <x:c r="J427" s="8" t="str">
        <x:v>CALIBRATION</x:v>
      </x:c>
      <x:c r="K427" s="10" t="str"/>
      <x:c r="L427" s="12" t="str"/>
      <x:c r="M427" s="12" t="str"/>
      <x:c r="N427" s="12" t="str"/>
      <x:c r="O427" s="12" t="str"/>
      <x:c r="P427" s="12" t="str"/>
    </x:row>
    <x:row r="428">
      <x:c r="A428" s="8" t="str">
        <x:v>ext-crm-fail-067</x:v>
      </x:c>
      <x:c r="B428" s="8" t="str">
        <x:v>synthetic_crm</x:v>
      </x:c>
      <x:c r="C428" s="8" t="str">
        <x:v>data/synthetic/crm/policies.csv</x:v>
      </x:c>
      <x:c r="D428" s="8" t="str">
        <x:v>policy:TEST-KFZ-2026-1003</x:v>
      </x:c>
      <x:c r="E428" s="8" t="str"/>
      <x:c r="F428" s="10" t="str">
        <x:v>What are the start and end dates of this policy?</x:v>
      </x:c>
      <x:c r="G428" s="10" t="str">
        <x:v>Customer: Lara Neumann (lara.neumann@example.test). Policy number: TEST-KFZ-2026-1003. Product type: Motor Insurance. Coverage type: Partial Coverage. Status: Active. Start date: 2026-07-01. End date: 2027-06-30. Deductible: 300 EUR. Annual premium: 720 EUR.</x:v>
      </x:c>
      <x:c r="H428" s="10" t="str">
        <x:v>The policy runs from 2026-01-01 through 2026-12-31.</x:v>
      </x:c>
      <x:c r="I428" s="8" t="str">
        <x:v>motor</x:v>
      </x:c>
      <x:c r="J428" s="8" t="str">
        <x:v>CALIBRATION</x:v>
      </x:c>
      <x:c r="K428" s="10" t="str"/>
      <x:c r="L428" s="12" t="str"/>
      <x:c r="M428" s="12" t="str"/>
      <x:c r="N428" s="12" t="str"/>
      <x:c r="O428" s="12" t="str"/>
      <x:c r="P428" s="12" t="str"/>
    </x:row>
    <x:row r="429">
      <x:c r="A429" s="8" t="str">
        <x:v>ext-crm-fail-068</x:v>
      </x:c>
      <x:c r="B429" s="8" t="str">
        <x:v>synthetic_crm</x:v>
      </x:c>
      <x:c r="C429" s="8" t="str">
        <x:v>data/synthetic/crm/policies.csv</x:v>
      </x:c>
      <x:c r="D429" s="8" t="str">
        <x:v>policy:TEST-KFZ-2026-1101</x:v>
      </x:c>
      <x:c r="E429" s="8" t="str"/>
      <x:c r="F429" s="10" t="str">
        <x:v>What are the start and end dates of this policy?</x:v>
      </x:c>
      <x:c r="G429" s="10" t="str">
        <x:v>Customer: Oliver Brandt (oliver.brandt@example.test). Policy number: TEST-KFZ-2026-1101. Product type: Motor Insurance. Coverage type: Comprehensive Coverage. Status: Active. Start date: 2026-02-01. End date: 2027-01-31. Deductible: 300 EUR. Annual premium: 1120 EUR.</x:v>
      </x:c>
      <x:c r="H429" s="10" t="str">
        <x:v>The policy runs from 2026-01-01 through 2026-12-31.</x:v>
      </x:c>
      <x:c r="I429" s="8" t="str">
        <x:v>motor</x:v>
      </x:c>
      <x:c r="J429" s="8" t="str">
        <x:v>CALIBRATION</x:v>
      </x:c>
      <x:c r="K429" s="10" t="str"/>
      <x:c r="L429" s="12" t="str"/>
      <x:c r="M429" s="12" t="str"/>
      <x:c r="N429" s="12" t="str"/>
      <x:c r="O429" s="12" t="str"/>
      <x:c r="P429" s="12" t="str"/>
    </x:row>
    <x:row r="430">
      <x:c r="A430" s="8" t="str">
        <x:v>ext-crm-fail-069</x:v>
      </x:c>
      <x:c r="B430" s="8" t="str">
        <x:v>synthetic_crm</x:v>
      </x:c>
      <x:c r="C430" s="8" t="str">
        <x:v>data/synthetic/crm/policies.csv</x:v>
      </x:c>
      <x:c r="D430" s="8" t="str">
        <x:v>policy:TEST-HH-2026-1201</x:v>
      </x:c>
      <x:c r="E430" s="8" t="str"/>
      <x:c r="F430" s="10" t="str">
        <x:v>What are the start and end dates of this policy?</x:v>
      </x:c>
      <x:c r="G430" s="10" t="str">
        <x:v>Customer: Sophie Keller (sophie.keller@example.test). Policy number: TEST-HH-2026-1201. Product type: Household Insurance. Coverage type: Standard Coverage. Status: Active. Start date: 2026-01-15. End date: 2027-01-14. Deductible: 250 EUR. Annual premium: 210 EUR.</x:v>
      </x:c>
      <x:c r="H430" s="10" t="str">
        <x:v>The policy runs from 2026-01-01 through 2026-12-31.</x:v>
      </x:c>
      <x:c r="I430" s="8" t="str">
        <x:v>household</x:v>
      </x:c>
      <x:c r="J430" s="8" t="str">
        <x:v>CALIBRATION</x:v>
      </x:c>
      <x:c r="K430" s="10" t="str"/>
      <x:c r="L430" s="12" t="str"/>
      <x:c r="M430" s="12" t="str"/>
      <x:c r="N430" s="12" t="str"/>
      <x:c r="O430" s="12" t="str"/>
      <x:c r="P430" s="12" t="str"/>
    </x:row>
    <x:row r="431">
      <x:c r="A431" s="8" t="str">
        <x:v>ext-crm-fail-070</x:v>
      </x:c>
      <x:c r="B431" s="8" t="str">
        <x:v>synthetic_crm</x:v>
      </x:c>
      <x:c r="C431" s="8" t="str">
        <x:v>data/synthetic/crm/policies.csv</x:v>
      </x:c>
      <x:c r="D431" s="8" t="str">
        <x:v>policy:TEST-RS-2026-1202</x:v>
      </x:c>
      <x:c r="E431" s="8" t="str"/>
      <x:c r="F431" s="10" t="str">
        <x:v>What are the start and end dates of this policy?</x:v>
      </x:c>
      <x:c r="G431" s="10" t="str">
        <x:v>Customer: Sophie Keller (sophie.keller@example.test). Policy number: TEST-RS-2026-1202. Product type: Legal Protection. Coverage type: Standard Coverage. Status: Pending. Start date: 2026-08-01. End date: 2027-07-31. Deductible: 150 EUR. Annual premium: 280 EUR.</x:v>
      </x:c>
      <x:c r="H431" s="10" t="str">
        <x:v>The policy runs from 2026-01-01 through 2026-12-31.</x:v>
      </x:c>
      <x:c r="I431" s="8" t="str">
        <x:v>legal_protection</x:v>
      </x:c>
      <x:c r="J431" s="8" t="str">
        <x:v>CALIBRATION</x:v>
      </x:c>
      <x:c r="K431" s="10" t="str"/>
      <x:c r="L431" s="12" t="str"/>
      <x:c r="M431" s="12" t="str"/>
      <x:c r="N431" s="12" t="str"/>
      <x:c r="O431" s="12" t="str"/>
      <x:c r="P431" s="12" t="str"/>
    </x:row>
    <x:row r="432">
      <x:c r="A432" s="8" t="str">
        <x:v>ext-crm-fail-071</x:v>
      </x:c>
      <x:c r="B432" s="8" t="str">
        <x:v>synthetic_crm</x:v>
      </x:c>
      <x:c r="C432" s="8" t="str">
        <x:v>data/synthetic/crm/policies.csv</x:v>
      </x:c>
      <x:c r="D432" s="8" t="str">
        <x:v>policy:TEST-PHV-2025-1301</x:v>
      </x:c>
      <x:c r="E432" s="8" t="str"/>
      <x:c r="F432" s="10" t="str">
        <x:v>Who holds this policy and what is its annual premium?</x:v>
      </x:c>
      <x:c r="G432" s="10" t="str">
        <x:v>Customer: Emil Fischer (emil.fischer@example.test). Policy number: TEST-PHV-2025-1301. Product type: Personal Liability. Coverage type: Liability. Status: Expired. Start date: 2025-01-01. End date: 2025-12-31. Deductible: 0 EUR. Annual premium: 84 EUR.</x:v>
      </x:c>
      <x:c r="H432" s="10" t="str">
        <x:v>Lara Neumann holds it, and the annual premium is 84 EUR.</x:v>
      </x:c>
      <x:c r="I432" s="8" t="str">
        <x:v>liability</x:v>
      </x:c>
      <x:c r="J432" s="8" t="str">
        <x:v>CALIBRATION</x:v>
      </x:c>
      <x:c r="K432" s="10" t="str"/>
      <x:c r="L432" s="12" t="str"/>
      <x:c r="M432" s="12" t="str"/>
      <x:c r="N432" s="12" t="str"/>
      <x:c r="O432" s="12" t="str"/>
      <x:c r="P432" s="12" t="str"/>
    </x:row>
    <x:row r="433">
      <x:c r="A433" s="8" t="str">
        <x:v>ext-crm-fail-072</x:v>
      </x:c>
      <x:c r="B433" s="8" t="str">
        <x:v>synthetic_crm</x:v>
      </x:c>
      <x:c r="C433" s="8" t="str">
        <x:v>data/synthetic/crm/policies.csv</x:v>
      </x:c>
      <x:c r="D433" s="8" t="str">
        <x:v>policy:TEST-KFZ-2026-1401</x:v>
      </x:c>
      <x:c r="E433" s="8" t="str"/>
      <x:c r="F433" s="10" t="str">
        <x:v>Who holds this policy and what is its annual premium?</x:v>
      </x:c>
      <x:c r="G433" s="10" t="str">
        <x:v>Customer: Hannah Vogel (hannah.vogel@example.test). Policy number: TEST-KFZ-2026-1401. Product type: Motor Insurance. Coverage type: Liability. Status: Active. Start date: 2026-03-01. End date: 2027-02-28. Deductible: 500 EUR. Annual premium: 520 EUR.</x:v>
      </x:c>
      <x:c r="H433" s="10" t="str">
        <x:v>Lara Neumann holds it, and the annual premium is 520 EUR.</x:v>
      </x:c>
      <x:c r="I433" s="8" t="str">
        <x:v>motor</x:v>
      </x:c>
      <x:c r="J433" s="8" t="str">
        <x:v>CALIBRATION</x:v>
      </x:c>
      <x:c r="K433" s="10" t="str"/>
      <x:c r="L433" s="12" t="str"/>
      <x:c r="M433" s="12" t="str"/>
      <x:c r="N433" s="12" t="str"/>
      <x:c r="O433" s="12" t="str"/>
      <x:c r="P433" s="12" t="str"/>
    </x:row>
    <x:row r="434">
      <x:c r="A434" s="8" t="str">
        <x:v>ext-crm-fail-073</x:v>
      </x:c>
      <x:c r="B434" s="8" t="str">
        <x:v>synthetic_crm</x:v>
      </x:c>
      <x:c r="C434" s="8" t="str">
        <x:v>data/synthetic/crm/policies.csv</x:v>
      </x:c>
      <x:c r="D434" s="8" t="str">
        <x:v>policy:TEST-HH-2026-1402</x:v>
      </x:c>
      <x:c r="E434" s="8" t="str"/>
      <x:c r="F434" s="10" t="str">
        <x:v>Who holds this policy and what is its annual premium?</x:v>
      </x:c>
      <x:c r="G434" s="10" t="str">
        <x:v>Customer: Hannah Vogel (hannah.vogel@example.test). Policy number: TEST-HH-2026-1402. Product type: Household Insurance. Coverage type: Standard Coverage. Status: Active. Start date: 2026-03-01. End date: 2027-02-28. Deductible: 200 EUR. Annual premium: 195 EUR.</x:v>
      </x:c>
      <x:c r="H434" s="10" t="str">
        <x:v>Lara Neumann holds it, and the annual premium is 195 EUR.</x:v>
      </x:c>
      <x:c r="I434" s="8" t="str">
        <x:v>household</x:v>
      </x:c>
      <x:c r="J434" s="8" t="str">
        <x:v>CALIBRATION</x:v>
      </x:c>
      <x:c r="K434" s="10" t="str"/>
      <x:c r="L434" s="12" t="str"/>
      <x:c r="M434" s="12" t="str"/>
      <x:c r="N434" s="12" t="str"/>
      <x:c r="O434" s="12" t="str"/>
      <x:c r="P434" s="12" t="str"/>
    </x:row>
    <x:row r="435">
      <x:c r="A435" s="8" t="str">
        <x:v>ext-crm-fail-074</x:v>
      </x:c>
      <x:c r="B435" s="8" t="str">
        <x:v>synthetic_crm</x:v>
      </x:c>
      <x:c r="C435" s="8" t="str">
        <x:v>data/synthetic/crm/policies.csv</x:v>
      </x:c>
      <x:c r="D435" s="8" t="str">
        <x:v>policy:TEST-RS-2026-1501</x:v>
      </x:c>
      <x:c r="E435" s="8" t="str"/>
      <x:c r="F435" s="10" t="str">
        <x:v>Who holds this policy and what is its annual premium?</x:v>
      </x:c>
      <x:c r="G435" s="10" t="str">
        <x:v>Customer: Jonas Richter (jonas.richter@example.test). Policy number: TEST-RS-2026-1501. Product type: Legal Protection. Coverage type: Standard Coverage. Status: Cancelled. Start date: 2026-01-01. End date: 2026-06-30. Deductible: 150 EUR. Annual premium: 260 EUR.</x:v>
      </x:c>
      <x:c r="H435" s="10" t="str">
        <x:v>Lara Neumann holds it, and the annual premium is 260 EUR.</x:v>
      </x:c>
      <x:c r="I435" s="8" t="str">
        <x:v>legal_protection</x:v>
      </x:c>
      <x:c r="J435" s="8" t="str">
        <x:v>CALIBRATION</x:v>
      </x:c>
      <x:c r="K435" s="10" t="str"/>
      <x:c r="L435" s="12" t="str"/>
      <x:c r="M435" s="12" t="str"/>
      <x:c r="N435" s="12" t="str"/>
      <x:c r="O435" s="12" t="str"/>
      <x:c r="P435" s="12" t="str"/>
    </x:row>
    <x:row r="436">
      <x:c r="A436" s="8" t="str">
        <x:v>ext-crm-fail-075</x:v>
      </x:c>
      <x:c r="B436" s="8" t="str">
        <x:v>synthetic_crm</x:v>
      </x:c>
      <x:c r="C436" s="8" t="str">
        <x:v>data/synthetic/crm/policies.csv</x:v>
      </x:c>
      <x:c r="D436" s="8" t="str">
        <x:v>policy:TEST-PHV-2026-1601</x:v>
      </x:c>
      <x:c r="E436" s="8" t="str"/>
      <x:c r="F436" s="10" t="str">
        <x:v>Who holds this policy and what is its annual premium?</x:v>
      </x:c>
      <x:c r="G436" s="10" t="str">
        <x:v>Customer: Amira Hoffmann (amira.hoffmann@example.test). Policy number: TEST-PHV-2026-1601. Product type: Personal Liability. Coverage type: Liability. Status: Active. Start date: 2026-04-01. End date: 2027-03-31. Deductible: 0 EUR. Annual premium: 102 EUR.</x:v>
      </x:c>
      <x:c r="H436" s="10" t="str">
        <x:v>Lara Neumann holds it, and the annual premium is 102 EUR.</x:v>
      </x:c>
      <x:c r="I436" s="8" t="str">
        <x:v>liability</x:v>
      </x:c>
      <x:c r="J436" s="8" t="str">
        <x:v>CALIBRATION</x:v>
      </x:c>
      <x:c r="K436" s="10" t="str"/>
      <x:c r="L436" s="12" t="str"/>
      <x:c r="M436" s="12" t="str"/>
      <x:c r="N436" s="12" t="str"/>
      <x:c r="O436" s="12" t="str"/>
      <x:c r="P436" s="12" t="str"/>
    </x:row>
    <x:row r="437">
      <x:c r="A437" s="8" t="str">
        <x:v>ext-crm-fail-076</x:v>
      </x:c>
      <x:c r="B437" s="8" t="str">
        <x:v>synthetic_crm</x:v>
      </x:c>
      <x:c r="C437" s="8" t="str">
        <x:v>data/synthetic/crm/policies.csv</x:v>
      </x:c>
      <x:c r="D437" s="8" t="str">
        <x:v>policy:TEST-KFZ-2026-1701</x:v>
      </x:c>
      <x:c r="E437" s="8" t="str"/>
      <x:c r="F437" s="10" t="str">
        <x:v>Who holds this policy and what is its annual premium?</x:v>
      </x:c>
      <x:c r="G437" s="10" t="str">
        <x:v>Customer: Noah Weber (noah.weber@example.test). Policy number: TEST-KFZ-2026-1701. Product type: Motor Insurance. Coverage type: Partial Coverage. Status: Active. Start date: 2026-05-01. End date: 2027-04-30. Deductible: 300 EUR. Annual premium: 735 EUR.</x:v>
      </x:c>
      <x:c r="H437" s="10" t="str">
        <x:v>Lara Neumann holds it, and the annual premium is 735 EUR.</x:v>
      </x:c>
      <x:c r="I437" s="8" t="str">
        <x:v>motor</x:v>
      </x:c>
      <x:c r="J437" s="8" t="str">
        <x:v>CALIBRATION</x:v>
      </x:c>
      <x:c r="K437" s="10" t="str"/>
      <x:c r="L437" s="12" t="str"/>
      <x:c r="M437" s="12" t="str"/>
      <x:c r="N437" s="12" t="str"/>
      <x:c r="O437" s="12" t="str"/>
      <x:c r="P437" s="12" t="str"/>
    </x:row>
    <x:row r="438">
      <x:c r="A438" s="8" t="str">
        <x:v>ext-crm-fail-077</x:v>
      </x:c>
      <x:c r="B438" s="8" t="str">
        <x:v>synthetic_crm</x:v>
      </x:c>
      <x:c r="C438" s="8" t="str">
        <x:v>data/synthetic/crm/policies.csv</x:v>
      </x:c>
      <x:c r="D438" s="8" t="str">
        <x:v>policy:TEST-RS-2026-1702</x:v>
      </x:c>
      <x:c r="E438" s="8" t="str"/>
      <x:c r="F438" s="10" t="str">
        <x:v>Who holds this policy and what is its annual premium?</x:v>
      </x:c>
      <x:c r="G438" s="10" t="str">
        <x:v>Customer: Noah Weber (noah.weber@example.test). Policy number: TEST-RS-2026-1702. Product type: Legal Protection. Coverage type: Standard Coverage. Status: Active. Start date: 2026-05-01. End date: 2027-04-30. Deductible: 200 EUR. Annual premium: 310 EUR.</x:v>
      </x:c>
      <x:c r="H438" s="10" t="str">
        <x:v>Lara Neumann holds it, and the annual premium is 310 EUR.</x:v>
      </x:c>
      <x:c r="I438" s="8" t="str">
        <x:v>legal_protection</x:v>
      </x:c>
      <x:c r="J438" s="8" t="str">
        <x:v>CALIBRATION</x:v>
      </x:c>
      <x:c r="K438" s="10" t="str"/>
      <x:c r="L438" s="12" t="str"/>
      <x:c r="M438" s="12" t="str"/>
      <x:c r="N438" s="12" t="str"/>
      <x:c r="O438" s="12" t="str"/>
      <x:c r="P438" s="12" t="str"/>
    </x:row>
    <x:row r="439">
      <x:c r="A439" s="8" t="str">
        <x:v>ext-crm-fail-078</x:v>
      </x:c>
      <x:c r="B439" s="8" t="str">
        <x:v>synthetic_crm</x:v>
      </x:c>
      <x:c r="C439" s="8" t="str">
        <x:v>data/synthetic/crm/policies.csv</x:v>
      </x:c>
      <x:c r="D439" s="8" t="str">
        <x:v>policy:TEST-HH-2026-1801</x:v>
      </x:c>
      <x:c r="E439" s="8" t="str"/>
      <x:c r="F439" s="10" t="str">
        <x:v>Who holds this policy and what is its annual premium?</x:v>
      </x:c>
      <x:c r="G439" s="10" t="str">
        <x:v>Customer: Mila Hartmann (mila.hartmann@example.test). Policy number: TEST-HH-2026-1801. Product type: Household Insurance. Coverage type: Standard Coverage. Status: Pending. Start date: 2026-09-01. End date: 2027-08-31. Deductible: 250 EUR. Annual premium: 225 EUR.</x:v>
      </x:c>
      <x:c r="H439" s="10" t="str">
        <x:v>Lara Neumann holds it, and the annual premium is 225 EUR.</x:v>
      </x:c>
      <x:c r="I439" s="8" t="str">
        <x:v>household</x:v>
      </x:c>
      <x:c r="J439" s="8" t="str">
        <x:v>CALIBRATION</x:v>
      </x:c>
      <x:c r="K439" s="10" t="str"/>
      <x:c r="L439" s="12" t="str"/>
      <x:c r="M439" s="12" t="str"/>
      <x:c r="N439" s="12" t="str"/>
      <x:c r="O439" s="12" t="str"/>
      <x:c r="P439" s="12" t="str"/>
    </x:row>
    <x:row r="440">
      <x:c r="A440" s="8" t="str">
        <x:v>ext-crm-fail-079</x:v>
      </x:c>
      <x:c r="B440" s="8" t="str">
        <x:v>synthetic_crm</x:v>
      </x:c>
      <x:c r="C440" s="8" t="str">
        <x:v>data/synthetic/crm/policies.csv</x:v>
      </x:c>
      <x:c r="D440" s="8" t="str">
        <x:v>policy:TEST-KFZ-2026-1901</x:v>
      </x:c>
      <x:c r="E440" s="8" t="str"/>
      <x:c r="F440" s="10" t="str">
        <x:v>Who holds this policy and what is its annual premium?</x:v>
      </x:c>
      <x:c r="G440" s="10" t="str">
        <x:v>Customer: Leon Becker (leon.becker@example.test). Policy number: TEST-KFZ-2026-1901. Product type: Motor Insurance. Coverage type: Comprehensive Coverage. Status: Active. Start date: 2026-06-01. End date: 2027-05-31. Deductible: 500 EUR. Annual premium: 1290 EUR.</x:v>
      </x:c>
      <x:c r="H440" s="10" t="str">
        <x:v>Lara Neumann holds it, and the annual premium is 1290 EUR.</x:v>
      </x:c>
      <x:c r="I440" s="8" t="str">
        <x:v>motor</x:v>
      </x:c>
      <x:c r="J440" s="8" t="str">
        <x:v>CALIBRATION</x:v>
      </x:c>
      <x:c r="K440" s="10" t="str"/>
      <x:c r="L440" s="12" t="str"/>
      <x:c r="M440" s="12" t="str"/>
      <x:c r="N440" s="12" t="str"/>
      <x:c r="O440" s="12" t="str"/>
      <x:c r="P440" s="12" t="str"/>
    </x:row>
    <x:row r="441">
      <x:c r="A441" s="8" t="str">
        <x:v>ext-crm-fail-080</x:v>
      </x:c>
      <x:c r="B441" s="8" t="str">
        <x:v>synthetic_crm</x:v>
      </x:c>
      <x:c r="C441" s="8" t="str">
        <x:v>data/synthetic/crm/policies.csv</x:v>
      </x:c>
      <x:c r="D441" s="8" t="str">
        <x:v>policy:TEST-PHV-2026-1902</x:v>
      </x:c>
      <x:c r="E441" s="8" t="str"/>
      <x:c r="F441" s="10" t="str">
        <x:v>Who holds this policy and what is its annual premium?</x:v>
      </x:c>
      <x:c r="G441" s="10" t="str">
        <x:v>Customer: Leon Becker (leon.becker@example.test). Policy number: TEST-PHV-2026-1902. Product type: Personal Liability. Coverage type: Liability. Status: Active. Start date: 2026-06-01. End date: 2027-05-31. Deductible: 0 EUR. Annual premium: 108 EUR.</x:v>
      </x:c>
      <x:c r="H441" s="10" t="str">
        <x:v>Lara Neumann holds it, and the annual premium is 108 EUR.</x:v>
      </x:c>
      <x:c r="I441" s="8" t="str">
        <x:v>liability</x:v>
      </x:c>
      <x:c r="J441" s="8" t="str">
        <x:v>CALIBRATION</x:v>
      </x:c>
      <x:c r="K441" s="10" t="str"/>
      <x:c r="L441" s="12" t="str"/>
      <x:c r="M441" s="12" t="str"/>
      <x:c r="N441" s="12" t="str"/>
      <x:c r="O441" s="12" t="str"/>
      <x:c r="P441" s="12" t="str"/>
    </x:row>
    <x:row r="442">
      <x:c r="A442" s="8" t="str">
        <x:v>ext-crm-fail-081</x:v>
      </x:c>
      <x:c r="B442" s="8" t="str">
        <x:v>synthetic_crm</x:v>
      </x:c>
      <x:c r="C442" s="8" t="str">
        <x:v>data/synthetic/crm/policies.csv</x:v>
      </x:c>
      <x:c r="D442" s="8" t="str">
        <x:v>policy:TEST-KFZ-2026-1001</x:v>
      </x:c>
      <x:c r="E442" s="8" t="str"/>
      <x:c r="F442" s="10" t="str">
        <x:v>Which policy has the annual premium shown in the context?</x:v>
      </x:c>
      <x:c r="G442" s="10" t="str">
        <x:v>Customer: Lara Neumann (lara.neumann@example.test). Policy number: TEST-KFZ-2026-1001. Product type: Motor Insurance. Coverage type: Partial Coverage. Status: Active. Start date: 2026-01-01. End date: 2026-12-31. Deductible: 150 EUR. Annual premium: 684 EUR.</x:v>
      </x:c>
      <x:c r="H442" s="10" t="str">
        <x:v>The annual premium of 684 EUR belongs to policy TEST-PHV-2026-1002.</x:v>
      </x:c>
      <x:c r="I442" s="8" t="str">
        <x:v>motor</x:v>
      </x:c>
      <x:c r="J442" s="8" t="str">
        <x:v>CALIBRATION</x:v>
      </x:c>
      <x:c r="K442" s="10" t="str"/>
      <x:c r="L442" s="12" t="str"/>
      <x:c r="M442" s="12" t="str"/>
      <x:c r="N442" s="12" t="str"/>
      <x:c r="O442" s="12" t="str"/>
      <x:c r="P442" s="12" t="str"/>
    </x:row>
    <x:row r="443">
      <x:c r="A443" s="8" t="str">
        <x:v>ext-crm-fail-082</x:v>
      </x:c>
      <x:c r="B443" s="8" t="str">
        <x:v>synthetic_crm</x:v>
      </x:c>
      <x:c r="C443" s="8" t="str">
        <x:v>data/synthetic/crm/policies.csv</x:v>
      </x:c>
      <x:c r="D443" s="8" t="str">
        <x:v>policy:TEST-PHV-2026-1002</x:v>
      </x:c>
      <x:c r="E443" s="8" t="str"/>
      <x:c r="F443" s="10" t="str">
        <x:v>Which policy has the annual premium shown in the context?</x:v>
      </x:c>
      <x:c r="G443" s="10" t="str">
        <x:v>Customer: Lara Neumann (lara.neumann@example.test). Policy number: TEST-PHV-2026-1002. Product type: Personal Liability. Coverage type: Liability. Status: Active. Start date: 2026-01-01. End date: 2026-12-31. Deductible: 0 EUR. Annual premium: 96 EUR.</x:v>
      </x:c>
      <x:c r="H443" s="10" t="str">
        <x:v>The annual premium of 96 EUR belongs to policy TEST-KFZ-2026-1001.</x:v>
      </x:c>
      <x:c r="I443" s="8" t="str">
        <x:v>liability</x:v>
      </x:c>
      <x:c r="J443" s="8" t="str">
        <x:v>CALIBRATION</x:v>
      </x:c>
      <x:c r="K443" s="10" t="str"/>
      <x:c r="L443" s="12" t="str"/>
      <x:c r="M443" s="12" t="str"/>
      <x:c r="N443" s="12" t="str"/>
      <x:c r="O443" s="12" t="str"/>
      <x:c r="P443" s="12" t="str"/>
    </x:row>
    <x:row r="444">
      <x:c r="A444" s="8" t="str">
        <x:v>ext-crm-fail-083</x:v>
      </x:c>
      <x:c r="B444" s="8" t="str">
        <x:v>synthetic_crm</x:v>
      </x:c>
      <x:c r="C444" s="8" t="str">
        <x:v>data/synthetic/crm/policies.csv</x:v>
      </x:c>
      <x:c r="D444" s="8" t="str">
        <x:v>policy:TEST-KFZ-2026-1003</x:v>
      </x:c>
      <x:c r="E444" s="8" t="str"/>
      <x:c r="F444" s="10" t="str">
        <x:v>Which policy has the annual premium shown in the context?</x:v>
      </x:c>
      <x:c r="G444" s="10" t="str">
        <x:v>Customer: Lara Neumann (lara.neumann@example.test). Policy number: TEST-KFZ-2026-1003. Product type: Motor Insurance. Coverage type: Partial Coverage. Status: Active. Start date: 2026-07-01. End date: 2027-06-30. Deductible: 300 EUR. Annual premium: 720 EUR.</x:v>
      </x:c>
      <x:c r="H444" s="10" t="str">
        <x:v>The annual premium of 720 EUR belongs to policy TEST-KFZ-2026-1001.</x:v>
      </x:c>
      <x:c r="I444" s="8" t="str">
        <x:v>motor</x:v>
      </x:c>
      <x:c r="J444" s="8" t="str">
        <x:v>CALIBRATION</x:v>
      </x:c>
      <x:c r="K444" s="10" t="str"/>
      <x:c r="L444" s="12" t="str"/>
      <x:c r="M444" s="12" t="str"/>
      <x:c r="N444" s="12" t="str"/>
      <x:c r="O444" s="12" t="str"/>
      <x:c r="P444" s="12" t="str"/>
    </x:row>
    <x:row r="445">
      <x:c r="A445" s="8" t="str">
        <x:v>ext-crm-fail-084</x:v>
      </x:c>
      <x:c r="B445" s="8" t="str">
        <x:v>synthetic_crm</x:v>
      </x:c>
      <x:c r="C445" s="8" t="str">
        <x:v>data/synthetic/crm/policies.csv</x:v>
      </x:c>
      <x:c r="D445" s="8" t="str">
        <x:v>policy:TEST-KFZ-2026-1101</x:v>
      </x:c>
      <x:c r="E445" s="8" t="str"/>
      <x:c r="F445" s="10" t="str">
        <x:v>Which policy has the annual premium shown in the context?</x:v>
      </x:c>
      <x:c r="G445" s="10" t="str">
        <x:v>Customer: Oliver Brandt (oliver.brandt@example.test). Policy number: TEST-KFZ-2026-1101. Product type: Motor Insurance. Coverage type: Comprehensive Coverage. Status: Active. Start date: 2026-02-01. End date: 2027-01-31. Deductible: 300 EUR. Annual premium: 1120 EUR.</x:v>
      </x:c>
      <x:c r="H445" s="10" t="str">
        <x:v>The annual premium of 1120 EUR belongs to policy TEST-KFZ-2026-1001.</x:v>
      </x:c>
      <x:c r="I445" s="8" t="str">
        <x:v>motor</x:v>
      </x:c>
      <x:c r="J445" s="8" t="str">
        <x:v>CALIBRATION</x:v>
      </x:c>
      <x:c r="K445" s="10" t="str"/>
      <x:c r="L445" s="12" t="str"/>
      <x:c r="M445" s="12" t="str"/>
      <x:c r="N445" s="12" t="str"/>
      <x:c r="O445" s="12" t="str"/>
      <x:c r="P445" s="12" t="str"/>
    </x:row>
    <x:row r="446">
      <x:c r="A446" s="8" t="str">
        <x:v>ext-crm-fail-085</x:v>
      </x:c>
      <x:c r="B446" s="8" t="str">
        <x:v>synthetic_crm</x:v>
      </x:c>
      <x:c r="C446" s="8" t="str">
        <x:v>data/synthetic/crm/policies.csv</x:v>
      </x:c>
      <x:c r="D446" s="8" t="str">
        <x:v>policy:TEST-HH-2026-1201</x:v>
      </x:c>
      <x:c r="E446" s="8" t="str"/>
      <x:c r="F446" s="10" t="str">
        <x:v>Which policy has the annual premium shown in the context?</x:v>
      </x:c>
      <x:c r="G446" s="10" t="str">
        <x:v>Customer: Sophie Keller (sophie.keller@example.test). Policy number: TEST-HH-2026-1201. Product type: Household Insurance. Coverage type: Standard Coverage. Status: Active. Start date: 2026-01-15. End date: 2027-01-14. Deductible: 250 EUR. Annual premium: 210 EUR.</x:v>
      </x:c>
      <x:c r="H446" s="10" t="str">
        <x:v>The annual premium of 210 EUR belongs to policy TEST-KFZ-2026-1001.</x:v>
      </x:c>
      <x:c r="I446" s="8" t="str">
        <x:v>household</x:v>
      </x:c>
      <x:c r="J446" s="8" t="str">
        <x:v>CALIBRATION</x:v>
      </x:c>
      <x:c r="K446" s="10" t="str"/>
      <x:c r="L446" s="12" t="str"/>
      <x:c r="M446" s="12" t="str"/>
      <x:c r="N446" s="12" t="str"/>
      <x:c r="O446" s="12" t="str"/>
      <x:c r="P446" s="12" t="str"/>
    </x:row>
    <x:row r="447">
      <x:c r="A447" s="8" t="str">
        <x:v>ext-crm-fail-086</x:v>
      </x:c>
      <x:c r="B447" s="8" t="str">
        <x:v>synthetic_crm</x:v>
      </x:c>
      <x:c r="C447" s="8" t="str">
        <x:v>data/synthetic/crm/policies.csv</x:v>
      </x:c>
      <x:c r="D447" s="8" t="str">
        <x:v>policy:TEST-RS-2026-1202</x:v>
      </x:c>
      <x:c r="E447" s="8" t="str"/>
      <x:c r="F447" s="10" t="str">
        <x:v>Which policy has the annual premium shown in the context?</x:v>
      </x:c>
      <x:c r="G447" s="10" t="str">
        <x:v>Customer: Sophie Keller (sophie.keller@example.test). Policy number: TEST-RS-2026-1202. Product type: Legal Protection. Coverage type: Standard Coverage. Status: Pending. Start date: 2026-08-01. End date: 2027-07-31. Deductible: 150 EUR. Annual premium: 280 EUR.</x:v>
      </x:c>
      <x:c r="H447" s="10" t="str">
        <x:v>The annual premium of 280 EUR belongs to policy TEST-KFZ-2026-1001.</x:v>
      </x:c>
      <x:c r="I447" s="8" t="str">
        <x:v>legal_protection</x:v>
      </x:c>
      <x:c r="J447" s="8" t="str">
        <x:v>CALIBRATION</x:v>
      </x:c>
      <x:c r="K447" s="10" t="str"/>
      <x:c r="L447" s="12" t="str"/>
      <x:c r="M447" s="12" t="str"/>
      <x:c r="N447" s="12" t="str"/>
      <x:c r="O447" s="12" t="str"/>
      <x:c r="P447" s="12" t="str"/>
    </x:row>
    <x:row r="448">
      <x:c r="A448" s="8" t="str">
        <x:v>ext-crm-fail-087</x:v>
      </x:c>
      <x:c r="B448" s="8" t="str">
        <x:v>synthetic_crm</x:v>
      </x:c>
      <x:c r="C448" s="8" t="str">
        <x:v>data/synthetic/crm/policies.csv</x:v>
      </x:c>
      <x:c r="D448" s="8" t="str">
        <x:v>policy:TEST-PHV-2025-1301</x:v>
      </x:c>
      <x:c r="E448" s="8" t="str"/>
      <x:c r="F448" s="10" t="str">
        <x:v>Which policy has the annual premium shown in the context?</x:v>
      </x:c>
      <x:c r="G448" s="10" t="str">
        <x:v>Customer: Emil Fischer (emil.fischer@example.test). Policy number: TEST-PHV-2025-1301. Product type: Personal Liability. Coverage type: Liability. Status: Expired. Start date: 2025-01-01. End date: 2025-12-31. Deductible: 0 EUR. Annual premium: 84 EUR.</x:v>
      </x:c>
      <x:c r="H448" s="10" t="str">
        <x:v>The annual premium of 84 EUR belongs to policy TEST-KFZ-2026-1001.</x:v>
      </x:c>
      <x:c r="I448" s="8" t="str">
        <x:v>liability</x:v>
      </x:c>
      <x:c r="J448" s="8" t="str">
        <x:v>CALIBRATION</x:v>
      </x:c>
      <x:c r="K448" s="10" t="str"/>
      <x:c r="L448" s="12" t="str"/>
      <x:c r="M448" s="12" t="str"/>
      <x:c r="N448" s="12" t="str"/>
      <x:c r="O448" s="12" t="str"/>
      <x:c r="P448" s="12" t="str"/>
    </x:row>
    <x:row r="449">
      <x:c r="A449" s="8" t="str">
        <x:v>ext-crm-fail-088</x:v>
      </x:c>
      <x:c r="B449" s="8" t="str">
        <x:v>synthetic_crm</x:v>
      </x:c>
      <x:c r="C449" s="8" t="str">
        <x:v>data/synthetic/crm/policies.csv</x:v>
      </x:c>
      <x:c r="D449" s="8" t="str">
        <x:v>policy:TEST-KFZ-2026-1401</x:v>
      </x:c>
      <x:c r="E449" s="8" t="str"/>
      <x:c r="F449" s="10" t="str">
        <x:v>Which policy has the annual premium shown in the context?</x:v>
      </x:c>
      <x:c r="G449" s="10" t="str">
        <x:v>Customer: Hannah Vogel (hannah.vogel@example.test). Policy number: TEST-KFZ-2026-1401. Product type: Motor Insurance. Coverage type: Liability. Status: Active. Start date: 2026-03-01. End date: 2027-02-28. Deductible: 500 EUR. Annual premium: 520 EUR.</x:v>
      </x:c>
      <x:c r="H449" s="10" t="str">
        <x:v>The annual premium of 520 EUR belongs to policy TEST-KFZ-2026-1001.</x:v>
      </x:c>
      <x:c r="I449" s="8" t="str">
        <x:v>motor</x:v>
      </x:c>
      <x:c r="J449" s="8" t="str">
        <x:v>CALIBRATION</x:v>
      </x:c>
      <x:c r="K449" s="10" t="str"/>
      <x:c r="L449" s="12" t="str"/>
      <x:c r="M449" s="12" t="str"/>
      <x:c r="N449" s="12" t="str"/>
      <x:c r="O449" s="12" t="str"/>
      <x:c r="P449" s="12" t="str"/>
    </x:row>
    <x:row r="450">
      <x:c r="A450" s="8" t="str">
        <x:v>ext-crm-fail-089</x:v>
      </x:c>
      <x:c r="B450" s="8" t="str">
        <x:v>synthetic_crm</x:v>
      </x:c>
      <x:c r="C450" s="8" t="str">
        <x:v>data/synthetic/crm/policies.csv</x:v>
      </x:c>
      <x:c r="D450" s="8" t="str">
        <x:v>policy:TEST-HH-2026-1402</x:v>
      </x:c>
      <x:c r="E450" s="8" t="str"/>
      <x:c r="F450" s="10" t="str">
        <x:v>Which policy has the annual premium shown in the context?</x:v>
      </x:c>
      <x:c r="G450" s="10" t="str">
        <x:v>Customer: Hannah Vogel (hannah.vogel@example.test). Policy number: TEST-HH-2026-1402. Product type: Household Insurance. Coverage type: Standard Coverage. Status: Active. Start date: 2026-03-01. End date: 2027-02-28. Deductible: 200 EUR. Annual premium: 195 EUR.</x:v>
      </x:c>
      <x:c r="H450" s="10" t="str">
        <x:v>The annual premium of 195 EUR belongs to policy TEST-KFZ-2026-1001.</x:v>
      </x:c>
      <x:c r="I450" s="8" t="str">
        <x:v>household</x:v>
      </x:c>
      <x:c r="J450" s="8" t="str">
        <x:v>CALIBRATION</x:v>
      </x:c>
      <x:c r="K450" s="10" t="str"/>
      <x:c r="L450" s="12" t="str"/>
      <x:c r="M450" s="12" t="str"/>
      <x:c r="N450" s="12" t="str"/>
      <x:c r="O450" s="12" t="str"/>
      <x:c r="P450" s="12" t="str"/>
    </x:row>
    <x:row r="451">
      <x:c r="A451" s="8" t="str">
        <x:v>ext-crm-fail-090</x:v>
      </x:c>
      <x:c r="B451" s="8" t="str">
        <x:v>synthetic_crm</x:v>
      </x:c>
      <x:c r="C451" s="8" t="str">
        <x:v>data/synthetic/crm/policies.csv</x:v>
      </x:c>
      <x:c r="D451" s="8" t="str">
        <x:v>policy:TEST-RS-2026-1501</x:v>
      </x:c>
      <x:c r="E451" s="8" t="str"/>
      <x:c r="F451" s="10" t="str">
        <x:v>Which policy has the annual premium shown in the context?</x:v>
      </x:c>
      <x:c r="G451" s="10" t="str">
        <x:v>Customer: Jonas Richter (jonas.richter@example.test). Policy number: TEST-RS-2026-1501. Product type: Legal Protection. Coverage type: Standard Coverage. Status: Cancelled. Start date: 2026-01-01. End date: 2026-06-30. Deductible: 150 EUR. Annual premium: 260 EUR.</x:v>
      </x:c>
      <x:c r="H451" s="10" t="str">
        <x:v>The annual premium of 260 EUR belongs to policy TEST-KFZ-2026-1001.</x:v>
      </x:c>
      <x:c r="I451" s="8" t="str">
        <x:v>legal_protection</x:v>
      </x:c>
      <x:c r="J451" s="8" t="str">
        <x:v>CALIBRATION</x:v>
      </x:c>
      <x:c r="K451" s="10" t="str"/>
      <x:c r="L451" s="12" t="str"/>
      <x:c r="M451" s="12" t="str"/>
      <x:c r="N451" s="12" t="str"/>
      <x:c r="O451" s="12" t="str"/>
      <x:c r="P451" s="12" t="str"/>
    </x:row>
    <x:row r="452">
      <x:c r="A452" s="8" t="str">
        <x:v>ext-crm-fail-091</x:v>
      </x:c>
      <x:c r="B452" s="8" t="str">
        <x:v>synthetic_crm</x:v>
      </x:c>
      <x:c r="C452" s="8" t="str">
        <x:v>data/synthetic/crm/policies.csv</x:v>
      </x:c>
      <x:c r="D452" s="8" t="str">
        <x:v>customer:lara.neumann@example.test</x:v>
      </x:c>
      <x:c r="E452" s="8" t="str"/>
      <x:c r="F452" s="10" t="str">
        <x:v>As of 2026-08-01, what is Lara Neumann's current motor policy and its applicable details?</x:v>
      </x:c>
      <x:c r="G452"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2" s="10" t="str">
        <x:v>Lara Neumann's current motor policy is TEST-KFZ-2026-1001 with a 150 EUR deductible and a 684 EUR annual premium.</x:v>
      </x:c>
      <x:c r="I452" s="8" t="str">
        <x:v>motor</x:v>
      </x:c>
      <x:c r="J452" s="8" t="str">
        <x:v>CALIBRATION</x:v>
      </x:c>
      <x:c r="K452" s="10" t="str">
        <x:v>exact_duplicate_triplet</x:v>
      </x:c>
      <x:c r="L452" s="12" t="str"/>
      <x:c r="M452" s="12" t="str"/>
      <x:c r="N452" s="12" t="str"/>
      <x:c r="O452" s="12" t="str"/>
      <x:c r="P452" s="12" t="str"/>
    </x:row>
    <x:row r="453">
      <x:c r="A453" s="8" t="str">
        <x:v>ext-crm-fail-092</x:v>
      </x:c>
      <x:c r="B453" s="8" t="str">
        <x:v>synthetic_crm</x:v>
      </x:c>
      <x:c r="C453" s="8" t="str">
        <x:v>data/synthetic/crm/policies.csv</x:v>
      </x:c>
      <x:c r="D453" s="8" t="str">
        <x:v>customer:lara.neumann@example.test</x:v>
      </x:c>
      <x:c r="E453" s="8" t="str"/>
      <x:c r="F453" s="10" t="str">
        <x:v>As of 2026-08-01, what is Lara Neumann's current motor policy and its applicable details?</x:v>
      </x:c>
      <x:c r="G453"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3" s="10" t="str">
        <x:v>The current motor contract is TEST-KFZ-2026-1001.</x:v>
      </x:c>
      <x:c r="I453" s="8" t="str">
        <x:v>motor</x:v>
      </x:c>
      <x:c r="J453" s="8" t="str">
        <x:v>CALIBRATION</x:v>
      </x:c>
      <x:c r="K453" s="10" t="str">
        <x:v>exact_duplicate_triplet</x:v>
      </x:c>
      <x:c r="L453" s="12" t="str"/>
      <x:c r="M453" s="12" t="str"/>
      <x:c r="N453" s="12" t="str"/>
      <x:c r="O453" s="12" t="str"/>
      <x:c r="P453" s="12" t="str"/>
    </x:row>
    <x:row r="454">
      <x:c r="A454" s="8" t="str">
        <x:v>ext-crm-fail-093</x:v>
      </x:c>
      <x:c r="B454" s="8" t="str">
        <x:v>synthetic_crm</x:v>
      </x:c>
      <x:c r="C454" s="8" t="str">
        <x:v>data/synthetic/crm/policies.csv</x:v>
      </x:c>
      <x:c r="D454" s="8" t="str">
        <x:v>customer:lara.neumann@example.test</x:v>
      </x:c>
      <x:c r="E454" s="8" t="str"/>
      <x:c r="F454" s="10" t="str">
        <x:v>As of 2026-08-01, what is Lara Neumann's current motor policy and its applicable details?</x:v>
      </x:c>
      <x:c r="G454"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4" s="10" t="str">
        <x:v>The deductible of Lara Neumann's current motor policy is 150 EUR.</x:v>
      </x:c>
      <x:c r="I454" s="8" t="str">
        <x:v>motor</x:v>
      </x:c>
      <x:c r="J454" s="8" t="str">
        <x:v>CALIBRATION</x:v>
      </x:c>
      <x:c r="K454" s="10" t="str">
        <x:v>exact_duplicate_triplet</x:v>
      </x:c>
      <x:c r="L454" s="12" t="str"/>
      <x:c r="M454" s="12" t="str"/>
      <x:c r="N454" s="12" t="str"/>
      <x:c r="O454" s="12" t="str"/>
      <x:c r="P454" s="12" t="str"/>
    </x:row>
    <x:row r="455">
      <x:c r="A455" s="8" t="str">
        <x:v>ext-crm-fail-094</x:v>
      </x:c>
      <x:c r="B455" s="8" t="str">
        <x:v>synthetic_crm</x:v>
      </x:c>
      <x:c r="C455" s="8" t="str">
        <x:v>data/synthetic/crm/policies.csv</x:v>
      </x:c>
      <x:c r="D455" s="8" t="str">
        <x:v>customer:lara.neumann@example.test</x:v>
      </x:c>
      <x:c r="E455" s="8" t="str"/>
      <x:c r="F455" s="10" t="str">
        <x:v>As of 2026-08-01, what is Lara Neumann's current motor policy and its applicable details?</x:v>
      </x:c>
      <x:c r="G455"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5" s="10" t="str">
        <x:v>The annual premium of Lara Neumann's current motor policy is 684 EUR.</x:v>
      </x:c>
      <x:c r="I455" s="8" t="str">
        <x:v>motor</x:v>
      </x:c>
      <x:c r="J455" s="8" t="str">
        <x:v>CALIBRATION</x:v>
      </x:c>
      <x:c r="K455" s="10" t="str">
        <x:v>exact_duplicate_triplet</x:v>
      </x:c>
      <x:c r="L455" s="12" t="str"/>
      <x:c r="M455" s="12" t="str"/>
      <x:c r="N455" s="12" t="str"/>
      <x:c r="O455" s="12" t="str"/>
      <x:c r="P455" s="12" t="str"/>
    </x:row>
    <x:row r="456">
      <x:c r="A456" s="8" t="str">
        <x:v>ext-crm-fail-095</x:v>
      </x:c>
      <x:c r="B456" s="8" t="str">
        <x:v>synthetic_crm</x:v>
      </x:c>
      <x:c r="C456" s="8" t="str">
        <x:v>data/synthetic/crm/policies.csv</x:v>
      </x:c>
      <x:c r="D456" s="8" t="str">
        <x:v>customer:lara.neumann@example.test</x:v>
      </x:c>
      <x:c r="E456" s="8" t="str"/>
      <x:c r="F456" s="10" t="str">
        <x:v>As of 2026-08-01, what is Lara Neumann's current motor policy and its applicable details?</x:v>
      </x:c>
      <x:c r="G456"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6" s="10" t="str">
        <x:v>As of 2026-08-01, policy TEST-KFZ-2026-1001 is the current motor policy.</x:v>
      </x:c>
      <x:c r="I456" s="8" t="str">
        <x:v>motor</x:v>
      </x:c>
      <x:c r="J456" s="8" t="str">
        <x:v>CALIBRATION</x:v>
      </x:c>
      <x:c r="K456" s="10" t="str">
        <x:v>exact_duplicate_triplet</x:v>
      </x:c>
      <x:c r="L456" s="12" t="str"/>
      <x:c r="M456" s="12" t="str"/>
      <x:c r="N456" s="12" t="str"/>
      <x:c r="O456" s="12" t="str"/>
      <x:c r="P456" s="12" t="str"/>
    </x:row>
    <x:row r="457">
      <x:c r="A457" s="8" t="str">
        <x:v>ext-crm-fail-096</x:v>
      </x:c>
      <x:c r="B457" s="8" t="str">
        <x:v>synthetic_crm</x:v>
      </x:c>
      <x:c r="C457" s="8" t="str">
        <x:v>data/synthetic/crm/policies.csv</x:v>
      </x:c>
      <x:c r="D457" s="8" t="str">
        <x:v>customer:lara.neumann@example.test</x:v>
      </x:c>
      <x:c r="E457" s="8" t="str"/>
      <x:c r="F457" s="10" t="str">
        <x:v>As of 2026-08-01, what is Lara Neumann's current motor policy and its applicable details?</x:v>
      </x:c>
      <x:c r="G457"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7" s="10" t="str">
        <x:v>Lara Neumann's current motor policy is TEST-KFZ-2026-1001 with a 150 EUR deductible and a 684 EUR annual premium.</x:v>
      </x:c>
      <x:c r="I457" s="8" t="str">
        <x:v>motor</x:v>
      </x:c>
      <x:c r="J457" s="8" t="str">
        <x:v>CALIBRATION</x:v>
      </x:c>
      <x:c r="K457" s="10" t="str">
        <x:v>exact_duplicate_triplet</x:v>
      </x:c>
      <x:c r="L457" s="12" t="str"/>
      <x:c r="M457" s="12" t="str"/>
      <x:c r="N457" s="12" t="str"/>
      <x:c r="O457" s="12" t="str"/>
      <x:c r="P457" s="12" t="str"/>
    </x:row>
    <x:row r="458">
      <x:c r="A458" s="8" t="str">
        <x:v>ext-crm-fail-097</x:v>
      </x:c>
      <x:c r="B458" s="8" t="str">
        <x:v>synthetic_crm</x:v>
      </x:c>
      <x:c r="C458" s="8" t="str">
        <x:v>data/synthetic/crm/policies.csv</x:v>
      </x:c>
      <x:c r="D458" s="8" t="str">
        <x:v>customer:lara.neumann@example.test</x:v>
      </x:c>
      <x:c r="E458" s="8" t="str"/>
      <x:c r="F458" s="10" t="str">
        <x:v>As of 2026-08-01, what is Lara Neumann's current motor policy and its applicable details?</x:v>
      </x:c>
      <x:c r="G458"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8" s="10" t="str">
        <x:v>The current motor contract is TEST-KFZ-2026-1001.</x:v>
      </x:c>
      <x:c r="I458" s="8" t="str">
        <x:v>motor</x:v>
      </x:c>
      <x:c r="J458" s="8" t="str">
        <x:v>CALIBRATION</x:v>
      </x:c>
      <x:c r="K458" s="10" t="str">
        <x:v>exact_duplicate_triplet</x:v>
      </x:c>
      <x:c r="L458" s="12" t="str"/>
      <x:c r="M458" s="12" t="str"/>
      <x:c r="N458" s="12" t="str"/>
      <x:c r="O458" s="12" t="str"/>
      <x:c r="P458" s="12" t="str"/>
    </x:row>
    <x:row r="459">
      <x:c r="A459" s="8" t="str">
        <x:v>ext-crm-fail-098</x:v>
      </x:c>
      <x:c r="B459" s="8" t="str">
        <x:v>synthetic_crm</x:v>
      </x:c>
      <x:c r="C459" s="8" t="str">
        <x:v>data/synthetic/crm/policies.csv</x:v>
      </x:c>
      <x:c r="D459" s="8" t="str">
        <x:v>customer:lara.neumann@example.test</x:v>
      </x:c>
      <x:c r="E459" s="8" t="str"/>
      <x:c r="F459" s="10" t="str">
        <x:v>As of 2026-08-01, what is Lara Neumann's current motor policy and its applicable details?</x:v>
      </x:c>
      <x:c r="G459"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59" s="10" t="str">
        <x:v>The deductible of Lara Neumann's current motor policy is 150 EUR.</x:v>
      </x:c>
      <x:c r="I459" s="8" t="str">
        <x:v>motor</x:v>
      </x:c>
      <x:c r="J459" s="8" t="str">
        <x:v>CALIBRATION</x:v>
      </x:c>
      <x:c r="K459" s="10" t="str">
        <x:v>exact_duplicate_triplet</x:v>
      </x:c>
      <x:c r="L459" s="12" t="str"/>
      <x:c r="M459" s="12" t="str"/>
      <x:c r="N459" s="12" t="str"/>
      <x:c r="O459" s="12" t="str"/>
      <x:c r="P459" s="12" t="str"/>
    </x:row>
    <x:row r="460">
      <x:c r="A460" s="8" t="str">
        <x:v>ext-crm-fail-099</x:v>
      </x:c>
      <x:c r="B460" s="8" t="str">
        <x:v>synthetic_crm</x:v>
      </x:c>
      <x:c r="C460" s="8" t="str">
        <x:v>data/synthetic/crm/policies.csv</x:v>
      </x:c>
      <x:c r="D460" s="8" t="str">
        <x:v>customer:lara.neumann@example.test</x:v>
      </x:c>
      <x:c r="E460" s="8" t="str"/>
      <x:c r="F460" s="10" t="str">
        <x:v>As of 2026-08-01, what is Lara Neumann's current motor policy and its applicable details?</x:v>
      </x:c>
      <x:c r="G460"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60" s="10" t="str">
        <x:v>The annual premium of Lara Neumann's current motor policy is 684 EUR.</x:v>
      </x:c>
      <x:c r="I460" s="8" t="str">
        <x:v>motor</x:v>
      </x:c>
      <x:c r="J460" s="8" t="str">
        <x:v>CALIBRATION</x:v>
      </x:c>
      <x:c r="K460" s="10" t="str">
        <x:v>exact_duplicate_triplet</x:v>
      </x:c>
      <x:c r="L460" s="12" t="str"/>
      <x:c r="M460" s="12" t="str"/>
      <x:c r="N460" s="12" t="str"/>
      <x:c r="O460" s="12" t="str"/>
      <x:c r="P460" s="12" t="str"/>
    </x:row>
    <x:row r="461">
      <x:c r="A461" s="8" t="str">
        <x:v>ext-crm-fail-100</x:v>
      </x:c>
      <x:c r="B461" s="8" t="str">
        <x:v>synthetic_crm</x:v>
      </x:c>
      <x:c r="C461" s="8" t="str">
        <x:v>data/synthetic/crm/policies.csv</x:v>
      </x:c>
      <x:c r="D461" s="8" t="str">
        <x:v>customer:lara.neumann@example.test</x:v>
      </x:c>
      <x:c r="E461" s="8" t="str"/>
      <x:c r="F461" s="10" t="str">
        <x:v>As of 2026-08-01, what is Lara Neumann's current motor policy and its applicable details?</x:v>
      </x:c>
      <x:c r="G461" s="10" t="str">
        <x:v>Customer: Lara Neumann (lara.neumann@example.test). Policy number: TEST-KFZ-2026-1001. Product type: Motor Insurance. Coverage type: Partial Coverage. Status: Active. Start date: 2026-01-01. End date: 2026-12-31. Deductible: 150 EUR. Annual premium: 684 EUR.
---
Customer: Lara Neumann (lara.neumann@example.test). Policy number: TEST-PHV-2026-1002. Product type: Personal Liability. Coverage type: Liability. Status: Active. Start date: 2026-01-01. End date: 2026-12-31. Deductible: 0 EUR. Annual premium: 96 EUR.
---
Customer: Lara Neumann (lara.neumann@example.test). Policy number: TEST-KFZ-2026-1003. Product type: Motor Insurance. Coverage type: Partial Coverage. Status: Active. Start date: 2026-07-01. End date: 2027-06-30. Deductible: 300 EUR. Annual premium: 720 EUR.</x:v>
      </x:c>
      <x:c r="H461" s="10" t="str">
        <x:v>As of 2026-08-01, policy TEST-KFZ-2026-1001 is the current motor policy.</x:v>
      </x:c>
      <x:c r="I461" s="8" t="str">
        <x:v>motor</x:v>
      </x:c>
      <x:c r="J461" s="8" t="str">
        <x:v>CALIBRATION</x:v>
      </x:c>
      <x:c r="K461" s="10" t="str">
        <x:v>exact_duplicate_triplet</x:v>
      </x:c>
      <x:c r="L461" s="12" t="str"/>
      <x:c r="M461" s="12" t="str"/>
      <x:c r="N461" s="12" t="str"/>
      <x:c r="O461" s="12" t="str"/>
      <x:c r="P461" s="12" t="str"/>
    </x:row>
    <x:row r="462">
      <x:c r="A462" s="8" t="str">
        <x:v>ext-crm-fail-101</x:v>
      </x:c>
      <x:c r="B462" s="8" t="str">
        <x:v>synthetic_crm</x:v>
      </x:c>
      <x:c r="C462" s="8" t="str">
        <x:v>data/synthetic/crm/claims.csv</x:v>
      </x:c>
      <x:c r="D462" s="8" t="str">
        <x:v>claim:TEST-CLM-2026-2001</x:v>
      </x:c>
      <x:c r="E462" s="8" t="str"/>
      <x:c r="F462" s="10" t="str">
        <x:v>Has this claim been approved or rejected according to the stored claim record?</x:v>
      </x:c>
      <x:c r="G462" s="10" t="str">
        <x:v>Customer: Lara Neumann. Claim number: TEST-CLM-2026-2001. Policy number: TEST-KFZ-2026-1001. Damage type: Glass Damage. Claimed amount: 780 EUR. Current status: Under Review.</x:v>
      </x:c>
      <x:c r="H462" s="10" t="str">
        <x:v>The claim decision is Approved.</x:v>
      </x:c>
      <x:c r="I462" s="8" t="str">
        <x:v>motor</x:v>
      </x:c>
      <x:c r="J462" s="8" t="str">
        <x:v>CALIBRATION</x:v>
      </x:c>
      <x:c r="K462" s="10" t="str">
        <x:v>exact_duplicate_triplet</x:v>
      </x:c>
      <x:c r="L462" s="12" t="str"/>
      <x:c r="M462" s="12" t="str"/>
      <x:c r="N462" s="12" t="str"/>
      <x:c r="O462" s="12" t="str"/>
      <x:c r="P462" s="12" t="str"/>
    </x:row>
    <x:row r="463">
      <x:c r="A463" s="8" t="str">
        <x:v>ext-crm-fail-102</x:v>
      </x:c>
      <x:c r="B463" s="8" t="str">
        <x:v>synthetic_crm</x:v>
      </x:c>
      <x:c r="C463" s="8" t="str">
        <x:v>data/synthetic/crm/claims.csv</x:v>
      </x:c>
      <x:c r="D463" s="8" t="str">
        <x:v>claim:TEST-CLM-2026-2101</x:v>
      </x:c>
      <x:c r="E463" s="8" t="str"/>
      <x:c r="F463" s="10" t="str">
        <x:v>Has this claim been approved or rejected according to the stored claim record?</x:v>
      </x:c>
      <x:c r="G463" s="10" t="str">
        <x:v>Customer: Oliver Brandt. Claim number: TEST-CLM-2026-2101. Policy number: TEST-KFZ-2026-1101. Damage type: Parking Damage. Claimed amount: 2350 EUR. Current status: Approved.</x:v>
      </x:c>
      <x:c r="H463" s="10" t="str">
        <x:v>The claim decision is Rejected.</x:v>
      </x:c>
      <x:c r="I463" s="8" t="str">
        <x:v>motor</x:v>
      </x:c>
      <x:c r="J463" s="8" t="str">
        <x:v>CALIBRATION</x:v>
      </x:c>
      <x:c r="K463" s="10" t="str">
        <x:v>exact_duplicate_triplet</x:v>
      </x:c>
      <x:c r="L463" s="12" t="str"/>
      <x:c r="M463" s="12" t="str"/>
      <x:c r="N463" s="12" t="str"/>
      <x:c r="O463" s="12" t="str"/>
      <x:c r="P463" s="12" t="str"/>
    </x:row>
    <x:row r="464">
      <x:c r="A464" s="8" t="str">
        <x:v>ext-crm-fail-103</x:v>
      </x:c>
      <x:c r="B464" s="8" t="str">
        <x:v>synthetic_crm</x:v>
      </x:c>
      <x:c r="C464" s="8" t="str">
        <x:v>data/synthetic/crm/claims.csv</x:v>
      </x:c>
      <x:c r="D464" s="8" t="str">
        <x:v>claim:TEST-CLM-2026-2201</x:v>
      </x:c>
      <x:c r="E464" s="8" t="str"/>
      <x:c r="F464" s="10" t="str">
        <x:v>Has this claim been approved or rejected according to the stored claim record?</x:v>
      </x:c>
      <x:c r="G464" s="10" t="str">
        <x:v>Customer: Sophie Keller. Claim number: TEST-CLM-2026-2201. Policy number: TEST-HH-2026-1201. Damage type: Water Damage. Claimed amount: 1800 EUR. Current status: Paid.</x:v>
      </x:c>
      <x:c r="H464" s="10" t="str">
        <x:v>The claim decision is Approved.</x:v>
      </x:c>
      <x:c r="I464" s="8" t="str">
        <x:v>household</x:v>
      </x:c>
      <x:c r="J464" s="8" t="str">
        <x:v>CALIBRATION</x:v>
      </x:c>
      <x:c r="K464" s="10" t="str"/>
      <x:c r="L464" s="12" t="str"/>
      <x:c r="M464" s="12" t="str"/>
      <x:c r="N464" s="12" t="str"/>
      <x:c r="O464" s="12" t="str"/>
      <x:c r="P464" s="12" t="str"/>
    </x:row>
    <x:row r="465">
      <x:c r="A465" s="8" t="str">
        <x:v>ext-crm-fail-104</x:v>
      </x:c>
      <x:c r="B465" s="8" t="str">
        <x:v>synthetic_crm</x:v>
      </x:c>
      <x:c r="C465" s="8" t="str">
        <x:v>data/synthetic/crm/claims.csv</x:v>
      </x:c>
      <x:c r="D465" s="8" t="str">
        <x:v>claim:TEST-CLM-2026-2301</x:v>
      </x:c>
      <x:c r="E465" s="8" t="str"/>
      <x:c r="F465" s="10" t="str">
        <x:v>Has this claim been approved or rejected according to the stored claim record?</x:v>
      </x:c>
      <x:c r="G465" s="10" t="str">
        <x:v>Customer: Hannah Vogel. Claim number: TEST-CLM-2026-2301. Policy number: TEST-KFZ-2026-1401. Damage type: Liability Damage. Claimed amount: 4100 EUR. Current status: Open.</x:v>
      </x:c>
      <x:c r="H465" s="10" t="str">
        <x:v>The claim decision is Approved.</x:v>
      </x:c>
      <x:c r="I465" s="8" t="str">
        <x:v>motor</x:v>
      </x:c>
      <x:c r="J465" s="8" t="str">
        <x:v>CALIBRATION</x:v>
      </x:c>
      <x:c r="K465" s="10" t="str"/>
      <x:c r="L465" s="12" t="str"/>
      <x:c r="M465" s="12" t="str"/>
      <x:c r="N465" s="12" t="str"/>
      <x:c r="O465" s="12" t="str"/>
      <x:c r="P465" s="12" t="str"/>
    </x:row>
    <x:row r="466">
      <x:c r="A466" s="8" t="str">
        <x:v>ext-crm-fail-105</x:v>
      </x:c>
      <x:c r="B466" s="8" t="str">
        <x:v>synthetic_crm</x:v>
      </x:c>
      <x:c r="C466" s="8" t="str">
        <x:v>data/synthetic/crm/claims.csv</x:v>
      </x:c>
      <x:c r="D466" s="8" t="str">
        <x:v>claim:TEST-CLM-2026-2401</x:v>
      </x:c>
      <x:c r="E466" s="8" t="str"/>
      <x:c r="F466" s="10" t="str">
        <x:v>Has this claim been approved or rejected according to the stored claim record?</x:v>
      </x:c>
      <x:c r="G466" s="10" t="str">
        <x:v>Customer: Amira Hoffmann. Claim number: TEST-CLM-2026-2401. Policy number: TEST-PHV-2026-1601. Damage type: Personal Liability. Claimed amount: 640 EUR. Current status: Rejected.</x:v>
      </x:c>
      <x:c r="H466" s="10" t="str">
        <x:v>The claim decision is Approved.</x:v>
      </x:c>
      <x:c r="I466" s="8" t="str">
        <x:v>liability</x:v>
      </x:c>
      <x:c r="J466" s="8" t="str">
        <x:v>CALIBRATION</x:v>
      </x:c>
      <x:c r="K466" s="10" t="str"/>
      <x:c r="L466" s="12" t="str"/>
      <x:c r="M466" s="12" t="str"/>
      <x:c r="N466" s="12" t="str"/>
      <x:c r="O466" s="12" t="str"/>
      <x:c r="P466" s="12" t="str"/>
    </x:row>
    <x:row r="467">
      <x:c r="A467" s="8" t="str">
        <x:v>ext-crm-fail-106</x:v>
      </x:c>
      <x:c r="B467" s="8" t="str">
        <x:v>synthetic_crm</x:v>
      </x:c>
      <x:c r="C467" s="8" t="str">
        <x:v>data/synthetic/crm/claims.csv</x:v>
      </x:c>
      <x:c r="D467" s="8" t="str">
        <x:v>claim:TEST-CLM-2026-2501</x:v>
      </x:c>
      <x:c r="E467" s="8" t="str"/>
      <x:c r="F467" s="10" t="str">
        <x:v>Has this claim been approved or rejected according to the stored claim record?</x:v>
      </x:c>
      <x:c r="G467" s="10" t="str">
        <x:v>Customer: Noah Weber. Claim number: TEST-CLM-2026-2501. Policy number: TEST-KFZ-2026-1701. Damage type: Theft. Claimed amount: 9200 EUR. Current status: Under Review.</x:v>
      </x:c>
      <x:c r="H467" s="10" t="str">
        <x:v>The claim decision is Approved.</x:v>
      </x:c>
      <x:c r="I467" s="8" t="str">
        <x:v>motor</x:v>
      </x:c>
      <x:c r="J467" s="8" t="str">
        <x:v>CALIBRATION</x:v>
      </x:c>
      <x:c r="K467" s="10" t="str"/>
      <x:c r="L467" s="12" t="str"/>
      <x:c r="M467" s="12" t="str"/>
      <x:c r="N467" s="12" t="str"/>
      <x:c r="O467" s="12" t="str"/>
      <x:c r="P467" s="12" t="str"/>
    </x:row>
    <x:row r="468">
      <x:c r="A468" s="8" t="str">
        <x:v>ext-crm-fail-107</x:v>
      </x:c>
      <x:c r="B468" s="8" t="str">
        <x:v>synthetic_crm</x:v>
      </x:c>
      <x:c r="C468" s="8" t="str">
        <x:v>data/synthetic/crm/claims.csv</x:v>
      </x:c>
      <x:c r="D468" s="8" t="str">
        <x:v>claim:TEST-CLM-2026-2601</x:v>
      </x:c>
      <x:c r="E468" s="8" t="str"/>
      <x:c r="F468" s="10" t="str">
        <x:v>Has this claim been approved or rejected according to the stored claim record?</x:v>
      </x:c>
      <x:c r="G468" s="10" t="str">
        <x:v>Customer: Leon Becker. Claim number: TEST-CLM-2026-2601. Policy number: TEST-KFZ-2026-1901. Damage type: Collision. Claimed amount: 6700 EUR. Current status: Approved.</x:v>
      </x:c>
      <x:c r="H468" s="10" t="str">
        <x:v>The claim decision is Rejected.</x:v>
      </x:c>
      <x:c r="I468" s="8" t="str">
        <x:v>motor</x:v>
      </x:c>
      <x:c r="J468" s="8" t="str">
        <x:v>CALIBRATION</x:v>
      </x:c>
      <x:c r="K468" s="10" t="str"/>
      <x:c r="L468" s="12" t="str"/>
      <x:c r="M468" s="12" t="str"/>
      <x:c r="N468" s="12" t="str"/>
      <x:c r="O468" s="12" t="str"/>
      <x:c r="P468" s="12" t="str"/>
    </x:row>
    <x:row r="469">
      <x:c r="A469" s="8" t="str">
        <x:v>ext-crm-fail-108</x:v>
      </x:c>
      <x:c r="B469" s="8" t="str">
        <x:v>synthetic_crm</x:v>
      </x:c>
      <x:c r="C469" s="8" t="str">
        <x:v>data/synthetic/crm/claims.csv</x:v>
      </x:c>
      <x:c r="D469" s="8" t="str">
        <x:v>claim:TEST-CLM-2026-2602</x:v>
      </x:c>
      <x:c r="E469" s="8" t="str"/>
      <x:c r="F469" s="10" t="str">
        <x:v>Has this claim been approved or rejected according to the stored claim record?</x:v>
      </x:c>
      <x:c r="G469" s="10" t="str">
        <x:v>Customer: Leon Becker. Claim number: TEST-CLM-2026-2602. Policy number: TEST-PHV-2026-1902. Damage type: Property Damage. Claimed amount: 950 EUR. Current status: Closed.</x:v>
      </x:c>
      <x:c r="H469" s="10" t="str">
        <x:v>The claim decision is Approved.</x:v>
      </x:c>
      <x:c r="I469" s="8" t="str">
        <x:v>liability</x:v>
      </x:c>
      <x:c r="J469" s="8" t="str">
        <x:v>CALIBRATION</x:v>
      </x:c>
      <x:c r="K469" s="10" t="str"/>
      <x:c r="L469" s="12" t="str"/>
      <x:c r="M469" s="12" t="str"/>
      <x:c r="N469" s="12" t="str"/>
      <x:c r="O469" s="12" t="str"/>
      <x:c r="P469" s="12" t="str"/>
    </x:row>
    <x:row r="470">
      <x:c r="A470" s="8" t="str">
        <x:v>ext-crm-fail-109</x:v>
      </x:c>
      <x:c r="B470" s="8" t="str">
        <x:v>synthetic_crm</x:v>
      </x:c>
      <x:c r="C470" s="8" t="str">
        <x:v>data/synthetic/crm/claims.csv</x:v>
      </x:c>
      <x:c r="D470" s="8" t="str">
        <x:v>claim:TEST-CLM-2026-2001</x:v>
      </x:c>
      <x:c r="E470" s="8" t="str"/>
      <x:c r="F470" s="10" t="str">
        <x:v>Has this claim been approved or rejected according to the stored claim record?</x:v>
      </x:c>
      <x:c r="G470" s="10" t="str">
        <x:v>Customer: Lara Neumann. Claim number: TEST-CLM-2026-2001. Policy number: TEST-KFZ-2026-1001. Damage type: Glass Damage. Claimed amount: 780 EUR. Current status: Under Review.</x:v>
      </x:c>
      <x:c r="H470" s="10" t="str">
        <x:v>The claim decision is Approved.</x:v>
      </x:c>
      <x:c r="I470" s="8" t="str">
        <x:v>motor</x:v>
      </x:c>
      <x:c r="J470" s="8" t="str">
        <x:v>CALIBRATION</x:v>
      </x:c>
      <x:c r="K470" s="10" t="str">
        <x:v>exact_duplicate_triplet</x:v>
      </x:c>
      <x:c r="L470" s="12" t="str"/>
      <x:c r="M470" s="12" t="str"/>
      <x:c r="N470" s="12" t="str"/>
      <x:c r="O470" s="12" t="str"/>
      <x:c r="P470" s="12" t="str"/>
    </x:row>
    <x:row r="471">
      <x:c r="A471" s="8" t="str">
        <x:v>ext-crm-fail-110</x:v>
      </x:c>
      <x:c r="B471" s="8" t="str">
        <x:v>synthetic_crm</x:v>
      </x:c>
      <x:c r="C471" s="8" t="str">
        <x:v>data/synthetic/crm/claims.csv</x:v>
      </x:c>
      <x:c r="D471" s="8" t="str">
        <x:v>claim:TEST-CLM-2026-2101</x:v>
      </x:c>
      <x:c r="E471" s="8" t="str"/>
      <x:c r="F471" s="10" t="str">
        <x:v>Has this claim been approved or rejected according to the stored claim record?</x:v>
      </x:c>
      <x:c r="G471" s="10" t="str">
        <x:v>Customer: Oliver Brandt. Claim number: TEST-CLM-2026-2101. Policy number: TEST-KFZ-2026-1101. Damage type: Parking Damage. Claimed amount: 2350 EUR. Current status: Approved.</x:v>
      </x:c>
      <x:c r="H471" s="10" t="str">
        <x:v>The claim decision is Rejected.</x:v>
      </x:c>
      <x:c r="I471" s="8" t="str">
        <x:v>motor</x:v>
      </x:c>
      <x:c r="J471" s="8" t="str">
        <x:v>CALIBRATION</x:v>
      </x:c>
      <x:c r="K471" s="10" t="str">
        <x:v>exact_duplicate_triplet</x:v>
      </x:c>
      <x:c r="L471" s="12" t="str"/>
      <x:c r="M471" s="12" t="str"/>
      <x:c r="N471" s="12" t="str"/>
      <x:c r="O471" s="12" t="str"/>
      <x:c r="P471" s="12" t="str"/>
    </x:row>
    <x:row r="472">
      <x:c r="A472" s="8" t="str">
        <x:v>ext-legacy-001</x:v>
      </x:c>
      <x:c r="B472" s="8" t="str">
        <x:v>legacy_synthetic</x:v>
      </x:c>
      <x:c r="C472" s="8" t="str">
        <x:v>tests/fixtures/groundedness_calibration_cases.json</x:v>
      </x:c>
      <x:c r="D472" s="8" t="str">
        <x:v>legacy:supported_motor_full_answer</x:v>
      </x:c>
      <x:c r="E472" s="8" t="str"/>
      <x:c r="F472" s="10" t="str">
        <x:v>Is windshield damage covered, what deductible applies, and which motor contract is relevant?</x:v>
      </x:c>
      <x:c r="G472" s="10" t="str">
        <x:v>Motor insurance contract TEST-KFZ-2026-1001 covers windshield glass damage under partial comprehensive insurance. A deductible of EUR 150 applies per claim.</x:v>
      </x:c>
      <x:c r="H472" s="10" t="str">
        <x:v>Windshield glass damage is covered under partial comprehensive insurance. The deductible is EUR 150 per claim under motor contract TEST-KFZ-2026-1001.</x:v>
      </x:c>
      <x:c r="I472" s="8" t="str">
        <x:v>motor</x:v>
      </x:c>
      <x:c r="J472" s="8" t="str">
        <x:v>VALIDATION</x:v>
      </x:c>
      <x:c r="K472" s="10" t="str"/>
      <x:c r="L472" s="12" t="str"/>
      <x:c r="M472" s="12" t="str"/>
      <x:c r="N472" s="12" t="str"/>
      <x:c r="O472" s="12" t="str"/>
      <x:c r="P472" s="12" t="str"/>
    </x:row>
    <x:row r="473">
      <x:c r="A473" s="8" t="str">
        <x:v>ext-legacy-002</x:v>
      </x:c>
      <x:c r="B473" s="8" t="str">
        <x:v>legacy_synthetic</x:v>
      </x:c>
      <x:c r="C473" s="8" t="str">
        <x:v>tests/fixtures/groundedness_calibration_cases.json</x:v>
      </x:c>
      <x:c r="D473" s="8" t="str">
        <x:v>legacy:supported_motor_paraphrase</x:v>
      </x:c>
      <x:c r="E473" s="8" t="str"/>
      <x:c r="F473" s="10" t="str">
        <x:v>Does the policy pay for windscreen glass damage?</x:v>
      </x:c>
      <x:c r="G473" s="10" t="str">
        <x:v>The motor policy provides partial comprehensive coverage for windshield glass damage. The policyholder pays EUR 150 per claim.</x:v>
      </x:c>
      <x:c r="H473" s="10" t="str">
        <x:v>The partial comprehensive cover includes damage to the windscreen, subject to a 150 euro deductible for each claim.</x:v>
      </x:c>
      <x:c r="I473" s="8" t="str">
        <x:v>motor</x:v>
      </x:c>
      <x:c r="J473" s="8" t="str">
        <x:v>LOCKED_HOLDOUT_CANDIDATE</x:v>
      </x:c>
      <x:c r="K473" s="10" t="str"/>
      <x:c r="L473" s="12" t="str"/>
      <x:c r="M473" s="12" t="str"/>
      <x:c r="N473" s="12" t="str"/>
      <x:c r="O473" s="12" t="str"/>
      <x:c r="P473" s="12" t="str"/>
    </x:row>
    <x:row r="474">
      <x:c r="A474" s="8" t="str">
        <x:v>ext-legacy-003</x:v>
      </x:c>
      <x:c r="B474" s="8" t="str">
        <x:v>legacy_synthetic</x:v>
      </x:c>
      <x:c r="C474" s="8" t="str">
        <x:v>tests/fixtures/groundedness_calibration_cases.json</x:v>
      </x:c>
      <x:c r="D474" s="8" t="str">
        <x:v>legacy:supported_contract_identifier</x:v>
      </x:c>
      <x:c r="E474" s="8" t="str"/>
      <x:c r="F474" s="10" t="str">
        <x:v>Which contract applies?</x:v>
      </x:c>
      <x:c r="G474" s="10" t="str">
        <x:v>Applicable motor insurance contract number: TEST-KFZ-2026-1001.</x:v>
      </x:c>
      <x:c r="H474" s="10" t="str">
        <x:v>The applicable contract number is TEST-KFZ-2026-1001.</x:v>
      </x:c>
      <x:c r="I474" s="8" t="str">
        <x:v>general_insurance</x:v>
      </x:c>
      <x:c r="J474" s="8" t="str">
        <x:v>CALIBRATION</x:v>
      </x:c>
      <x:c r="K474" s="10" t="str"/>
      <x:c r="L474" s="12" t="str"/>
      <x:c r="M474" s="12" t="str"/>
      <x:c r="N474" s="12" t="str"/>
      <x:c r="O474" s="12" t="str"/>
      <x:c r="P474" s="12" t="str"/>
    </x:row>
    <x:row r="475">
      <x:c r="A475" s="8" t="str">
        <x:v>ext-legacy-004</x:v>
      </x:c>
      <x:c r="B475" s="8" t="str">
        <x:v>legacy_synthetic</x:v>
      </x:c>
      <x:c r="C475" s="8" t="str">
        <x:v>tests/fixtures/groundedness_calibration_cases.json</x:v>
      </x:c>
      <x:c r="D475" s="8" t="str">
        <x:v>legacy:supported_deductible</x:v>
      </x:c>
      <x:c r="E475" s="8" t="str"/>
      <x:c r="F475" s="10" t="str">
        <x:v>What is the glass deductible?</x:v>
      </x:c>
      <x:c r="G475" s="10" t="str">
        <x:v>For insured glass damage, the deductible is 150 euros for each claim.</x:v>
      </x:c>
      <x:c r="H475" s="10" t="str">
        <x:v>A deductible of EUR 150 applies per glass claim.</x:v>
      </x:c>
      <x:c r="I475" s="8" t="str">
        <x:v>general_insurance</x:v>
      </x:c>
      <x:c r="J475" s="8" t="str">
        <x:v>CALIBRATION</x:v>
      </x:c>
      <x:c r="K475" s="10" t="str"/>
      <x:c r="L475" s="12" t="str"/>
      <x:c r="M475" s="12" t="str"/>
      <x:c r="N475" s="12" t="str"/>
      <x:c r="O475" s="12" t="str"/>
      <x:c r="P475" s="12" t="str"/>
    </x:row>
    <x:row r="476">
      <x:c r="A476" s="8" t="str">
        <x:v>ext-legacy-005</x:v>
      </x:c>
      <x:c r="B476" s="8" t="str">
        <x:v>legacy_synthetic</x:v>
      </x:c>
      <x:c r="C476" s="8" t="str">
        <x:v>tests/fixtures/groundedness_calibration_cases.json</x:v>
      </x:c>
      <x:c r="D476" s="8" t="str">
        <x:v>legacy:supported_exclusion</x:v>
      </x:c>
      <x:c r="E476" s="8" t="str"/>
      <x:c r="F476" s="10" t="str">
        <x:v>Is intentional vehicle damage covered?</x:v>
      </x:c>
      <x:c r="G476" s="10" t="str">
        <x:v>Intentional damage to the insured vehicle is excluded and is not covered by the policy.</x:v>
      </x:c>
      <x:c r="H476" s="10" t="str">
        <x:v>No. Intentionally caused vehicle damage is not covered.</x:v>
      </x:c>
      <x:c r="I476" s="8" t="str">
        <x:v>motor</x:v>
      </x:c>
      <x:c r="J476" s="8" t="str">
        <x:v>CALIBRATION</x:v>
      </x:c>
      <x:c r="K476" s="10" t="str"/>
      <x:c r="L476" s="12" t="str"/>
      <x:c r="M476" s="12" t="str"/>
      <x:c r="N476" s="12" t="str"/>
      <x:c r="O476" s="12" t="str"/>
      <x:c r="P476" s="12" t="str"/>
    </x:row>
    <x:row r="477">
      <x:c r="A477" s="8" t="str">
        <x:v>ext-legacy-006</x:v>
      </x:c>
      <x:c r="B477" s="8" t="str">
        <x:v>legacy_synthetic</x:v>
      </x:c>
      <x:c r="C477" s="8" t="str">
        <x:v>tests/fixtures/groundedness_calibration_cases.json</x:v>
      </x:c>
      <x:c r="D477" s="8" t="str">
        <x:v>legacy:supported_liability</x:v>
      </x:c>
      <x:c r="E477" s="8" t="str"/>
      <x:c r="F477" s="10" t="str">
        <x:v>What does personal liability cover?</x:v>
      </x:c>
      <x:c r="G477" s="10" t="str">
        <x:v>Personal liability contract TEST-PHV-2026-2001 covers valid claims for damage caused to third parties.</x:v>
      </x:c>
      <x:c r="H477" s="10" t="str">
        <x:v>Personal liability insurance covers valid third-party damage claims.</x:v>
      </x:c>
      <x:c r="I477" s="8" t="str">
        <x:v>liability</x:v>
      </x:c>
      <x:c r="J477" s="8" t="str">
        <x:v>VALIDATION</x:v>
      </x:c>
      <x:c r="K477" s="10" t="str"/>
      <x:c r="L477" s="12" t="str"/>
      <x:c r="M477" s="12" t="str"/>
      <x:c r="N477" s="12" t="str"/>
      <x:c r="O477" s="12" t="str"/>
      <x:c r="P477" s="12" t="str"/>
    </x:row>
    <x:row r="478">
      <x:c r="A478" s="8" t="str">
        <x:v>ext-legacy-007</x:v>
      </x:c>
      <x:c r="B478" s="8" t="str">
        <x:v>legacy_synthetic</x:v>
      </x:c>
      <x:c r="C478" s="8" t="str">
        <x:v>tests/fixtures/groundedness_calibration_cases.json</x:v>
      </x:c>
      <x:c r="D478" s="8" t="str">
        <x:v>legacy:supported_coverage_dates</x:v>
      </x:c>
      <x:c r="E478" s="8" t="str"/>
      <x:c r="F478" s="10" t="str">
        <x:v>When is the motor policy active?</x:v>
      </x:c>
      <x:c r="G478" s="10" t="str">
        <x:v>Motor policy period: 2026-01-01 to 2026-12-31. Status: active.</x:v>
      </x:c>
      <x:c r="H478" s="10" t="str">
        <x:v>The policy is active from 2026-01-01 through 2026-12-31.</x:v>
      </x:c>
      <x:c r="I478" s="8" t="str">
        <x:v>motor</x:v>
      </x:c>
      <x:c r="J478" s="8" t="str">
        <x:v>CALIBRATION</x:v>
      </x:c>
      <x:c r="K478" s="10" t="str"/>
      <x:c r="L478" s="12" t="str"/>
      <x:c r="M478" s="12" t="str"/>
      <x:c r="N478" s="12" t="str"/>
      <x:c r="O478" s="12" t="str"/>
      <x:c r="P478" s="12" t="str"/>
    </x:row>
    <x:row r="479">
      <x:c r="A479" s="8" t="str">
        <x:v>ext-legacy-008</x:v>
      </x:c>
      <x:c r="B479" s="8" t="str">
        <x:v>legacy_synthetic</x:v>
      </x:c>
      <x:c r="C479" s="8" t="str">
        <x:v>tests/fixtures/groundedness_calibration_cases.json</x:v>
      </x:c>
      <x:c r="D479" s="8" t="str">
        <x:v>legacy:supported_home_deductible</x:v>
      </x:c>
      <x:c r="E479" s="8" t="str"/>
      <x:c r="F479" s="10" t="str">
        <x:v>What applies to insured water damage?</x:v>
      </x:c>
      <x:c r="G479" s="10" t="str">
        <x:v>Home insurance covers escape-of-water damage with a deductible of EUR 500 per claim.</x:v>
      </x:c>
      <x:c r="H479" s="10" t="str">
        <x:v>Insured water damage has a EUR 500 deductible per claim.</x:v>
      </x:c>
      <x:c r="I479" s="8" t="str">
        <x:v>general_insurance</x:v>
      </x:c>
      <x:c r="J479" s="8" t="str">
        <x:v>CALIBRATION</x:v>
      </x:c>
      <x:c r="K479" s="10" t="str"/>
      <x:c r="L479" s="12" t="str"/>
      <x:c r="M479" s="12" t="str"/>
      <x:c r="N479" s="12" t="str"/>
      <x:c r="O479" s="12" t="str"/>
      <x:c r="P479" s="12" t="str"/>
    </x:row>
    <x:row r="480">
      <x:c r="A480" s="8" t="str">
        <x:v>ext-legacy-009</x:v>
      </x:c>
      <x:c r="B480" s="8" t="str">
        <x:v>legacy_synthetic</x:v>
      </x:c>
      <x:c r="C480" s="8" t="str">
        <x:v>tests/fixtures/groundedness_calibration_cases.json</x:v>
      </x:c>
      <x:c r="D480" s="8" t="str">
        <x:v>legacy:supported_travel_limit</x:v>
      </x:c>
      <x:c r="E480" s="8" t="str"/>
      <x:c r="F480" s="10" t="str">
        <x:v>What is the baggage limit?</x:v>
      </x:c>
      <x:c r="G480" s="10" t="str">
        <x:v>The travel policy covers lost baggage up to a maximum of EUR 2,000.</x:v>
      </x:c>
      <x:c r="H480" s="10" t="str">
        <x:v>Travel baggage is covered up to EUR 2,000.</x:v>
      </x:c>
      <x:c r="I480" s="8" t="str">
        <x:v>travel_assistance</x:v>
      </x:c>
      <x:c r="J480" s="8" t="str">
        <x:v>CALIBRATION</x:v>
      </x:c>
      <x:c r="K480" s="10" t="str"/>
      <x:c r="L480" s="12" t="str"/>
      <x:c r="M480" s="12" t="str"/>
      <x:c r="N480" s="12" t="str"/>
      <x:c r="O480" s="12" t="str"/>
      <x:c r="P480" s="12" t="str"/>
    </x:row>
    <x:row r="481">
      <x:c r="A481" s="8" t="str">
        <x:v>ext-legacy-010</x:v>
      </x:c>
      <x:c r="B481" s="8" t="str">
        <x:v>legacy_synthetic</x:v>
      </x:c>
      <x:c r="C481" s="8" t="str">
        <x:v>tests/fixtures/groundedness_calibration_cases.json</x:v>
      </x:c>
      <x:c r="D481" s="8" t="str">
        <x:v>legacy:supported_dental_percentage</x:v>
      </x:c>
      <x:c r="E481" s="8" t="str"/>
      <x:c r="F481" s="10" t="str">
        <x:v>How much dental treatment is reimbursed?</x:v>
      </x:c>
      <x:c r="G481" s="10" t="str">
        <x:v>Eligible dental treatment costs are reimbursed at 80 percent under the health plan.</x:v>
      </x:c>
      <x:c r="H481" s="10" t="str">
        <x:v>The plan reimburses 80 percent of eligible dental treatment costs.</x:v>
      </x:c>
      <x:c r="I481" s="8" t="str">
        <x:v>health</x:v>
      </x:c>
      <x:c r="J481" s="8" t="str">
        <x:v>LOCKED_HOLDOUT_CANDIDATE</x:v>
      </x:c>
      <x:c r="K481" s="10" t="str"/>
      <x:c r="L481" s="12" t="str"/>
      <x:c r="M481" s="12" t="str"/>
      <x:c r="N481" s="12" t="str"/>
      <x:c r="O481" s="12" t="str"/>
      <x:c r="P481" s="12" t="str"/>
    </x:row>
    <x:row r="482">
      <x:c r="A482" s="8" t="str">
        <x:v>ext-legacy-011</x:v>
      </x:c>
      <x:c r="B482" s="8" t="str">
        <x:v>legacy_synthetic</x:v>
      </x:c>
      <x:c r="C482" s="8" t="str">
        <x:v>tests/fixtures/groundedness_calibration_cases.json</x:v>
      </x:c>
      <x:c r="D482" s="8" t="str">
        <x:v>legacy:supported_two_claims_with_citation</x:v>
      </x:c>
      <x:c r="E482" s="8" t="str"/>
      <x:c r="F482" s="10" t="str">
        <x:v>Summarize the motor glass benefit.</x:v>
      </x:c>
      <x:c r="G482" s="10" t="str">
        <x:v>Partial comprehensive motor insurance covers glass damage. The deductible for each glass claim is EUR 150.</x:v>
      </x:c>
      <x:c r="H482" s="10" t="str">
        <x:v>Glass damage is covered by partial comprehensive insurance [motor_policy:1]. The deductible is EUR 150 per claim [motor_policy:1].</x:v>
      </x:c>
      <x:c r="I482" s="8" t="str">
        <x:v>motor</x:v>
      </x:c>
      <x:c r="J482" s="8" t="str">
        <x:v>CALIBRATION</x:v>
      </x:c>
      <x:c r="K482" s="10" t="str"/>
      <x:c r="L482" s="12" t="str"/>
      <x:c r="M482" s="12" t="str"/>
      <x:c r="N482" s="12" t="str"/>
      <x:c r="O482" s="12" t="str"/>
      <x:c r="P482" s="12" t="str"/>
    </x:row>
    <x:row r="483">
      <x:c r="A483" s="8" t="str">
        <x:v>ext-legacy-012</x:v>
      </x:c>
      <x:c r="B483" s="8" t="str">
        <x:v>legacy_synthetic</x:v>
      </x:c>
      <x:c r="C483" s="8" t="str">
        <x:v>tests/fixtures/groundedness_calibration_cases.json</x:v>
      </x:c>
      <x:c r="D483" s="8" t="str">
        <x:v>legacy:supported_short_numeric_answer</x:v>
      </x:c>
      <x:c r="E483" s="8" t="str"/>
      <x:c r="F483" s="10" t="str">
        <x:v>How much is the deductible per claim?</x:v>
      </x:c>
      <x:c r="G483" s="10" t="str">
        <x:v>Deductible: EUR 150 per claim.</x:v>
      </x:c>
      <x:c r="H483" s="10" t="str">
        <x:v>EUR 150 per claim.</x:v>
      </x:c>
      <x:c r="I483" s="8" t="str">
        <x:v>general_insurance</x:v>
      </x:c>
      <x:c r="J483" s="8" t="str">
        <x:v>LOCKED_HOLDOUT_CANDIDATE</x:v>
      </x:c>
      <x:c r="K483" s="10" t="str"/>
      <x:c r="L483" s="12" t="str"/>
      <x:c r="M483" s="12" t="str"/>
      <x:c r="N483" s="12" t="str"/>
      <x:c r="O483" s="12" t="str"/>
      <x:c r="P483" s="12" t="str"/>
    </x:row>
    <x:row r="484">
      <x:c r="A484" s="8" t="str">
        <x:v>ext-legacy-013</x:v>
      </x:c>
      <x:c r="B484" s="8" t="str">
        <x:v>legacy_synthetic</x:v>
      </x:c>
      <x:c r="C484" s="8" t="str">
        <x:v>tests/fixtures/groundedness_calibration_cases.json</x:v>
      </x:c>
      <x:c r="D484" s="8" t="str">
        <x:v>legacy:unsupported_wrong_motor_deductible</x:v>
      </x:c>
      <x:c r="E484" s="8" t="str"/>
      <x:c r="F484" s="10" t="str">
        <x:v>What is the glass deductible?</x:v>
      </x:c>
      <x:c r="G484" s="10" t="str">
        <x:v>The motor glass deductible is EUR 150 per claim.</x:v>
      </x:c>
      <x:c r="H484" s="10" t="str">
        <x:v>The glass deductible is EUR 500 per claim.</x:v>
      </x:c>
      <x:c r="I484" s="8" t="str">
        <x:v>general_insurance</x:v>
      </x:c>
      <x:c r="J484" s="8" t="str">
        <x:v>LOCKED_HOLDOUT_CANDIDATE</x:v>
      </x:c>
      <x:c r="K484" s="10" t="str"/>
      <x:c r="L484" s="12" t="str"/>
      <x:c r="M484" s="12" t="str"/>
      <x:c r="N484" s="12" t="str"/>
      <x:c r="O484" s="12" t="str"/>
      <x:c r="P484" s="12" t="str"/>
    </x:row>
    <x:row r="485">
      <x:c r="A485" s="8" t="str">
        <x:v>ext-legacy-014</x:v>
      </x:c>
      <x:c r="B485" s="8" t="str">
        <x:v>legacy_synthetic</x:v>
      </x:c>
      <x:c r="C485" s="8" t="str">
        <x:v>tests/fixtures/groundedness_calibration_cases.json</x:v>
      </x:c>
      <x:c r="D485" s="8" t="str">
        <x:v>legacy:unsupported_wrong_contract_identifier</x:v>
      </x:c>
      <x:c r="E485" s="8" t="str"/>
      <x:c r="F485" s="10" t="str">
        <x:v>Which motor contract applies?</x:v>
      </x:c>
      <x:c r="G485" s="10" t="str">
        <x:v>The applicable motor contract is TEST-KFZ-2026-1001.</x:v>
      </x:c>
      <x:c r="H485" s="10" t="str">
        <x:v>The applicable motor contract is TEST-KFZ-2026-9999.</x:v>
      </x:c>
      <x:c r="I485" s="8" t="str">
        <x:v>motor</x:v>
      </x:c>
      <x:c r="J485" s="8" t="str">
        <x:v>VALIDATION</x:v>
      </x:c>
      <x:c r="K485" s="10" t="str"/>
      <x:c r="L485" s="12" t="str"/>
      <x:c r="M485" s="12" t="str"/>
      <x:c r="N485" s="12" t="str"/>
      <x:c r="O485" s="12" t="str"/>
      <x:c r="P485" s="12" t="str"/>
    </x:row>
    <x:row r="486">
      <x:c r="A486" s="8" t="str">
        <x:v>ext-legacy-015</x:v>
      </x:c>
      <x:c r="B486" s="8" t="str">
        <x:v>legacy_synthetic</x:v>
      </x:c>
      <x:c r="C486" s="8" t="str">
        <x:v>tests/fixtures/groundedness_calibration_cases.json</x:v>
      </x:c>
      <x:c r="D486" s="8" t="str">
        <x:v>legacy:unsupported_wrong_coverage_type</x:v>
      </x:c>
      <x:c r="E486" s="8" t="str"/>
      <x:c r="F486" s="10" t="str">
        <x:v>Which coverage includes windshield damage?</x:v>
      </x:c>
      <x:c r="G486" s="10" t="str">
        <x:v>Windshield damage is covered under partial comprehensive insurance.</x:v>
      </x:c>
      <x:c r="H486" s="10" t="str">
        <x:v>Windshield damage is covered under fully comprehensive insurance.</x:v>
      </x:c>
      <x:c r="I486" s="8" t="str">
        <x:v>motor</x:v>
      </x:c>
      <x:c r="J486" s="8" t="str">
        <x:v>VALIDATION</x:v>
      </x:c>
      <x:c r="K486" s="10" t="str"/>
      <x:c r="L486" s="12" t="str"/>
      <x:c r="M486" s="12" t="str"/>
      <x:c r="N486" s="12" t="str"/>
      <x:c r="O486" s="12" t="str"/>
      <x:c r="P486" s="12" t="str"/>
    </x:row>
    <x:row r="487">
      <x:c r="A487" s="8" t="str">
        <x:v>ext-legacy-016</x:v>
      </x:c>
      <x:c r="B487" s="8" t="str">
        <x:v>legacy_synthetic</x:v>
      </x:c>
      <x:c r="C487" s="8" t="str">
        <x:v>tests/fixtures/groundedness_calibration_cases.json</x:v>
      </x:c>
      <x:c r="D487" s="8" t="str">
        <x:v>legacy:unsupported_reversed_coverage</x:v>
      </x:c>
      <x:c r="E487" s="8" t="str"/>
      <x:c r="F487" s="10" t="str">
        <x:v>Is windshield glass damage covered?</x:v>
      </x:c>
      <x:c r="G487" s="10" t="str">
        <x:v>The motor policy covers windshield glass damage under partial comprehensive coverage.</x:v>
      </x:c>
      <x:c r="H487" s="10" t="str">
        <x:v>Windshield glass damage is not covered by the motor policy.</x:v>
      </x:c>
      <x:c r="I487" s="8" t="str">
        <x:v>motor</x:v>
      </x:c>
      <x:c r="J487" s="8" t="str">
        <x:v>LOCKED_HOLDOUT_CANDIDATE</x:v>
      </x:c>
      <x:c r="K487" s="10" t="str"/>
      <x:c r="L487" s="12" t="str"/>
      <x:c r="M487" s="12" t="str"/>
      <x:c r="N487" s="12" t="str"/>
      <x:c r="O487" s="12" t="str"/>
      <x:c r="P487" s="12" t="str"/>
    </x:row>
    <x:row r="488">
      <x:c r="A488" s="8" t="str">
        <x:v>ext-legacy-017</x:v>
      </x:c>
      <x:c r="B488" s="8" t="str">
        <x:v>legacy_synthetic</x:v>
      </x:c>
      <x:c r="C488" s="8" t="str">
        <x:v>tests/fixtures/groundedness_calibration_cases.json</x:v>
      </x:c>
      <x:c r="D488" s="8" t="str">
        <x:v>legacy:unsupported_zero_deductible</x:v>
      </x:c>
      <x:c r="E488" s="8" t="str"/>
      <x:c r="F488" s="10" t="str">
        <x:v>Does a deductible apply?</x:v>
      </x:c>
      <x:c r="G488" s="10" t="str">
        <x:v>A deductible of EUR 150 applies to every insured glass claim.</x:v>
      </x:c>
      <x:c r="H488" s="10" t="str">
        <x:v>No deductible applies to a glass claim.</x:v>
      </x:c>
      <x:c r="I488" s="8" t="str">
        <x:v>general_insurance</x:v>
      </x:c>
      <x:c r="J488" s="8" t="str">
        <x:v>VALIDATION</x:v>
      </x:c>
      <x:c r="K488" s="10" t="str"/>
      <x:c r="L488" s="12" t="str"/>
      <x:c r="M488" s="12" t="str"/>
      <x:c r="N488" s="12" t="str"/>
      <x:c r="O488" s="12" t="str"/>
      <x:c r="P488" s="12" t="str"/>
    </x:row>
    <x:row r="489">
      <x:c r="A489" s="8" t="str">
        <x:v>ext-legacy-018</x:v>
      </x:c>
      <x:c r="B489" s="8" t="str">
        <x:v>legacy_synthetic</x:v>
      </x:c>
      <x:c r="C489" s="8" t="str">
        <x:v>tests/fixtures/groundedness_calibration_cases.json</x:v>
      </x:c>
      <x:c r="D489" s="8" t="str">
        <x:v>legacy:unsupported_rental_car_extension</x:v>
      </x:c>
      <x:c r="E489" s="8" t="str"/>
      <x:c r="F489" s="10" t="str">
        <x:v>Summarize the glass benefit.</x:v>
      </x:c>
      <x:c r="G489" s="10" t="str">
        <x:v>Partial comprehensive insurance covers windshield glass damage with a EUR 150 deductible.</x:v>
      </x:c>
      <x:c r="H489" s="10" t="str">
        <x:v>Glass damage is covered and a free rental car is provided for fourteen days.</x:v>
      </x:c>
      <x:c r="I489" s="8" t="str">
        <x:v>general_insurance</x:v>
      </x:c>
      <x:c r="J489" s="8" t="str">
        <x:v>LOCKED_HOLDOUT_CANDIDATE</x:v>
      </x:c>
      <x:c r="K489" s="10" t="str"/>
      <x:c r="L489" s="12" t="str"/>
      <x:c r="M489" s="12" t="str"/>
      <x:c r="N489" s="12" t="str"/>
      <x:c r="O489" s="12" t="str"/>
      <x:c r="P489" s="12" t="str"/>
    </x:row>
    <x:row r="490">
      <x:c r="A490" s="8" t="str">
        <x:v>ext-legacy-019</x:v>
      </x:c>
      <x:c r="B490" s="8" t="str">
        <x:v>legacy_synthetic</x:v>
      </x:c>
      <x:c r="C490" s="8" t="str">
        <x:v>tests/fixtures/groundedness_calibration_cases.json</x:v>
      </x:c>
      <x:c r="D490" s="8" t="str">
        <x:v>legacy:unsupported_wrong_policy_dates</x:v>
      </x:c>
      <x:c r="E490" s="8" t="str"/>
      <x:c r="F490" s="10" t="str">
        <x:v>When is the policy active?</x:v>
      </x:c>
      <x:c r="G490" s="10" t="str">
        <x:v>The policy is active from 2026-01-01 through 2026-12-31.</x:v>
      </x:c>
      <x:c r="H490" s="10" t="str">
        <x:v>The policy is active from 2025-01-01 through 2025-12-31.</x:v>
      </x:c>
      <x:c r="I490" s="8" t="str">
        <x:v>general_insurance</x:v>
      </x:c>
      <x:c r="J490" s="8" t="str">
        <x:v>VALIDATION</x:v>
      </x:c>
      <x:c r="K490" s="10" t="str"/>
      <x:c r="L490" s="12" t="str"/>
      <x:c r="M490" s="12" t="str"/>
      <x:c r="N490" s="12" t="str"/>
      <x:c r="O490" s="12" t="str"/>
      <x:c r="P490" s="12" t="str"/>
    </x:row>
    <x:row r="491">
      <x:c r="A491" s="8" t="str">
        <x:v>ext-legacy-020</x:v>
      </x:c>
      <x:c r="B491" s="8" t="str">
        <x:v>legacy_synthetic</x:v>
      </x:c>
      <x:c r="C491" s="8" t="str">
        <x:v>tests/fixtures/groundedness_calibration_cases.json</x:v>
      </x:c>
      <x:c r="D491" s="8" t="str">
        <x:v>legacy:unsupported_wrong_home_deductible</x:v>
      </x:c>
      <x:c r="E491" s="8" t="str"/>
      <x:c r="F491" s="10" t="str">
        <x:v>What is the water damage deductible?</x:v>
      </x:c>
      <x:c r="G491" s="10" t="str">
        <x:v>The water damage deductible is EUR 500 per claim.</x:v>
      </x:c>
      <x:c r="H491" s="10" t="str">
        <x:v>The water damage deductible is EUR 250 per claim.</x:v>
      </x:c>
      <x:c r="I491" s="8" t="str">
        <x:v>general_insurance</x:v>
      </x:c>
      <x:c r="J491" s="8" t="str">
        <x:v>LOCKED_HOLDOUT_CANDIDATE</x:v>
      </x:c>
      <x:c r="K491" s="10" t="str"/>
      <x:c r="L491" s="12" t="str"/>
      <x:c r="M491" s="12" t="str"/>
      <x:c r="N491" s="12" t="str"/>
      <x:c r="O491" s="12" t="str"/>
      <x:c r="P491" s="12" t="str"/>
    </x:row>
    <x:row r="492">
      <x:c r="A492" s="8" t="str">
        <x:v>ext-legacy-021</x:v>
      </x:c>
      <x:c r="B492" s="8" t="str">
        <x:v>legacy_synthetic</x:v>
      </x:c>
      <x:c r="C492" s="8" t="str">
        <x:v>tests/fixtures/groundedness_calibration_cases.json</x:v>
      </x:c>
      <x:c r="D492" s="8" t="str">
        <x:v>legacy:unsupported_wrong_baggage_limit</x:v>
      </x:c>
      <x:c r="E492" s="8" t="str"/>
      <x:c r="F492" s="10" t="str">
        <x:v>What is the baggage limit?</x:v>
      </x:c>
      <x:c r="G492" s="10" t="str">
        <x:v>Baggage is covered up to EUR 2,000 under the travel policy.</x:v>
      </x:c>
      <x:c r="H492" s="10" t="str">
        <x:v>Baggage is covered up to EUR 5,000.</x:v>
      </x:c>
      <x:c r="I492" s="8" t="str">
        <x:v>travel_assistance</x:v>
      </x:c>
      <x:c r="J492" s="8" t="str">
        <x:v>LOCKED_HOLDOUT_CANDIDATE</x:v>
      </x:c>
      <x:c r="K492" s="10" t="str"/>
      <x:c r="L492" s="12" t="str"/>
      <x:c r="M492" s="12" t="str"/>
      <x:c r="N492" s="12" t="str"/>
      <x:c r="O492" s="12" t="str"/>
      <x:c r="P492" s="12" t="str"/>
    </x:row>
    <x:row r="493">
      <x:c r="A493" s="8" t="str">
        <x:v>ext-legacy-022</x:v>
      </x:c>
      <x:c r="B493" s="8" t="str">
        <x:v>legacy_synthetic</x:v>
      </x:c>
      <x:c r="C493" s="8" t="str">
        <x:v>tests/fixtures/groundedness_calibration_cases.json</x:v>
      </x:c>
      <x:c r="D493" s="8" t="str">
        <x:v>legacy:unsupported_wrong_dental_percentage</x:v>
      </x:c>
      <x:c r="E493" s="8" t="str"/>
      <x:c r="F493" s="10" t="str">
        <x:v>How much dental treatment is reimbursed?</x:v>
      </x:c>
      <x:c r="G493" s="10" t="str">
        <x:v>The plan reimburses 80 percent of eligible dental treatment costs.</x:v>
      </x:c>
      <x:c r="H493" s="10" t="str">
        <x:v>The plan reimburses 100 percent of dental treatment costs.</x:v>
      </x:c>
      <x:c r="I493" s="8" t="str">
        <x:v>health</x:v>
      </x:c>
      <x:c r="J493" s="8" t="str">
        <x:v>LOCKED_HOLDOUT_CANDIDATE</x:v>
      </x:c>
      <x:c r="K493" s="10" t="str"/>
      <x:c r="L493" s="12" t="str"/>
      <x:c r="M493" s="12" t="str"/>
      <x:c r="N493" s="12" t="str"/>
      <x:c r="O493" s="12" t="str"/>
      <x:c r="P493" s="12" t="str"/>
    </x:row>
    <x:row r="494">
      <x:c r="A494" s="8" t="str">
        <x:v>ext-legacy-023</x:v>
      </x:c>
      <x:c r="B494" s="8" t="str">
        <x:v>legacy_synthetic</x:v>
      </x:c>
      <x:c r="C494" s="8" t="str">
        <x:v>tests/fixtures/groundedness_calibration_cases.json</x:v>
      </x:c>
      <x:c r="D494" s="8" t="str">
        <x:v>legacy:unsupported_mixed_extra_claim</x:v>
      </x:c>
      <x:c r="E494" s="8" t="str"/>
      <x:c r="F494" s="10" t="str">
        <x:v>Summarize the motor glass benefit.</x:v>
      </x:c>
      <x:c r="G494" s="10" t="str">
        <x:v>The motor policy covers windshield glass damage under partial comprehensive coverage.</x:v>
      </x:c>
      <x:c r="H494" s="10" t="str">
        <x:v>Windshield glass damage is covered. The policy also provides unlimited towing anywhere in Europe.</x:v>
      </x:c>
      <x:c r="I494" s="8" t="str">
        <x:v>motor</x:v>
      </x:c>
      <x:c r="J494" s="8" t="str">
        <x:v>VALIDATION</x:v>
      </x:c>
      <x:c r="K494" s="10" t="str"/>
      <x:c r="L494" s="12" t="str"/>
      <x:c r="M494" s="12" t="str"/>
      <x:c r="N494" s="12" t="str"/>
      <x:c r="O494" s="12" t="str"/>
      <x:c r="P494" s="12" t="str"/>
    </x:row>
    <x:row r="495">
      <x:c r="A495" s="8" t="str">
        <x:v>ext-legacy-024</x:v>
      </x:c>
      <x:c r="B495" s="8" t="str">
        <x:v>legacy_synthetic</x:v>
      </x:c>
      <x:c r="C495" s="8" t="str">
        <x:v>tests/fixtures/groundedness_calibration_cases.json</x:v>
      </x:c>
      <x:c r="D495" s="8" t="str">
        <x:v>legacy:unsupported_cancellation_claim</x:v>
      </x:c>
      <x:c r="E495" s="8" t="str"/>
      <x:c r="F495" s="10" t="str">
        <x:v>What is the status of the contract?</x:v>
      </x:c>
      <x:c r="G495" s="10" t="str">
        <x:v>Contract TEST-KFZ-2026-1001 is active from 2026-01-01 through 2026-12-31.</x:v>
      </x:c>
      <x:c r="H495" s="10" t="str">
        <x:v>Contract TEST-KFZ-2026-1001 was cancelled on 2026-06-30.</x:v>
      </x:c>
      <x:c r="I495" s="8" t="str">
        <x:v>general_insurance</x:v>
      </x:c>
      <x:c r="J495" s="8" t="str">
        <x:v>VALIDATION</x:v>
      </x:c>
      <x:c r="K495" s="10" t="str"/>
      <x:c r="L495" s="12" t="str"/>
      <x:c r="M495" s="12" t="str"/>
      <x:c r="N495" s="12" t="str"/>
      <x:c r="O495" s="12" t="str"/>
      <x:c r="P495" s="12" t="str"/>
    </x:row>
    <x:row r="496">
      <x:c r="A496" s="8" t="str">
        <x:v>ext-legacy-025</x:v>
      </x:c>
      <x:c r="B496" s="8" t="str">
        <x:v>legacy_synthetic</x:v>
      </x:c>
      <x:c r="C496" s="8" t="str">
        <x:v>tests/fixtures/groundedness_calibration_cases.json</x:v>
      </x:c>
      <x:c r="D496" s="8" t="str">
        <x:v>legacy:supported_customer_association</x:v>
      </x:c>
      <x:c r="E496" s="8" t="str"/>
      <x:c r="F496" s="10" t="str">
        <x:v>Whose insured vehicle has glass coverage?</x:v>
      </x:c>
      <x:c r="G496" s="10" t="str">
        <x:v>Insured person: Lara Neumann. Her insured vehicle has windshield glass coverage.</x:v>
      </x:c>
      <x:c r="H496" s="10" t="str">
        <x:v>The covered insured vehicle belongs to Lara Neumann.</x:v>
      </x:c>
      <x:c r="I496" s="8" t="str">
        <x:v>motor</x:v>
      </x:c>
      <x:c r="J496" s="8" t="str">
        <x:v>CALIBRATION</x:v>
      </x:c>
      <x:c r="K496" s="10" t="str"/>
      <x:c r="L496" s="12" t="str"/>
      <x:c r="M496" s="12" t="str"/>
      <x:c r="N496" s="12" t="str"/>
      <x:c r="O496" s="12" t="str"/>
      <x:c r="P496" s="12" t="str"/>
    </x:row>
    <x:row r="497">
      <x:c r="A497" s="8" t="str">
        <x:v>ext-legacy-026</x:v>
      </x:c>
      <x:c r="B497" s="8" t="str">
        <x:v>legacy_synthetic</x:v>
      </x:c>
      <x:c r="C497" s="8" t="str">
        <x:v>tests/fixtures/groundedness_calibration_cases.json</x:v>
      </x:c>
      <x:c r="D497" s="8" t="str">
        <x:v>legacy:supported_concise_coverage</x:v>
      </x:c>
      <x:c r="E497" s="8" t="str"/>
      <x:c r="F497" s="10" t="str">
        <x:v>Is the windshield covered?</x:v>
      </x:c>
      <x:c r="G497" s="10" t="str">
        <x:v>Windshield glass damage is covered by the motor policy.</x:v>
      </x:c>
      <x:c r="H497" s="10" t="str">
        <x:v>Yes, windshield glass damage is covered.</x:v>
      </x:c>
      <x:c r="I497" s="8" t="str">
        <x:v>motor</x:v>
      </x:c>
      <x:c r="J497" s="8" t="str">
        <x:v>CALIBRATION</x:v>
      </x:c>
      <x:c r="K497" s="10" t="str"/>
      <x:c r="L497" s="12" t="str"/>
      <x:c r="M497" s="12" t="str"/>
      <x:c r="N497" s="12" t="str"/>
      <x:c r="O497" s="12" t="str"/>
      <x:c r="P497" s="12" t="str"/>
    </x:row>
    <x:row r="498">
      <x:c r="A498" s="8" t="str">
        <x:v>ext-legacy-027</x:v>
      </x:c>
      <x:c r="B498" s="8" t="str">
        <x:v>legacy_synthetic</x:v>
      </x:c>
      <x:c r="C498" s="8" t="str">
        <x:v>tests/fixtures/groundedness_calibration_cases.json</x:v>
      </x:c>
      <x:c r="D498" s="8" t="str">
        <x:v>legacy:unsupported_liability_distractor_answer</x:v>
      </x:c>
      <x:c r="E498" s="8" t="str"/>
      <x:c r="F498" s="10" t="str">
        <x:v>Which motor coverage and contract cover windshield damage?</x:v>
      </x:c>
      <x:c r="G498" s="10" t="str">
        <x:v>Motor contract TEST-KFZ-2026-1001 covers windshield damage under partial comprehensive insurance with a EUR 150 deductible.
---
Personal liability contract TEST-PHV-2026-2001 does not cover windshield damage to the insured person's own vehicle and has no general deductible.</x:v>
      </x:c>
      <x:c r="H498" s="10" t="str">
        <x:v>Personal liability contract TEST-PHV-2026-2001 covers the windshield damage with no deductible.</x:v>
      </x:c>
      <x:c r="I498" s="8" t="str">
        <x:v>motor</x:v>
      </x:c>
      <x:c r="J498" s="8" t="str">
        <x:v>VALIDATION</x:v>
      </x:c>
      <x:c r="K498" s="10" t="str"/>
      <x:c r="L498" s="12" t="str"/>
      <x:c r="M498" s="12" t="str"/>
      <x:c r="N498" s="12" t="str"/>
      <x:c r="O498" s="12" t="str"/>
      <x:c r="P498" s="12" t="str"/>
    </x:row>
    <x:row r="499">
      <x:c r="A499" s="9" t="str">
        <x:v>ext-legacy-028</x:v>
      </x:c>
      <x:c r="B499" s="9" t="str">
        <x:v>legacy_synthetic</x:v>
      </x:c>
      <x:c r="C499" s="9" t="str">
        <x:v>tests/fixtures/groundedness_calibration_cases.json</x:v>
      </x:c>
      <x:c r="D499" s="9" t="str">
        <x:v>legacy:unsupported_information_missing</x:v>
      </x:c>
      <x:c r="E499" s="9" t="str"/>
      <x:c r="F499" s="11" t="str">
        <x:v>Is windshield damage covered and what deductible applies?</x:v>
      </x:c>
      <x:c r="G499" s="11" t="str">
        <x:v>Windshield glass damage is covered under partial comprehensive insurance. The deductible is EUR 150 per claim.</x:v>
      </x:c>
      <x:c r="H499" s="11" t="str">
        <x:v>The available documents do not state whether windshield damage is covered or whether a deductible applies.</x:v>
      </x:c>
      <x:c r="I499" s="9" t="str">
        <x:v>motor</x:v>
      </x:c>
      <x:c r="J499" s="9" t="str">
        <x:v>VALIDATION</x:v>
      </x:c>
      <x:c r="K499" s="11" t="str"/>
      <x:c r="L499" s="13" t="str"/>
      <x:c r="M499" s="13" t="str"/>
      <x:c r="N499" s="13" t="str"/>
      <x:c r="O499" s="13" t="str"/>
      <x:c r="P499" s="13" t="str"/>
    </x:row>
  </x:sheetData>
  <x:dataValidations count="4">
    <x:dataValidation type="list" sqref="L2:L499">
      <x:formula1>"PASS,FAIL,AMBIGUOUS,EXCLUDE"</x:formula1>
    </x:dataValidation>
    <x:dataValidation type="list" sqref="M2:M499">
      <x:formula1>Data_Dictionary!$H$2:$H$25</x:formula1>
    </x:dataValidation>
    <x:dataValidation type="list" sqref="N2:N499">
      <x:formula1>"CRITICAL,NON_CRITICAL,REVIEW_REQUIRED"</x:formula1>
    </x:dataValidation>
    <x:dataValidation type="whole" operator="between" sqref="O2:O499">
      <x:formula1>1</x:formula1>
      <x:formula2>5</x:formula2>
    </x:dataValidation>
  </x:dataValidations>
  <x:pageMargins left="0.7" right="0.7" top="0.75" bottom="0.75" header="0.3" footer="0.3"/>
  <x:tableParts count="1">
    <x:tablePart xmlns:r="http://schemas.openxmlformats.org/officeDocument/2006/relationships" r:id="R38e482346d984e4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55" hidden="0" customWidth="1"/>
    <x:col min="3" max="3" width="5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46" hidden="0" customWidth="1"/>
    <x:col min="15" max="15" width="16" hidden="0" customWidth="1"/>
  </x:cols>
  <x:sheetData>
    <x:row r="1">
      <x:c r="A1" s="5" t="str">
        <x:v>case_id</x:v>
      </x:c>
      <x:c r="B1" s="5" t="str">
        <x:v>question</x:v>
      </x:c>
      <x:c r="C1" s="5" t="str">
        <x:v>candidate_answer</x:v>
      </x:c>
      <x:c r="D1" s="5" t="str">
        <x:v>reviewer_1_label</x:v>
      </x:c>
      <x:c r="E1" s="5" t="str">
        <x:v>reviewer_2_label</x:v>
      </x:c>
      <x:c r="F1" s="5" t="str">
        <x:v>adjudicated_label</x:v>
      </x:c>
      <x:c r="G1" s="5" t="str">
        <x:v>reviewer_1_error_category</x:v>
      </x:c>
      <x:c r="H1" s="5" t="str">
        <x:v>reviewer_2_error_category</x:v>
      </x:c>
      <x:c r="I1" s="5" t="str">
        <x:v>adjudicated_error_category</x:v>
      </x:c>
      <x:c r="J1" s="5" t="str">
        <x:v>reviewer_1_criticality</x:v>
      </x:c>
      <x:c r="K1" s="5" t="str">
        <x:v>reviewer_2_criticality</x:v>
      </x:c>
      <x:c r="L1" s="5" t="str">
        <x:v>adjudicated_criticality</x:v>
      </x:c>
      <x:c r="M1" s="5" t="str">
        <x:v>adjudicated_confidence</x:v>
      </x:c>
      <x:c r="N1" s="5" t="str">
        <x:v>adjudication_notes</x:v>
      </x:c>
      <x:c r="O1" s="5" t="str">
        <x:v>conflict_status</x:v>
      </x:c>
    </x:row>
    <x:row r="2">
      <x:c r="A2" t="str">
        <x:v>ext-iqa-pass-001</x:v>
      </x:c>
      <x:c r="B2" s="20" t="str">
        <x:v>Does Home Insurance Cover Flood?</x:v>
      </x:c>
      <x:c r="C2" s="20" t="str">
        <x:v>The short and direct answer is no , a Homeowners ' Insurance policy does noit cover for a flood . Flood Insurance must be obtained separately . FEMA administers the plans and they can be written through a number of different insurance companies . Check their website and look for Flood Certified Agents who would be happy to answer your questions and help you through the process .</x:v>
      </x:c>
      <x:c r="D2" s="20" t="str">
        <x:f>IF(Reviewer_1!L2="","",Reviewer_1!L2)</x:f>
      </x:c>
      <x:c r="E2" s="20" t="str">
        <x:f>IF(Reviewer_2!L2="","",Reviewer_2!L2)</x:f>
      </x:c>
      <x:c r="F2" s="25"/>
      <x:c r="G2" s="20" t="str">
        <x:f>IF(Reviewer_1!M2="","",Reviewer_1!M2)</x:f>
      </x:c>
      <x:c r="H2" s="20" t="str">
        <x:f>IF(Reviewer_2!M2="","",Reviewer_2!M2)</x:f>
      </x:c>
      <x:c r="I2" s="25"/>
      <x:c r="J2" s="20" t="str">
        <x:f>IF(Reviewer_1!N2="","",Reviewer_1!N2)</x:f>
      </x:c>
      <x:c r="K2" s="20" t="str">
        <x:f>IF(Reviewer_2!N2="","",Reviewer_2!N2)</x:f>
      </x:c>
      <x:c r="L2" s="25"/>
      <x:c r="M2" s="25"/>
      <x:c r="N2" s="25"/>
      <x:c r="O2" s="20" t="str">
        <x:f>IF(OR(D2="",E2=""),"PENDING",IF(OR(D2&lt;&gt;E2,G2&lt;&gt;H2,J2&lt;&gt;K2),"CONFLICT","AGREE"))</x:f>
        <x:v>PENDING</x:v>
      </x:c>
    </x:row>
    <x:row r="3">
      <x:c r="A3" t="str">
        <x:v>ext-iqa-pass-002</x:v>
      </x:c>
      <x:c r="B3" s="20" t="str">
        <x:v>When Can I Enroll In Medicare Part A?</x:v>
      </x:c>
      <x:c r="C3" s="20" t="str">
        <x:v>You will automatically be enrolled in Medicare when you reach age 65 provided you have worked long enough and paid into the system . You will have the choice to opt out of part B of Medicare , but I do not recommend it unless you are still working and in a group . You will also get Medicare if you are on Social Security Disability . There is about a two year wait when you get disability before you are eligible .</x:v>
      </x:c>
      <x:c r="D3" s="20" t="str">
        <x:f>IF(Reviewer_1!L3="","",Reviewer_1!L3)</x:f>
      </x:c>
      <x:c r="E3" s="20" t="str">
        <x:f>IF(Reviewer_2!L3="","",Reviewer_2!L3)</x:f>
      </x:c>
      <x:c r="F3" s="25"/>
      <x:c r="G3" s="20" t="str">
        <x:f>IF(Reviewer_1!M3="","",Reviewer_1!M3)</x:f>
      </x:c>
      <x:c r="H3" s="20" t="str">
        <x:f>IF(Reviewer_2!M3="","",Reviewer_2!M3)</x:f>
      </x:c>
      <x:c r="I3" s="25"/>
      <x:c r="J3" s="20" t="str">
        <x:f>IF(Reviewer_1!N3="","",Reviewer_1!N3)</x:f>
      </x:c>
      <x:c r="K3" s="20" t="str">
        <x:f>IF(Reviewer_2!N3="","",Reviewer_2!N3)</x:f>
      </x:c>
      <x:c r="L3" s="25"/>
      <x:c r="M3" s="25"/>
      <x:c r="N3" s="25"/>
      <x:c r="O3" s="20" t="str">
        <x:f>IF(OR(D3="",E3=""),"PENDING",IF(OR(D3&lt;&gt;E3,G3&lt;&gt;H3,J3&lt;&gt;K3),"CONFLICT","AGREE"))</x:f>
        <x:v>PENDING</x:v>
      </x:c>
    </x:row>
    <x:row r="4">
      <x:c r="A4" t="str">
        <x:v>ext-iqa-pass-003</x:v>
      </x:c>
      <x:c r="B4" s="20" t="str">
        <x:v>Do I Need Home Insurance For A Condo?</x:v>
      </x:c>
      <x:c r="C4" s="20" t="str">
        <x:v>Condominium coverage requires a different form from the standard homeowners package . However , it provides many of the same coverages . The chief difference is that the structure itself is generally insured under a blanket condominium association policy , not the condominium form . The owner of each unit is normally not responsible for the structure , its maintenance or insurance . The owner of a unit is not responsible for the general areas such as gardens and walkways surrounding the condominium . The owners responsibility is for property contained within the structure , to include internal walls , and paint . When a person purchases a condominium they generally secure a mortgage . The mortgage companies will require the owner to purchase a policy to protect the lenders interest in the property . They want coverage for what they loaned you money to purchase . The amount of coverage under a condominium policy includes the amount required to restore the condominium in the event of a covered loss . At the same time the condominium policy provides a way for the homeowner to insure their own personal property -LRB- furniture , decorations , appliances and other property . -RRB-</x:v>
      </x:c>
      <x:c r="D4" s="20" t="str">
        <x:f>IF(Reviewer_1!L4="","",Reviewer_1!L4)</x:f>
      </x:c>
      <x:c r="E4" s="20" t="str">
        <x:f>IF(Reviewer_2!L4="","",Reviewer_2!L4)</x:f>
      </x:c>
      <x:c r="F4" s="25"/>
      <x:c r="G4" s="20" t="str">
        <x:f>IF(Reviewer_1!M4="","",Reviewer_1!M4)</x:f>
      </x:c>
      <x:c r="H4" s="20" t="str">
        <x:f>IF(Reviewer_2!M4="","",Reviewer_2!M4)</x:f>
      </x:c>
      <x:c r="I4" s="25"/>
      <x:c r="J4" s="20" t="str">
        <x:f>IF(Reviewer_1!N4="","",Reviewer_1!N4)</x:f>
      </x:c>
      <x:c r="K4" s="20" t="str">
        <x:f>IF(Reviewer_2!N4="","",Reviewer_2!N4)</x:f>
      </x:c>
      <x:c r="L4" s="25"/>
      <x:c r="M4" s="25"/>
      <x:c r="N4" s="25"/>
      <x:c r="O4" s="20" t="str">
        <x:f>IF(OR(D4="",E4=""),"PENDING",IF(OR(D4&lt;&gt;E4,G4&lt;&gt;H4,J4&lt;&gt;K4),"CONFLICT","AGREE"))</x:f>
        <x:v>PENDING</x:v>
      </x:c>
    </x:row>
    <x:row r="5">
      <x:c r="A5" t="str">
        <x:v>ext-iqa-pass-004</x:v>
      </x:c>
      <x:c r="B5" s="20" t="str">
        <x:v>How Much Does Car Insurance Increase After DUI?</x:v>
      </x:c>
      <x:c r="C5" s="20" t="str">
        <x:v>Car insurance rates typically increase after a DUI ... although the amount of the increase will vary depending on the company you are insured with . There are other costs associated with getting a DUI , including possible reinstatement of your driver 's license and purchase of a Bond , as required by the state . Question answered by E. Harris ... Car insurance broker since 1980 with top-rated website .</x:v>
      </x:c>
      <x:c r="D5" s="20" t="str">
        <x:f>IF(Reviewer_1!L5="","",Reviewer_1!L5)</x:f>
      </x:c>
      <x:c r="E5" s="20" t="str">
        <x:f>IF(Reviewer_2!L5="","",Reviewer_2!L5)</x:f>
      </x:c>
      <x:c r="F5" s="25"/>
      <x:c r="G5" s="20" t="str">
        <x:f>IF(Reviewer_1!M5="","",Reviewer_1!M5)</x:f>
      </x:c>
      <x:c r="H5" s="20" t="str">
        <x:f>IF(Reviewer_2!M5="","",Reviewer_2!M5)</x:f>
      </x:c>
      <x:c r="I5" s="25"/>
      <x:c r="J5" s="20" t="str">
        <x:f>IF(Reviewer_1!N5="","",Reviewer_1!N5)</x:f>
      </x:c>
      <x:c r="K5" s="20" t="str">
        <x:f>IF(Reviewer_2!N5="","",Reviewer_2!N5)</x:f>
      </x:c>
      <x:c r="L5" s="25"/>
      <x:c r="M5" s="25"/>
      <x:c r="N5" s="25"/>
      <x:c r="O5" s="20" t="str">
        <x:f>IF(OR(D5="",E5=""),"PENDING",IF(OR(D5&lt;&gt;E5,G5&lt;&gt;H5,J5&lt;&gt;K5),"CONFLICT","AGREE"))</x:f>
        <x:v>PENDING</x:v>
      </x:c>
    </x:row>
    <x:row r="6">
      <x:c r="A6" t="str">
        <x:v>ext-iqa-pass-005</x:v>
      </x:c>
      <x:c r="B6" s="20" t="str">
        <x:v>Does Home Owners Insurance Cover Asbestos Removal?</x:v>
      </x:c>
      <x:c r="C6" s="20" t="str">
        <x:v>Generally the answer to that would be no . Your Homeowners is not designed to cover this type of renovation . If your home is damaged by a covered peril then the removal of asbestos would be covered as part of the repairs , but otherwise you will have to pay .</x:v>
      </x:c>
      <x:c r="D6" s="20" t="str">
        <x:f>IF(Reviewer_1!L6="","",Reviewer_1!L6)</x:f>
      </x:c>
      <x:c r="E6" s="20" t="str">
        <x:f>IF(Reviewer_2!L6="","",Reviewer_2!L6)</x:f>
      </x:c>
      <x:c r="F6" s="25"/>
      <x:c r="G6" s="20" t="str">
        <x:f>IF(Reviewer_1!M6="","",Reviewer_1!M6)</x:f>
      </x:c>
      <x:c r="H6" s="20" t="str">
        <x:f>IF(Reviewer_2!M6="","",Reviewer_2!M6)</x:f>
      </x:c>
      <x:c r="I6" s="25"/>
      <x:c r="J6" s="20" t="str">
        <x:f>IF(Reviewer_1!N6="","",Reviewer_1!N6)</x:f>
      </x:c>
      <x:c r="K6" s="20" t="str">
        <x:f>IF(Reviewer_2!N6="","",Reviewer_2!N6)</x:f>
      </x:c>
      <x:c r="L6" s="25"/>
      <x:c r="M6" s="25"/>
      <x:c r="N6" s="25"/>
      <x:c r="O6" s="20" t="str">
        <x:f>IF(OR(D6="",E6=""),"PENDING",IF(OR(D6&lt;&gt;E6,G6&lt;&gt;H6,J6&lt;&gt;K6),"CONFLICT","AGREE"))</x:f>
        <x:v>PENDING</x:v>
      </x:c>
    </x:row>
    <x:row r="7">
      <x:c r="A7" t="str">
        <x:v>ext-iqa-pass-006</x:v>
      </x:c>
      <x:c r="B7" s="20" t="str">
        <x:v>Why Get Medigap?</x:v>
      </x:c>
      <x:c r="C7" s="20" t="str">
        <x:v>Medigap is a Medicare supplement that can help pay some of the health care costs that original Medicare does n't cover , like copayments , coinsurance , and deductibles . It also covers medical care for some travel outside the US . If you have an Medicare Advantage Plan , you would not want to get Medigap .</x:v>
      </x:c>
      <x:c r="D7" s="20" t="str">
        <x:f>IF(Reviewer_1!L7="","",Reviewer_1!L7)</x:f>
      </x:c>
      <x:c r="E7" s="20" t="str">
        <x:f>IF(Reviewer_2!L7="","",Reviewer_2!L7)</x:f>
      </x:c>
      <x:c r="F7" s="25"/>
      <x:c r="G7" s="20" t="str">
        <x:f>IF(Reviewer_1!M7="","",Reviewer_1!M7)</x:f>
      </x:c>
      <x:c r="H7" s="20" t="str">
        <x:f>IF(Reviewer_2!M7="","",Reviewer_2!M7)</x:f>
      </x:c>
      <x:c r="I7" s="25"/>
      <x:c r="J7" s="20" t="str">
        <x:f>IF(Reviewer_1!N7="","",Reviewer_1!N7)</x:f>
      </x:c>
      <x:c r="K7" s="20" t="str">
        <x:f>IF(Reviewer_2!N7="","",Reviewer_2!N7)</x:f>
      </x:c>
      <x:c r="L7" s="25"/>
      <x:c r="M7" s="25"/>
      <x:c r="N7" s="25"/>
      <x:c r="O7" s="20" t="str">
        <x:f>IF(OR(D7="",E7=""),"PENDING",IF(OR(D7&lt;&gt;E7,G7&lt;&gt;H7,J7&lt;&gt;K7),"CONFLICT","AGREE"))</x:f>
        <x:v>PENDING</x:v>
      </x:c>
    </x:row>
    <x:row r="8">
      <x:c r="A8" t="str">
        <x:v>ext-iqa-pass-007</x:v>
      </x:c>
      <x:c r="B8" s="20" t="str">
        <x:v>Does Renters Insurance Transfer?</x:v>
      </x:c>
      <x:c r="C8" s="20" t="str">
        <x:v>If by transfer you mean does the coverage apply at a new location , the answer is yes . The coverage is limited during the transfer itself -LRB- when things are being transported by a moving company or friend . -RRB- The coverage remains in force in most cases for a relatively short period of time . Since underwriting needs to re-evaluate this new location it is necessary for you to contact your agent immediately .</x:v>
      </x:c>
      <x:c r="D8" s="20" t="str">
        <x:f>IF(Reviewer_1!L8="","",Reviewer_1!L8)</x:f>
      </x:c>
      <x:c r="E8" s="20" t="str">
        <x:f>IF(Reviewer_2!L8="","",Reviewer_2!L8)</x:f>
      </x:c>
      <x:c r="F8" s="25"/>
      <x:c r="G8" s="20" t="str">
        <x:f>IF(Reviewer_1!M8="","",Reviewer_1!M8)</x:f>
      </x:c>
      <x:c r="H8" s="20" t="str">
        <x:f>IF(Reviewer_2!M8="","",Reviewer_2!M8)</x:f>
      </x:c>
      <x:c r="I8" s="25"/>
      <x:c r="J8" s="20" t="str">
        <x:f>IF(Reviewer_1!N8="","",Reviewer_1!N8)</x:f>
      </x:c>
      <x:c r="K8" s="20" t="str">
        <x:f>IF(Reviewer_2!N8="","",Reviewer_2!N8)</x:f>
      </x:c>
      <x:c r="L8" s="25"/>
      <x:c r="M8" s="25"/>
      <x:c r="N8" s="25"/>
      <x:c r="O8" s="20" t="str">
        <x:f>IF(OR(D8="",E8=""),"PENDING",IF(OR(D8&lt;&gt;E8,G8&lt;&gt;H8,J8&lt;&gt;K8),"CONFLICT","AGREE"))</x:f>
        <x:v>PENDING</x:v>
      </x:c>
    </x:row>
    <x:row r="9">
      <x:c r="A9" t="str">
        <x:v>ext-iqa-pass-008</x:v>
      </x:c>
      <x:c r="B9" s="20" t="str">
        <x:v>What Is Universal Life Insurance And How Does It Work?</x:v>
      </x:c>
      <x:c r="C9" s="20" t="str">
        <x:v>Universal life insurance is a form of permanent/cash value life insurance known for it 's flexible premium and adjustable -LRB- downward in most cases -RRB- death benefit . Like all permanent products , the policy is driven by cash values -LRB- a reserve -RRB- in the policy that covers policy expenses . The policy holder also has access to this cash value either as a withdrawal or as a policy loan . Universal life insurance is also very well known for it 's transparency , as all expenses are readily available to the insured if he or she wishes to see them .</x:v>
      </x:c>
      <x:c r="D9" s="20" t="str">
        <x:f>IF(Reviewer_1!L9="","",Reviewer_1!L9)</x:f>
      </x:c>
      <x:c r="E9" s="20" t="str">
        <x:f>IF(Reviewer_2!L9="","",Reviewer_2!L9)</x:f>
      </x:c>
      <x:c r="F9" s="25"/>
      <x:c r="G9" s="20" t="str">
        <x:f>IF(Reviewer_1!M9="","",Reviewer_1!M9)</x:f>
      </x:c>
      <x:c r="H9" s="20" t="str">
        <x:f>IF(Reviewer_2!M9="","",Reviewer_2!M9)</x:f>
      </x:c>
      <x:c r="I9" s="25"/>
      <x:c r="J9" s="20" t="str">
        <x:f>IF(Reviewer_1!N9="","",Reviewer_1!N9)</x:f>
      </x:c>
      <x:c r="K9" s="20" t="str">
        <x:f>IF(Reviewer_2!N9="","",Reviewer_2!N9)</x:f>
      </x:c>
      <x:c r="L9" s="25"/>
      <x:c r="M9" s="25"/>
      <x:c r="N9" s="25"/>
      <x:c r="O9" s="20" t="str">
        <x:f>IF(OR(D9="",E9=""),"PENDING",IF(OR(D9&lt;&gt;E9,G9&lt;&gt;H9,J9&lt;&gt;K9),"CONFLICT","AGREE"))</x:f>
        <x:v>PENDING</x:v>
      </x:c>
    </x:row>
    <x:row r="10">
      <x:c r="A10" t="str">
        <x:v>ext-iqa-pass-009</x:v>
      </x:c>
      <x:c r="B10" s="20" t="str">
        <x:v>Does AAA Have Term Life Insurance?</x:v>
      </x:c>
      <x:c r="C10" s="20" t="str">
        <x:v>AAA while being best known for its ' auto towing services and for those of us old enough to remember , their tripticket map service , does indeed sell term insurance . However their are many carriers with higher financial ratings that charge less . In fact , I once had a client who worked for AAA but decided on a less expensive policy with better ratings and a lower cost .</x:v>
      </x:c>
      <x:c r="D10" s="20" t="str">
        <x:f>IF(Reviewer_1!L10="","",Reviewer_1!L10)</x:f>
      </x:c>
      <x:c r="E10" s="20" t="str">
        <x:f>IF(Reviewer_2!L10="","",Reviewer_2!L10)</x:f>
      </x:c>
      <x:c r="F10" s="25"/>
      <x:c r="G10" s="20" t="str">
        <x:f>IF(Reviewer_1!M10="","",Reviewer_1!M10)</x:f>
      </x:c>
      <x:c r="H10" s="20" t="str">
        <x:f>IF(Reviewer_2!M10="","",Reviewer_2!M10)</x:f>
      </x:c>
      <x:c r="I10" s="25"/>
      <x:c r="J10" s="20" t="str">
        <x:f>IF(Reviewer_1!N10="","",Reviewer_1!N10)</x:f>
      </x:c>
      <x:c r="K10" s="20" t="str">
        <x:f>IF(Reviewer_2!N10="","",Reviewer_2!N10)</x:f>
      </x:c>
      <x:c r="L10" s="25"/>
      <x:c r="M10" s="25"/>
      <x:c r="N10" s="25"/>
      <x:c r="O10" s="20" t="str">
        <x:f>IF(OR(D10="",E10=""),"PENDING",IF(OR(D10&lt;&gt;E10,G10&lt;&gt;H10,J10&lt;&gt;K10),"CONFLICT","AGREE"))</x:f>
        <x:v>PENDING</x:v>
      </x:c>
    </x:row>
    <x:row r="11">
      <x:c r="A11" t="str">
        <x:v>ext-iqa-pass-010</x:v>
      </x:c>
      <x:c r="B11" s="20" t="str">
        <x:v>Does ADP Offer Health Insurance?</x:v>
      </x:c>
      <x:c r="C11" s="20" t="str">
        <x:v>ADP Inc. is a worldwide company that offers payroll and resource management expertise to many companies.Presumably they offer healthcare to their employees . Many large and small businesses offer group health , dental and life benefits to their full-time and part-time employees . Depending on the company , they will pay a portion of the premium of those benefits .</x:v>
      </x:c>
      <x:c r="D11" s="20" t="str">
        <x:f>IF(Reviewer_1!L11="","",Reviewer_1!L11)</x:f>
      </x:c>
      <x:c r="E11" s="20" t="str">
        <x:f>IF(Reviewer_2!L11="","",Reviewer_2!L11)</x:f>
      </x:c>
      <x:c r="F11" s="25"/>
      <x:c r="G11" s="20" t="str">
        <x:f>IF(Reviewer_1!M11="","",Reviewer_1!M11)</x:f>
      </x:c>
      <x:c r="H11" s="20" t="str">
        <x:f>IF(Reviewer_2!M11="","",Reviewer_2!M11)</x:f>
      </x:c>
      <x:c r="I11" s="25"/>
      <x:c r="J11" s="20" t="str">
        <x:f>IF(Reviewer_1!N11="","",Reviewer_1!N11)</x:f>
      </x:c>
      <x:c r="K11" s="20" t="str">
        <x:f>IF(Reviewer_2!N11="","",Reviewer_2!N11)</x:f>
      </x:c>
      <x:c r="L11" s="25"/>
      <x:c r="M11" s="25"/>
      <x:c r="N11" s="25"/>
      <x:c r="O11" s="20" t="str">
        <x:f>IF(OR(D11="",E11=""),"PENDING",IF(OR(D11&lt;&gt;E11,G11&lt;&gt;H11,J11&lt;&gt;K11),"CONFLICT","AGREE"))</x:f>
        <x:v>PENDING</x:v>
      </x:c>
    </x:row>
    <x:row r="12">
      <x:c r="A12" t="str">
        <x:v>ext-iqa-pass-011</x:v>
      </x:c>
      <x:c r="B12" s="20" t="str">
        <x:v>Can I Get Life Insurance After Breast Cancer?</x:v>
      </x:c>
      <x:c r="C12" s="20" t="str">
        <x:v>The short answer is yes , you can buy life insurance after cancer . The type , amount and terms depends on the cancer itselfand how long you have been cancer free after your last treatment . To get into the standard ratings after breast cancer practically all carriers will want to see you cancer free for 10 years . Anything less than10 yearswill be a higher risk policy of either rated premiums or graduated benefits .</x:v>
      </x:c>
      <x:c r="D12" s="20" t="str">
        <x:f>IF(Reviewer_1!L12="","",Reviewer_1!L12)</x:f>
      </x:c>
      <x:c r="E12" s="20" t="str">
        <x:f>IF(Reviewer_2!L12="","",Reviewer_2!L12)</x:f>
      </x:c>
      <x:c r="F12" s="25"/>
      <x:c r="G12" s="20" t="str">
        <x:f>IF(Reviewer_1!M12="","",Reviewer_1!M12)</x:f>
      </x:c>
      <x:c r="H12" s="20" t="str">
        <x:f>IF(Reviewer_2!M12="","",Reviewer_2!M12)</x:f>
      </x:c>
      <x:c r="I12" s="25"/>
      <x:c r="J12" s="20" t="str">
        <x:f>IF(Reviewer_1!N12="","",Reviewer_1!N12)</x:f>
      </x:c>
      <x:c r="K12" s="20" t="str">
        <x:f>IF(Reviewer_2!N12="","",Reviewer_2!N12)</x:f>
      </x:c>
      <x:c r="L12" s="25"/>
      <x:c r="M12" s="25"/>
      <x:c r="N12" s="25"/>
      <x:c r="O12" s="20" t="str">
        <x:f>IF(OR(D12="",E12=""),"PENDING",IF(OR(D12&lt;&gt;E12,G12&lt;&gt;H12,J12&lt;&gt;K12),"CONFLICT","AGREE"))</x:f>
        <x:v>PENDING</x:v>
      </x:c>
    </x:row>
    <x:row r="13">
      <x:c r="A13" t="str">
        <x:v>ext-iqa-pass-012</x:v>
      </x:c>
      <x:c r="B13" s="20" t="str">
        <x:v>Do Insurance Companies Look At Psychiatric Records?</x:v>
      </x:c>
      <x:c r="C13" s="20" t="str">
        <x:v>In respect to life insurance , underwriters are most concerned with conditions that impair or prevent a potential insured from completing daily tasks , interactions and living . In the event that your answers to the medical questionnaire on insurance application , attending physician statement &amp; recordsor results from a insurance examindicate that you are being treated through therapy or medication , the underwriters will first seek clarification through your agent . Depending on the severity of the condition , the course of treatment and time elapsed since last episode or event related to your condition , the underwriter may not have much concern and thus not require additional information . Simply put mild conditions such as milddepression , anxiety or stress treated by counseling and low dose medicine may not require deep underwriting depending on the age of the insured and history of condition . More significant conditions , for example schizophrenia , treated with significant medication and therapy , will require additional records from treating physicians to ensure that the insured fits within their risk parameters . In your case , grief counselingcan soundambiguous ; if it were for the loss of a loved one , the absence of whom is not preventing your daily living , it should not require additional review . If the on the other hand , it is being used to cope with another traumatic event , additional questions or requests may be posed by the underwriters . A letter from your treating psychiatrist highlighting your improvements from treatment will help mitigate the need for additional information . In order to ensure that you get the best underwriting class , I suggest that you work with an independent agent that works with multiple carriers as different carriers each have their own points of view on various healthy issues . Additionally , question your insurance agent ! Ask them what experience , if any , have they had with placing business on clients such as yourself . At the end of the day , the most experienced agents will get the best underwriting results for their clients with the least disruption and scrutiny of one 's private issues . Please feel free to contact me to discuss your facts in order to give you more accurate information .</x:v>
      </x:c>
      <x:c r="D13" s="20" t="str">
        <x:f>IF(Reviewer_1!L13="","",Reviewer_1!L13)</x:f>
      </x:c>
      <x:c r="E13" s="20" t="str">
        <x:f>IF(Reviewer_2!L13="","",Reviewer_2!L13)</x:f>
      </x:c>
      <x:c r="F13" s="25"/>
      <x:c r="G13" s="20" t="str">
        <x:f>IF(Reviewer_1!M13="","",Reviewer_1!M13)</x:f>
      </x:c>
      <x:c r="H13" s="20" t="str">
        <x:f>IF(Reviewer_2!M13="","",Reviewer_2!M13)</x:f>
      </x:c>
      <x:c r="I13" s="25"/>
      <x:c r="J13" s="20" t="str">
        <x:f>IF(Reviewer_1!N13="","",Reviewer_1!N13)</x:f>
      </x:c>
      <x:c r="K13" s="20" t="str">
        <x:f>IF(Reviewer_2!N13="","",Reviewer_2!N13)</x:f>
      </x:c>
      <x:c r="L13" s="25"/>
      <x:c r="M13" s="25"/>
      <x:c r="N13" s="25"/>
      <x:c r="O13" s="20" t="str">
        <x:f>IF(OR(D13="",E13=""),"PENDING",IF(OR(D13&lt;&gt;E13,G13&lt;&gt;H13,J13&lt;&gt;K13),"CONFLICT","AGREE"))</x:f>
        <x:v>PENDING</x:v>
      </x:c>
    </x:row>
    <x:row r="14">
      <x:c r="A14" t="str">
        <x:v>ext-iqa-pass-013</x:v>
      </x:c>
      <x:c r="B14" s="20" t="str">
        <x:v>Is Cancer Covered Under Disability Insurance?</x:v>
      </x:c>
      <x:c r="C14" s="20" t="str">
        <x:v>Disability income plans pay as long as you meet the definition of disability , regardless of the disabling condition . If you are unable to work for any reason , illness or accident , and meet the policy definition that qualifies you for benefit , the carrier will pay your monthly benefit until you recover , die or exhaust your benefits .</x:v>
      </x:c>
      <x:c r="D14" s="20" t="str">
        <x:f>IF(Reviewer_1!L14="","",Reviewer_1!L14)</x:f>
      </x:c>
      <x:c r="E14" s="20" t="str">
        <x:f>IF(Reviewer_2!L14="","",Reviewer_2!L14)</x:f>
      </x:c>
      <x:c r="F14" s="25"/>
      <x:c r="G14" s="20" t="str">
        <x:f>IF(Reviewer_1!M14="","",Reviewer_1!M14)</x:f>
      </x:c>
      <x:c r="H14" s="20" t="str">
        <x:f>IF(Reviewer_2!M14="","",Reviewer_2!M14)</x:f>
      </x:c>
      <x:c r="I14" s="25"/>
      <x:c r="J14" s="20" t="str">
        <x:f>IF(Reviewer_1!N14="","",Reviewer_1!N14)</x:f>
      </x:c>
      <x:c r="K14" s="20" t="str">
        <x:f>IF(Reviewer_2!N14="","",Reviewer_2!N14)</x:f>
      </x:c>
      <x:c r="L14" s="25"/>
      <x:c r="M14" s="25"/>
      <x:c r="N14" s="25"/>
      <x:c r="O14" s="20" t="str">
        <x:f>IF(OR(D14="",E14=""),"PENDING",IF(OR(D14&lt;&gt;E14,G14&lt;&gt;H14,J14&lt;&gt;K14),"CONFLICT","AGREE"))</x:f>
        <x:v>PENDING</x:v>
      </x:c>
    </x:row>
    <x:row r="15">
      <x:c r="A15" t="str">
        <x:v>ext-iqa-pass-014</x:v>
      </x:c>
      <x:c r="B15" s="20" t="str">
        <x:v>What Does Long Term Care Insurance Mean?</x:v>
      </x:c>
      <x:c r="C15" s="20" t="str">
        <x:v>Long term care insurance is coverage that pays for personal care needs and other related chronic care services for individuals who are limited in their abilities to perform the activities of daily living -LRB- two or more -RRB- . Activities of Daily Living -LRB- ADLs -RRB- include eating , bathing , toileting , dressing , moving between a chair and the bed , and remaining continent . The policy typically pays for care that is provided in the individuals home , in an assisted living facility , or in a nursing home . Long term care insurance is available on an individual or a group basis .</x:v>
      </x:c>
      <x:c r="D15" s="20" t="str">
        <x:f>IF(Reviewer_1!L15="","",Reviewer_1!L15)</x:f>
      </x:c>
      <x:c r="E15" s="20" t="str">
        <x:f>IF(Reviewer_2!L15="","",Reviewer_2!L15)</x:f>
      </x:c>
      <x:c r="F15" s="25"/>
      <x:c r="G15" s="20" t="str">
        <x:f>IF(Reviewer_1!M15="","",Reviewer_1!M15)</x:f>
      </x:c>
      <x:c r="H15" s="20" t="str">
        <x:f>IF(Reviewer_2!M15="","",Reviewer_2!M15)</x:f>
      </x:c>
      <x:c r="I15" s="25"/>
      <x:c r="J15" s="20" t="str">
        <x:f>IF(Reviewer_1!N15="","",Reviewer_1!N15)</x:f>
      </x:c>
      <x:c r="K15" s="20" t="str">
        <x:f>IF(Reviewer_2!N15="","",Reviewer_2!N15)</x:f>
      </x:c>
      <x:c r="L15" s="25"/>
      <x:c r="M15" s="25"/>
      <x:c r="N15" s="25"/>
      <x:c r="O15" s="20" t="str">
        <x:f>IF(OR(D15="",E15=""),"PENDING",IF(OR(D15&lt;&gt;E15,G15&lt;&gt;H15,J15&lt;&gt;K15),"CONFLICT","AGREE"))</x:f>
        <x:v>PENDING</x:v>
      </x:c>
    </x:row>
    <x:row r="16">
      <x:c r="A16" t="str">
        <x:v>ext-iqa-pass-015</x:v>
      </x:c>
      <x:c r="B16" s="20" t="str">
        <x:v>Does Nationwide Offer Long Term Care Insurance?</x:v>
      </x:c>
      <x:c r="C16" s="20" t="str">
        <x:v>Actually , Nationwide has a very good hybrid policy that combines permanent life insurance and a comprehensive long term care rider . I use this product alot in my practice for people that have a need for both life insurance and LTC . Advantages of this product is that the benefit will always be used no matter what happens to the individual ; either they will have a long term care claim , or they will pass away and the death benefit will pass to their beneficiaries . Disadvantages of this approach to LTC planning is that there is no potential for any premium write-off and no Partnership protection .</x:v>
      </x:c>
      <x:c r="D16" s="20" t="str">
        <x:f>IF(Reviewer_1!L16="","",Reviewer_1!L16)</x:f>
      </x:c>
      <x:c r="E16" s="20" t="str">
        <x:f>IF(Reviewer_2!L16="","",Reviewer_2!L16)</x:f>
      </x:c>
      <x:c r="F16" s="25"/>
      <x:c r="G16" s="20" t="str">
        <x:f>IF(Reviewer_1!M16="","",Reviewer_1!M16)</x:f>
      </x:c>
      <x:c r="H16" s="20" t="str">
        <x:f>IF(Reviewer_2!M16="","",Reviewer_2!M16)</x:f>
      </x:c>
      <x:c r="I16" s="25"/>
      <x:c r="J16" s="20" t="str">
        <x:f>IF(Reviewer_1!N16="","",Reviewer_1!N16)</x:f>
      </x:c>
      <x:c r="K16" s="20" t="str">
        <x:f>IF(Reviewer_2!N16="","",Reviewer_2!N16)</x:f>
      </x:c>
      <x:c r="L16" s="25"/>
      <x:c r="M16" s="25"/>
      <x:c r="N16" s="25"/>
      <x:c r="O16" s="20" t="str">
        <x:f>IF(OR(D16="",E16=""),"PENDING",IF(OR(D16&lt;&gt;E16,G16&lt;&gt;H16,J16&lt;&gt;K16),"CONFLICT","AGREE"))</x:f>
        <x:v>PENDING</x:v>
      </x:c>
    </x:row>
    <x:row r="17">
      <x:c r="A17" t="str">
        <x:v>ext-iqa-pass-016</x:v>
      </x:c>
      <x:c r="B17" s="20" t="str">
        <x:v>When Should Someone Buy Long Term Care Insurance?</x:v>
      </x:c>
      <x:c r="C17" s="20" t="str">
        <x:v>As a retirement planning specialist , I spend alot of time doing long term care planning . Why would I do this ? Because NOTHING will derail a person 's life-time savings faster than a custodial -LRB- AKA long term care -RRB- claim . There are two reasons why a person should purchase LTC ; the first is that they care about the quality of care , and having a say in where care will be provided , should they require it . The second reason is that they care about protecting the assets that they have acquired over the course of their life-time , and they want to protect those assets for their healthy spouse and/or children , rather then have those assets eaten up by impairment , or having them signed over to medicaid or a nursing home . As far as WHEN a person should purchase coverage ; my youngest clients are usually in their 40 's , and with them I usually recommend a hybrid life insurance-LTC product ; my average clients are in their mid 50 's to late 60 's , and for them I recommend either traditional long term care or a single premium policy with refund provisions , and my oldest clients are in their mid 70 's . I think the best time to purchase for most people is in their mid to late 50 's , because most will get better underwriting and a favorable premium . I hope this helps .</x:v>
      </x:c>
      <x:c r="D17" s="20" t="str">
        <x:f>IF(Reviewer_1!L17="","",Reviewer_1!L17)</x:f>
      </x:c>
      <x:c r="E17" s="20" t="str">
        <x:f>IF(Reviewer_2!L17="","",Reviewer_2!L17)</x:f>
      </x:c>
      <x:c r="F17" s="25"/>
      <x:c r="G17" s="20" t="str">
        <x:f>IF(Reviewer_1!M17="","",Reviewer_1!M17)</x:f>
      </x:c>
      <x:c r="H17" s="20" t="str">
        <x:f>IF(Reviewer_2!M17="","",Reviewer_2!M17)</x:f>
      </x:c>
      <x:c r="I17" s="25"/>
      <x:c r="J17" s="20" t="str">
        <x:f>IF(Reviewer_1!N17="","",Reviewer_1!N17)</x:f>
      </x:c>
      <x:c r="K17" s="20" t="str">
        <x:f>IF(Reviewer_2!N17="","",Reviewer_2!N17)</x:f>
      </x:c>
      <x:c r="L17" s="25"/>
      <x:c r="M17" s="25"/>
      <x:c r="N17" s="25"/>
      <x:c r="O17" s="20" t="str">
        <x:f>IF(OR(D17="",E17=""),"PENDING",IF(OR(D17&lt;&gt;E17,G17&lt;&gt;H17,J17&lt;&gt;K17),"CONFLICT","AGREE"))</x:f>
        <x:v>PENDING</x:v>
      </x:c>
    </x:row>
    <x:row r="18">
      <x:c r="A18" t="str">
        <x:v>ext-iqa-pass-017</x:v>
      </x:c>
      <x:c r="B18" s="20" t="str">
        <x:v>Can I change medicare providers after 3/1/2015 in Indiana?</x:v>
      </x:c>
      <x:c r="C18" s="20" t="str">
        <x:v>Are you referring to a Medicare Supplement plan -LRB- also known as a Medigap plan -RRB- , a Medicare Advantage plan , or a Medicare Part D prescription drug plan ? Your original Medicare coverage -LRB- Medicare Parts A &amp; B -RRB- is provided by the federal government . You can apply for a new Medicare Supplement plan anytime during the year . You can be subject to medical underwriting -LRB- answering yes/no health questions , a phone interview with the carrier , and a prescription check -RRB- if you 're outside your initial enrollment period -LRB- when you were new to Medicare Part B -RRB- and do not have a guarantee-issue right available to you . Medical underwriting for Medicare Supplement plans can be done in less than a week . There are no exams for these products . Please note , a common concern I hear a lot from individuals looking to replace their Medicare Supplement plans is they 're worried they 're at risk of losing the existing one if they apply for a new one and get declined . This is NOT true ! Even if you apply for a new Medicare Supplement plan and get declined , you can always keep the existing plan because Medicare Supplement plans are guaranteed renewable . If you 're looking to change your prescription drug plan provider or your Medicare Advantage plan provider , you can only make a change during certain times of the year . For the most part , you can only make changes during the annual enrollment period each year -LRB- between October 15 - December 7 -RRB- with changes becoming effective January 1 . Outside of this enrollment period , you can only make changes under certain situations -LRB- known as special enrollment periods -RRB- . An example of this is if you moved outside of the plan 's service area . For a full list of situations that qualify you for special enrollment periods to make changes , please visit the Medicare.gov website . I hope the information is helpful - please feel free to contact me for help with your coverage and if you have any other questions . Thanks very much .</x:v>
      </x:c>
      <x:c r="D18" s="20" t="str">
        <x:f>IF(Reviewer_1!L18="","",Reviewer_1!L18)</x:f>
      </x:c>
      <x:c r="E18" s="20" t="str">
        <x:f>IF(Reviewer_2!L18="","",Reviewer_2!L18)</x:f>
      </x:c>
      <x:c r="F18" s="25"/>
      <x:c r="G18" s="20" t="str">
        <x:f>IF(Reviewer_1!M18="","",Reviewer_1!M18)</x:f>
      </x:c>
      <x:c r="H18" s="20" t="str">
        <x:f>IF(Reviewer_2!M18="","",Reviewer_2!M18)</x:f>
      </x:c>
      <x:c r="I18" s="25"/>
      <x:c r="J18" s="20" t="str">
        <x:f>IF(Reviewer_1!N18="","",Reviewer_1!N18)</x:f>
      </x:c>
      <x:c r="K18" s="20" t="str">
        <x:f>IF(Reviewer_2!N18="","",Reviewer_2!N18)</x:f>
      </x:c>
      <x:c r="L18" s="25"/>
      <x:c r="M18" s="25"/>
      <x:c r="N18" s="25"/>
      <x:c r="O18" s="20" t="str">
        <x:f>IF(OR(D18="",E18=""),"PENDING",IF(OR(D18&lt;&gt;E18,G18&lt;&gt;H18,J18&lt;&gt;K18),"CONFLICT","AGREE"))</x:f>
        <x:v>PENDING</x:v>
      </x:c>
    </x:row>
    <x:row r="19">
      <x:c r="A19" t="str">
        <x:v>ext-iqa-pass-018</x:v>
      </x:c>
      <x:c r="B19" s="20" t="str">
        <x:v>How Do Body Shops Work With Car Insurance?</x:v>
      </x:c>
      <x:c r="C19" s="20" t="str">
        <x:v>That is a great question ! Generally , your auto insurance company will have a contract or agreement with a local garage , mechanic , and body shop . They will refer you to them to have your work done . By doing this , they have an agreement with the garages to keep costs under control . Should you choose to use a different mechanic , you are certainly welcome to , but my experience has been that the insurance company is much more difficult to work with . Thanks for asking !</x:v>
      </x:c>
      <x:c r="D19" s="20" t="str">
        <x:f>IF(Reviewer_1!L19="","",Reviewer_1!L19)</x:f>
      </x:c>
      <x:c r="E19" s="20" t="str">
        <x:f>IF(Reviewer_2!L19="","",Reviewer_2!L19)</x:f>
      </x:c>
      <x:c r="F19" s="25"/>
      <x:c r="G19" s="20" t="str">
        <x:f>IF(Reviewer_1!M19="","",Reviewer_1!M19)</x:f>
      </x:c>
      <x:c r="H19" s="20" t="str">
        <x:f>IF(Reviewer_2!M19="","",Reviewer_2!M19)</x:f>
      </x:c>
      <x:c r="I19" s="25"/>
      <x:c r="J19" s="20" t="str">
        <x:f>IF(Reviewer_1!N19="","",Reviewer_1!N19)</x:f>
      </x:c>
      <x:c r="K19" s="20" t="str">
        <x:f>IF(Reviewer_2!N19="","",Reviewer_2!N19)</x:f>
      </x:c>
      <x:c r="L19" s="25"/>
      <x:c r="M19" s="25"/>
      <x:c r="N19" s="25"/>
      <x:c r="O19" s="20" t="str">
        <x:f>IF(OR(D19="",E19=""),"PENDING",IF(OR(D19&lt;&gt;E19,G19&lt;&gt;H19,J19&lt;&gt;K19),"CONFLICT","AGREE"))</x:f>
        <x:v>PENDING</x:v>
      </x:c>
    </x:row>
    <x:row r="20">
      <x:c r="A20" t="str">
        <x:v>ext-iqa-pass-019</x:v>
      </x:c>
      <x:c r="B20" s="20" t="str">
        <x:v>How Does Medicare D Work?</x:v>
      </x:c>
      <x:c r="C20" s="20" t="str">
        <x:v>I assume you are asking about Medicare Part D which is the prescription drug plan , as opposed to Medicare supplement plan D. Medicare Part D is offered by private insurance carriers . Each plan is different . Some have deductibles , some do n't . All have copay 's and a few have coinsurance for tier 4 drugs</x:v>
      </x:c>
      <x:c r="D20" s="20" t="str">
        <x:f>IF(Reviewer_1!L20="","",Reviewer_1!L20)</x:f>
      </x:c>
      <x:c r="E20" s="20" t="str">
        <x:f>IF(Reviewer_2!L20="","",Reviewer_2!L20)</x:f>
      </x:c>
      <x:c r="F20" s="25"/>
      <x:c r="G20" s="20" t="str">
        <x:f>IF(Reviewer_1!M20="","",Reviewer_1!M20)</x:f>
      </x:c>
      <x:c r="H20" s="20" t="str">
        <x:f>IF(Reviewer_2!M20="","",Reviewer_2!M20)</x:f>
      </x:c>
      <x:c r="I20" s="25"/>
      <x:c r="J20" s="20" t="str">
        <x:f>IF(Reviewer_1!N20="","",Reviewer_1!N20)</x:f>
      </x:c>
      <x:c r="K20" s="20" t="str">
        <x:f>IF(Reviewer_2!N20="","",Reviewer_2!N20)</x:f>
      </x:c>
      <x:c r="L20" s="25"/>
      <x:c r="M20" s="25"/>
      <x:c r="N20" s="25"/>
      <x:c r="O20" s="20" t="str">
        <x:f>IF(OR(D20="",E20=""),"PENDING",IF(OR(D20&lt;&gt;E20,G20&lt;&gt;H20,J20&lt;&gt;K20),"CONFLICT","AGREE"))</x:f>
        <x:v>PENDING</x:v>
      </x:c>
    </x:row>
    <x:row r="21">
      <x:c r="A21" t="str">
        <x:v>ext-iqa-pass-020</x:v>
      </x:c>
      <x:c r="B21" s="20" t="str">
        <x:v>Is Car Insurance For A Lease More Expensive?</x:v>
      </x:c>
      <x:c r="C21" s="20" t="str">
        <x:v>Many leases will require you to carry 100/300 liability limits so if for some reason you want to carry lower limits you will see a premium difference there . Other then that the premiums are no different then if you owned the car yourself . If you are in a position to lease a car you should be carrying a minimum of 100/300 liability limits anyway .</x:v>
      </x:c>
      <x:c r="D21" s="20" t="str">
        <x:f>IF(Reviewer_1!L21="","",Reviewer_1!L21)</x:f>
      </x:c>
      <x:c r="E21" s="20" t="str">
        <x:f>IF(Reviewer_2!L21="","",Reviewer_2!L21)</x:f>
      </x:c>
      <x:c r="F21" s="25"/>
      <x:c r="G21" s="20" t="str">
        <x:f>IF(Reviewer_1!M21="","",Reviewer_1!M21)</x:f>
      </x:c>
      <x:c r="H21" s="20" t="str">
        <x:f>IF(Reviewer_2!M21="","",Reviewer_2!M21)</x:f>
      </x:c>
      <x:c r="I21" s="25"/>
      <x:c r="J21" s="20" t="str">
        <x:f>IF(Reviewer_1!N21="","",Reviewer_1!N21)</x:f>
      </x:c>
      <x:c r="K21" s="20" t="str">
        <x:f>IF(Reviewer_2!N21="","",Reviewer_2!N21)</x:f>
      </x:c>
      <x:c r="L21" s="25"/>
      <x:c r="M21" s="25"/>
      <x:c r="N21" s="25"/>
      <x:c r="O21" s="20" t="str">
        <x:f>IF(OR(D21="",E21=""),"PENDING",IF(OR(D21&lt;&gt;E21,G21&lt;&gt;H21,J21&lt;&gt;K21),"CONFLICT","AGREE"))</x:f>
        <x:v>PENDING</x:v>
      </x:c>
    </x:row>
    <x:row r="22">
      <x:c r="A22" t="str">
        <x:v>ext-iqa-pass-021</x:v>
      </x:c>
      <x:c r="B22" s="20" t="str">
        <x:v>Can Homeowners Insurance Cancel Your Policy?</x:v>
      </x:c>
      <x:c r="C22" s="20" t="str">
        <x:v>The insurance company can cancel your policy for failure to pay the premium . It can also cancel the policy if the underwriter determines that the property was not correctly described or that the agent acted beyond his authority to bind coverage . Companies routinely cancel policies when they determine that a property has been vacated .</x:v>
      </x:c>
      <x:c r="D22" s="20" t="str">
        <x:f>IF(Reviewer_1!L22="","",Reviewer_1!L22)</x:f>
      </x:c>
      <x:c r="E22" s="20" t="str">
        <x:f>IF(Reviewer_2!L22="","",Reviewer_2!L22)</x:f>
      </x:c>
      <x:c r="F22" s="25"/>
      <x:c r="G22" s="20" t="str">
        <x:f>IF(Reviewer_1!M22="","",Reviewer_1!M22)</x:f>
      </x:c>
      <x:c r="H22" s="20" t="str">
        <x:f>IF(Reviewer_2!M22="","",Reviewer_2!M22)</x:f>
      </x:c>
      <x:c r="I22" s="25"/>
      <x:c r="J22" s="20" t="str">
        <x:f>IF(Reviewer_1!N22="","",Reviewer_1!N22)</x:f>
      </x:c>
      <x:c r="K22" s="20" t="str">
        <x:f>IF(Reviewer_2!N22="","",Reviewer_2!N22)</x:f>
      </x:c>
      <x:c r="L22" s="25"/>
      <x:c r="M22" s="25"/>
      <x:c r="N22" s="25"/>
      <x:c r="O22" s="20" t="str">
        <x:f>IF(OR(D22="",E22=""),"PENDING",IF(OR(D22&lt;&gt;E22,G22&lt;&gt;H22,J22&lt;&gt;K22),"CONFLICT","AGREE"))</x:f>
        <x:v>PENDING</x:v>
      </x:c>
    </x:row>
    <x:row r="23">
      <x:c r="A23" t="str">
        <x:v>ext-iqa-pass-022</x:v>
      </x:c>
      <x:c r="B23" s="20" t="str">
        <x:v>How Does Home Insurance Escrow Work?</x:v>
      </x:c>
      <x:c r="C23" s="20" t="str">
        <x:v>Some banks these days require that your Homeowners Insurance be paid by them froman escrow account . If that is the case , then when you are closing on your home and obtaining insurance , they will require you to pay your insurance professional an amount equal to the full first year 's premium . The policy will then be set up to bill your mortgage company upon each renewal . The monthly payments that you make to your mortgage company , in addition to principal and interest , will include an amount for the next renewal on your Homeowners Insurance . Your insurance company will bill your mortgage company at the renewal and the annual premium will then be paid by your mortgage company from your escrow account .</x:v>
      </x:c>
      <x:c r="D23" s="20" t="str">
        <x:f>IF(Reviewer_1!L23="","",Reviewer_1!L23)</x:f>
      </x:c>
      <x:c r="E23" s="20" t="str">
        <x:f>IF(Reviewer_2!L23="","",Reviewer_2!L23)</x:f>
      </x:c>
      <x:c r="F23" s="25"/>
      <x:c r="G23" s="20" t="str">
        <x:f>IF(Reviewer_1!M23="","",Reviewer_1!M23)</x:f>
      </x:c>
      <x:c r="H23" s="20" t="str">
        <x:f>IF(Reviewer_2!M23="","",Reviewer_2!M23)</x:f>
      </x:c>
      <x:c r="I23" s="25"/>
      <x:c r="J23" s="20" t="str">
        <x:f>IF(Reviewer_1!N23="","",Reviewer_1!N23)</x:f>
      </x:c>
      <x:c r="K23" s="20" t="str">
        <x:f>IF(Reviewer_2!N23="","",Reviewer_2!N23)</x:f>
      </x:c>
      <x:c r="L23" s="25"/>
      <x:c r="M23" s="25"/>
      <x:c r="N23" s="25"/>
      <x:c r="O23" s="20" t="str">
        <x:f>IF(OR(D23="",E23=""),"PENDING",IF(OR(D23&lt;&gt;E23,G23&lt;&gt;H23,J23&lt;&gt;K23),"CONFLICT","AGREE"))</x:f>
        <x:v>PENDING</x:v>
      </x:c>
    </x:row>
    <x:row r="24">
      <x:c r="A24" t="str">
        <x:v>ext-iqa-pass-023</x:v>
      </x:c>
      <x:c r="B24" s="20" t="str">
        <x:v>How Much Disability Insurance Is Enough?</x:v>
      </x:c>
      <x:c r="C24" s="20" t="str">
        <x:v>Typically disability insurance benefits are equal to a maximum of 60 % of the insured 's income . The maximum one can buy then is based on the annual income of the individual . If you can live comfortably on a lesser amount than 60 % of what you earn , then you may consider buying a policy that would pay less than 60 % of your earned income .</x:v>
      </x:c>
      <x:c r="D24" s="20" t="str">
        <x:f>IF(Reviewer_1!L24="","",Reviewer_1!L24)</x:f>
      </x:c>
      <x:c r="E24" s="20" t="str">
        <x:f>IF(Reviewer_2!L24="","",Reviewer_2!L24)</x:f>
      </x:c>
      <x:c r="F24" s="25"/>
      <x:c r="G24" s="20" t="str">
        <x:f>IF(Reviewer_1!M24="","",Reviewer_1!M24)</x:f>
      </x:c>
      <x:c r="H24" s="20" t="str">
        <x:f>IF(Reviewer_2!M24="","",Reviewer_2!M24)</x:f>
      </x:c>
      <x:c r="I24" s="25"/>
      <x:c r="J24" s="20" t="str">
        <x:f>IF(Reviewer_1!N24="","",Reviewer_1!N24)</x:f>
      </x:c>
      <x:c r="K24" s="20" t="str">
        <x:f>IF(Reviewer_2!N24="","",Reviewer_2!N24)</x:f>
      </x:c>
      <x:c r="L24" s="25"/>
      <x:c r="M24" s="25"/>
      <x:c r="N24" s="25"/>
      <x:c r="O24" s="20" t="str">
        <x:f>IF(OR(D24="",E24=""),"PENDING",IF(OR(D24&lt;&gt;E24,G24&lt;&gt;H24,J24&lt;&gt;K24),"CONFLICT","AGREE"))</x:f>
        <x:v>PENDING</x:v>
      </x:c>
    </x:row>
    <x:row r="25">
      <x:c r="A25" t="str">
        <x:v>ext-iqa-pass-024</x:v>
      </x:c>
      <x:c r="B25" s="20" t="str">
        <x:v>What Is Occupational Disability Insurance?</x:v>
      </x:c>
      <x:c r="C25" s="20" t="str">
        <x:v>What is occupational disability insurance ? Usually it is called own occupation and it is used in the definition of disability . It is very much to the insured 's favor to have that definition in their disability policy . It is a specific rather than general definition . For example your disability policy would pay if you could n't work in that specific job , and it would continue to pay you if you could work in another occupation .</x:v>
      </x:c>
      <x:c r="D25" s="20" t="str">
        <x:f>IF(Reviewer_1!L25="","",Reviewer_1!L25)</x:f>
      </x:c>
      <x:c r="E25" s="20" t="str">
        <x:f>IF(Reviewer_2!L25="","",Reviewer_2!L25)</x:f>
      </x:c>
      <x:c r="F25" s="25"/>
      <x:c r="G25" s="20" t="str">
        <x:f>IF(Reviewer_1!M25="","",Reviewer_1!M25)</x:f>
      </x:c>
      <x:c r="H25" s="20" t="str">
        <x:f>IF(Reviewer_2!M25="","",Reviewer_2!M25)</x:f>
      </x:c>
      <x:c r="I25" s="25"/>
      <x:c r="J25" s="20" t="str">
        <x:f>IF(Reviewer_1!N25="","",Reviewer_1!N25)</x:f>
      </x:c>
      <x:c r="K25" s="20" t="str">
        <x:f>IF(Reviewer_2!N25="","",Reviewer_2!N25)</x:f>
      </x:c>
      <x:c r="L25" s="25"/>
      <x:c r="M25" s="25"/>
      <x:c r="N25" s="25"/>
      <x:c r="O25" s="20" t="str">
        <x:f>IF(OR(D25="",E25=""),"PENDING",IF(OR(D25&lt;&gt;E25,G25&lt;&gt;H25,J25&lt;&gt;K25),"CONFLICT","AGREE"))</x:f>
        <x:v>PENDING</x:v>
      </x:c>
    </x:row>
    <x:row r="26">
      <x:c r="A26" t="str">
        <x:v>ext-iqa-pass-025</x:v>
      </x:c>
      <x:c r="B26" s="20" t="str">
        <x:v>Can You Get Car Insurance With A Suspended Drivers License?</x:v>
      </x:c>
      <x:c r="C26" s="20" t="str">
        <x:v>That is a great question ! While it will be difficult to get insurance , it is possible . What you will need to do is contact your agent , and find out what they will need to issue you a policy . In most cases , that will mean satisfying the requirements to get your license reinstated - fines paid , classes taken , whatever was required of you . Having your license suspended is bad , but it will be infinitely worse for you if you get caught driving on it , and you are uninsured . Please do n't even consider it ! Good luck , and thanks for asking !</x:v>
      </x:c>
      <x:c r="D26" s="20" t="str">
        <x:f>IF(Reviewer_1!L26="","",Reviewer_1!L26)</x:f>
      </x:c>
      <x:c r="E26" s="20" t="str">
        <x:f>IF(Reviewer_2!L26="","",Reviewer_2!L26)</x:f>
      </x:c>
      <x:c r="F26" s="25"/>
      <x:c r="G26" s="20" t="str">
        <x:f>IF(Reviewer_1!M26="","",Reviewer_1!M26)</x:f>
      </x:c>
      <x:c r="H26" s="20" t="str">
        <x:f>IF(Reviewer_2!M26="","",Reviewer_2!M26)</x:f>
      </x:c>
      <x:c r="I26" s="25"/>
      <x:c r="J26" s="20" t="str">
        <x:f>IF(Reviewer_1!N26="","",Reviewer_1!N26)</x:f>
      </x:c>
      <x:c r="K26" s="20" t="str">
        <x:f>IF(Reviewer_2!N26="","",Reviewer_2!N26)</x:f>
      </x:c>
      <x:c r="L26" s="25"/>
      <x:c r="M26" s="25"/>
      <x:c r="N26" s="25"/>
      <x:c r="O26" s="20" t="str">
        <x:f>IF(OR(D26="",E26=""),"PENDING",IF(OR(D26&lt;&gt;E26,G26&lt;&gt;H26,J26&lt;&gt;K26),"CONFLICT","AGREE"))</x:f>
        <x:v>PENDING</x:v>
      </x:c>
    </x:row>
    <x:row r="27">
      <x:c r="A27" t="str">
        <x:v>ext-iqa-pass-026</x:v>
      </x:c>
      <x:c r="B27" s="20" t="str">
        <x:v>How Long Does A Homeowners Insurance Claim Stay On Record?</x:v>
      </x:c>
      <x:c r="C27" s="20" t="str">
        <x:v>As a matter of practice most insurance companies look back at three years of losses . Companies are particularly concerned about recurring losses . These usually indicate poor maintenance or a design flaw in the residence . Recurring water damage losses from a leaky roof are a concern . There are situations where the initial repair did not fix the root cause and continued claims can be expected .</x:v>
      </x:c>
      <x:c r="D27" s="20" t="str">
        <x:f>IF(Reviewer_1!L27="","",Reviewer_1!L27)</x:f>
      </x:c>
      <x:c r="E27" s="20" t="str">
        <x:f>IF(Reviewer_2!L27="","",Reviewer_2!L27)</x:f>
      </x:c>
      <x:c r="F27" s="25"/>
      <x:c r="G27" s="20" t="str">
        <x:f>IF(Reviewer_1!M27="","",Reviewer_1!M27)</x:f>
      </x:c>
      <x:c r="H27" s="20" t="str">
        <x:f>IF(Reviewer_2!M27="","",Reviewer_2!M27)</x:f>
      </x:c>
      <x:c r="I27" s="25"/>
      <x:c r="J27" s="20" t="str">
        <x:f>IF(Reviewer_1!N27="","",Reviewer_1!N27)</x:f>
      </x:c>
      <x:c r="K27" s="20" t="str">
        <x:f>IF(Reviewer_2!N27="","",Reviewer_2!N27)</x:f>
      </x:c>
      <x:c r="L27" s="25"/>
      <x:c r="M27" s="25"/>
      <x:c r="N27" s="25"/>
      <x:c r="O27" s="20" t="str">
        <x:f>IF(OR(D27="",E27=""),"PENDING",IF(OR(D27&lt;&gt;E27,G27&lt;&gt;H27,J27&lt;&gt;K27),"CONFLICT","AGREE"))</x:f>
        <x:v>PENDING</x:v>
      </x:c>
    </x:row>
    <x:row r="28">
      <x:c r="A28" t="str">
        <x:v>ext-iqa-pass-027</x:v>
      </x:c>
      <x:c r="B28" s="20" t="str">
        <x:v>What Services Does Medicare Part D Cover?</x:v>
      </x:c>
      <x:c r="C28" s="20" t="str">
        <x:v>Medicare Part D covers a portion of your outpatient Rx benefits . Part D is available from private insurance carriers and has a monthly premium of anywhere from $ 15 monthly on up to over $ 100 . Each plan is different . Some have deductibles , some do n't . All have copay 's . Check your formulary before signing up .</x:v>
      </x:c>
      <x:c r="D28" s="20" t="str">
        <x:f>IF(Reviewer_1!L28="","",Reviewer_1!L28)</x:f>
      </x:c>
      <x:c r="E28" s="20" t="str">
        <x:f>IF(Reviewer_2!L28="","",Reviewer_2!L28)</x:f>
      </x:c>
      <x:c r="F28" s="25"/>
      <x:c r="G28" s="20" t="str">
        <x:f>IF(Reviewer_1!M28="","",Reviewer_1!M28)</x:f>
      </x:c>
      <x:c r="H28" s="20" t="str">
        <x:f>IF(Reviewer_2!M28="","",Reviewer_2!M28)</x:f>
      </x:c>
      <x:c r="I28" s="25"/>
      <x:c r="J28" s="20" t="str">
        <x:f>IF(Reviewer_1!N28="","",Reviewer_1!N28)</x:f>
      </x:c>
      <x:c r="K28" s="20" t="str">
        <x:f>IF(Reviewer_2!N28="","",Reviewer_2!N28)</x:f>
      </x:c>
      <x:c r="L28" s="25"/>
      <x:c r="M28" s="25"/>
      <x:c r="N28" s="25"/>
      <x:c r="O28" s="20" t="str">
        <x:f>IF(OR(D28="",E28=""),"PENDING",IF(OR(D28&lt;&gt;E28,G28&lt;&gt;H28,J28&lt;&gt;K28),"CONFLICT","AGREE"))</x:f>
        <x:v>PENDING</x:v>
      </x:c>
    </x:row>
    <x:row r="29">
      <x:c r="A29" t="str">
        <x:v>ext-iqa-pass-028</x:v>
      </x:c>
      <x:c r="B29" s="20" t="str">
        <x:v>I Have A Qualified Variable Annuity. What Is That Exactly?</x:v>
      </x:c>
      <x:c r="C29" s="20" t="str">
        <x:v>That is a great question ! I 'd strongly advise that you check with your annuity 's agent or your tax adviser before doing anything . You mentioned that you were willing to pay penalties and taxes , so I 'm assuming that there is a pressing need for cash , or a great dislike for the policy/agent/company that has caused you to decide to gut your annuity ? If so , I 'd again advise caution . If you surrender your annuity , and it was meant to fuel your retirement , what is your plan to replace it ? Will you end up suffering for many years for a temporary hardship if you surrender the annuity ? Maybe it might be wiser to see what cash withdrawal you can make from the annuity without fees -LRB- you are allowed a certain amount without penalties or fees , and more if you are willing to pay any surrender fees that may still be applicable -RRB- and leave the annuity intact ; you may also want to look at borrowing from a cash value of any whole life policy that you may have , as that also is a quick and relatively painless way to get cash . If your heart is set upon surrendering it , please bear in mind that there will be a 10 % penalty , possible surrender fees , and a major tax bite from the amount that you might expect to get . Please assume that if you are lucky , you will recieve roughly half of what you are expecting to receive , depending upon your tax bracket . This type of investment is designed specifically for saving , and stopping the process is very costly . To start the process , contact your agent who sold you the annuity , or the plan administrator , and tell them of your intentions . If you would like to discuss this further , please do not hesitate to contact me , okay ? I 'd be happy to help . Good luck , and thank you for asking !</x:v>
      </x:c>
      <x:c r="D29" s="20" t="str">
        <x:f>IF(Reviewer_1!L29="","",Reviewer_1!L29)</x:f>
      </x:c>
      <x:c r="E29" s="20" t="str">
        <x:f>IF(Reviewer_2!L29="","",Reviewer_2!L29)</x:f>
      </x:c>
      <x:c r="F29" s="25"/>
      <x:c r="G29" s="20" t="str">
        <x:f>IF(Reviewer_1!M29="","",Reviewer_1!M29)</x:f>
      </x:c>
      <x:c r="H29" s="20" t="str">
        <x:f>IF(Reviewer_2!M29="","",Reviewer_2!M29)</x:f>
      </x:c>
      <x:c r="I29" s="25"/>
      <x:c r="J29" s="20" t="str">
        <x:f>IF(Reviewer_1!N29="","",Reviewer_1!N29)</x:f>
      </x:c>
      <x:c r="K29" s="20" t="str">
        <x:f>IF(Reviewer_2!N29="","",Reviewer_2!N29)</x:f>
      </x:c>
      <x:c r="L29" s="25"/>
      <x:c r="M29" s="25"/>
      <x:c r="N29" s="25"/>
      <x:c r="O29" s="20" t="str">
        <x:f>IF(OR(D29="",E29=""),"PENDING",IF(OR(D29&lt;&gt;E29,G29&lt;&gt;H29,J29&lt;&gt;K29),"CONFLICT","AGREE"))</x:f>
        <x:v>PENDING</x:v>
      </x:c>
    </x:row>
    <x:row r="30">
      <x:c r="A30" t="str">
        <x:v>ext-iqa-pass-029</x:v>
      </x:c>
      <x:c r="B30" s="20" t="str">
        <x:v>What Good Is Long Term Care Insurance?</x:v>
      </x:c>
      <x:c r="C30" s="20" t="str">
        <x:v>A long term care policy is only as good as the contract stipulates . And the contract is only as good as the insurance company that issued the policy . But long term care insurance can fund periods of assisted living and/or nursing home care , that can be very expensive . It 's part of defensive retirement planning .</x:v>
      </x:c>
      <x:c r="D30" s="20" t="str">
        <x:f>IF(Reviewer_1!L30="","",Reviewer_1!L30)</x:f>
      </x:c>
      <x:c r="E30" s="20" t="str">
        <x:f>IF(Reviewer_2!L30="","",Reviewer_2!L30)</x:f>
      </x:c>
      <x:c r="F30" s="25"/>
      <x:c r="G30" s="20" t="str">
        <x:f>IF(Reviewer_1!M30="","",Reviewer_1!M30)</x:f>
      </x:c>
      <x:c r="H30" s="20" t="str">
        <x:f>IF(Reviewer_2!M30="","",Reviewer_2!M30)</x:f>
      </x:c>
      <x:c r="I30" s="25"/>
      <x:c r="J30" s="20" t="str">
        <x:f>IF(Reviewer_1!N30="","",Reviewer_1!N30)</x:f>
      </x:c>
      <x:c r="K30" s="20" t="str">
        <x:f>IF(Reviewer_2!N30="","",Reviewer_2!N30)</x:f>
      </x:c>
      <x:c r="L30" s="25"/>
      <x:c r="M30" s="25"/>
      <x:c r="N30" s="25"/>
      <x:c r="O30" s="20" t="str">
        <x:f>IF(OR(D30="",E30=""),"PENDING",IF(OR(D30&lt;&gt;E30,G30&lt;&gt;H30,J30&lt;&gt;K30),"CONFLICT","AGREE"))</x:f>
        <x:v>PENDING</x:v>
      </x:c>
    </x:row>
    <x:row r="31">
      <x:c r="A31" t="str">
        <x:v>ext-iqa-pass-030</x:v>
      </x:c>
      <x:c r="B31" s="20" t="str">
        <x:v>Where Can I Buy Disability Insurance?</x:v>
      </x:c>
      <x:c r="C31" s="20" t="str">
        <x:v>Disability insurance can be purchased from a variety of companies . You may apply online , call a company direct or purchase it from your local insurance agent . However , it truly is one of the complex insurance policies on the market . I recommend using an experienced disability insurance broker to shop the market to find the best product at the best price for your unique situation .</x:v>
      </x:c>
      <x:c r="D31" s="20" t="str">
        <x:f>IF(Reviewer_1!L31="","",Reviewer_1!L31)</x:f>
      </x:c>
      <x:c r="E31" s="20" t="str">
        <x:f>IF(Reviewer_2!L31="","",Reviewer_2!L31)</x:f>
      </x:c>
      <x:c r="F31" s="25"/>
      <x:c r="G31" s="20" t="str">
        <x:f>IF(Reviewer_1!M31="","",Reviewer_1!M31)</x:f>
      </x:c>
      <x:c r="H31" s="20" t="str">
        <x:f>IF(Reviewer_2!M31="","",Reviewer_2!M31)</x:f>
      </x:c>
      <x:c r="I31" s="25"/>
      <x:c r="J31" s="20" t="str">
        <x:f>IF(Reviewer_1!N31="","",Reviewer_1!N31)</x:f>
      </x:c>
      <x:c r="K31" s="20" t="str">
        <x:f>IF(Reviewer_2!N31="","",Reviewer_2!N31)</x:f>
      </x:c>
      <x:c r="L31" s="25"/>
      <x:c r="M31" s="25"/>
      <x:c r="N31" s="25"/>
      <x:c r="O31" s="20" t="str">
        <x:f>IF(OR(D31="",E31=""),"PENDING",IF(OR(D31&lt;&gt;E31,G31&lt;&gt;H31,J31&lt;&gt;K31),"CONFLICT","AGREE"))</x:f>
        <x:v>PENDING</x:v>
      </x:c>
    </x:row>
    <x:row r="32">
      <x:c r="A32" t="str">
        <x:v>ext-iqa-pass-031</x:v>
      </x:c>
      <x:c r="B32" s="20" t="str">
        <x:v>What Feature Is Unique To Annuities?</x:v>
      </x:c>
      <x:c r="C32" s="20" t="str">
        <x:v>The key features unique to Annuities are : # 1 interest earned is not taxed throughout the accumulation period . # 2 . Distributions are fully guaranteed and have multiple options such as period certain , lifetime of the annuitant among others # 3 . Unlike qualified plans such as an IRA , an annuity owner can also chose to not take distributions and let the funds in the annuity pass directly to their beneficiary . Other products have some of the features of annuities however only annuities combine the features outlined here . .</x:v>
      </x:c>
      <x:c r="D32" s="20" t="str">
        <x:f>IF(Reviewer_1!L32="","",Reviewer_1!L32)</x:f>
      </x:c>
      <x:c r="E32" s="20" t="str">
        <x:f>IF(Reviewer_2!L32="","",Reviewer_2!L32)</x:f>
      </x:c>
      <x:c r="F32" s="25"/>
      <x:c r="G32" s="20" t="str">
        <x:f>IF(Reviewer_1!M32="","",Reviewer_1!M32)</x:f>
      </x:c>
      <x:c r="H32" s="20" t="str">
        <x:f>IF(Reviewer_2!M32="","",Reviewer_2!M32)</x:f>
      </x:c>
      <x:c r="I32" s="25"/>
      <x:c r="J32" s="20" t="str">
        <x:f>IF(Reviewer_1!N32="","",Reviewer_1!N32)</x:f>
      </x:c>
      <x:c r="K32" s="20" t="str">
        <x:f>IF(Reviewer_2!N32="","",Reviewer_2!N32)</x:f>
      </x:c>
      <x:c r="L32" s="25"/>
      <x:c r="M32" s="25"/>
      <x:c r="N32" s="25"/>
      <x:c r="O32" s="20" t="str">
        <x:f>IF(OR(D32="",E32=""),"PENDING",IF(OR(D32&lt;&gt;E32,G32&lt;&gt;H32,J32&lt;&gt;K32),"CONFLICT","AGREE"))</x:f>
        <x:v>PENDING</x:v>
      </x:c>
    </x:row>
    <x:row r="33">
      <x:c r="A33" t="str">
        <x:v>ext-iqa-pass-032</x:v>
      </x:c>
      <x:c r="B33" s="20" t="str">
        <x:v>What Is The Waiting Period For Disability Insurance?</x:v>
      </x:c>
      <x:c r="C33" s="20" t="str">
        <x:v>The waiting period , also known as the elimination period , varies from plan to plan . For short term disability insurance , the common elimination periods are 7 and 14 days . For long term disability insurance , the most favorable ep is 90 days , but some policies are written with 180 or even 365 eps . The longer eps are usually to offset the cost as it 's cheaper when the waiting period is longer .</x:v>
      </x:c>
      <x:c r="D33" s="20" t="str">
        <x:f>IF(Reviewer_1!L33="","",Reviewer_1!L33)</x:f>
      </x:c>
      <x:c r="E33" s="20" t="str">
        <x:f>IF(Reviewer_2!L33="","",Reviewer_2!L33)</x:f>
      </x:c>
      <x:c r="F33" s="25"/>
      <x:c r="G33" s="20" t="str">
        <x:f>IF(Reviewer_1!M33="","",Reviewer_1!M33)</x:f>
      </x:c>
      <x:c r="H33" s="20" t="str">
        <x:f>IF(Reviewer_2!M33="","",Reviewer_2!M33)</x:f>
      </x:c>
      <x:c r="I33" s="25"/>
      <x:c r="J33" s="20" t="str">
        <x:f>IF(Reviewer_1!N33="","",Reviewer_1!N33)</x:f>
      </x:c>
      <x:c r="K33" s="20" t="str">
        <x:f>IF(Reviewer_2!N33="","",Reviewer_2!N33)</x:f>
      </x:c>
      <x:c r="L33" s="25"/>
      <x:c r="M33" s="25"/>
      <x:c r="N33" s="25"/>
      <x:c r="O33" s="20" t="str">
        <x:f>IF(OR(D33="",E33=""),"PENDING",IF(OR(D33&lt;&gt;E33,G33&lt;&gt;H33,J33&lt;&gt;K33),"CONFLICT","AGREE"))</x:f>
        <x:v>PENDING</x:v>
      </x:c>
    </x:row>
    <x:row r="34">
      <x:c r="A34" t="str">
        <x:v>ext-iqa-pass-033</x:v>
      </x:c>
      <x:c r="B34" s="20" t="str">
        <x:v>Can I Get Life Insurance After A Stroke?</x:v>
      </x:c>
      <x:c r="C34" s="20" t="str">
        <x:v>If you have had one stroke that had minimal effects and several years have passed since having the stroke , you may be able to get a medically underwritten policy of any amount for which you financially qualify , with immediate death benefit . If your stroke impacted your health enough that you needed to go on Disability but you are still able to do all your own activities of daily living and walk without personal assistance -LRB- can or walker is OK -RRB- , then there are a number of simplified issue policies that may or not be graded , that you can get . If your stroke caused you to require use of a wheelchair , home health or nursing home care -LRB- inability to do your own ADL 's -RRB- , or causes significant confusion , then guaranteed issue policies are available to most people . These are more restrictive in features than the other policies , but are available for final expense purposes . Contact an impaired risk underwriting agency that carries all these types of policies and understands life insurance underwriting for stroke , and you will get your best price .</x:v>
      </x:c>
      <x:c r="D34" s="20" t="str">
        <x:f>IF(Reviewer_1!L34="","",Reviewer_1!L34)</x:f>
      </x:c>
      <x:c r="E34" s="20" t="str">
        <x:f>IF(Reviewer_2!L34="","",Reviewer_2!L34)</x:f>
      </x:c>
      <x:c r="F34" s="25"/>
      <x:c r="G34" s="20" t="str">
        <x:f>IF(Reviewer_1!M34="","",Reviewer_1!M34)</x:f>
      </x:c>
      <x:c r="H34" s="20" t="str">
        <x:f>IF(Reviewer_2!M34="","",Reviewer_2!M34)</x:f>
      </x:c>
      <x:c r="I34" s="25"/>
      <x:c r="J34" s="20" t="str">
        <x:f>IF(Reviewer_1!N34="","",Reviewer_1!N34)</x:f>
      </x:c>
      <x:c r="K34" s="20" t="str">
        <x:f>IF(Reviewer_2!N34="","",Reviewer_2!N34)</x:f>
      </x:c>
      <x:c r="L34" s="25"/>
      <x:c r="M34" s="25"/>
      <x:c r="N34" s="25"/>
      <x:c r="O34" s="20" t="str">
        <x:f>IF(OR(D34="",E34=""),"PENDING",IF(OR(D34&lt;&gt;E34,G34&lt;&gt;H34,J34&lt;&gt;K34),"CONFLICT","AGREE"))</x:f>
        <x:v>PENDING</x:v>
      </x:c>
    </x:row>
    <x:row r="35">
      <x:c r="A35" t="str">
        <x:v>ext-iqa-pass-034</x:v>
      </x:c>
      <x:c r="B35" s="20" t="str">
        <x:v>How Much Does It Cost For Level Term Life Insurance?</x:v>
      </x:c>
      <x:c r="C35" s="20" t="str">
        <x:v>There is no one set cost to level Term Life Insurance . However , a rule of thumb is , the longer the term , the higher the premium . That is because the insurance companies average out what the policy would cost at your starting age , and the cost of insurance for the ending age of the term policy you chose . If you took out a 10 year Term policy at age 35 , the policy will end -LRB- or the price will go up drastically -RRB- at your age 45 . Mortality rates are not real high at age 45 , so the premium will be relatively low . If you locked that premium in for 30 years , the policy will end at your age 65 , which is when mortality rates are much higher . Therefore , the premium will be higher . However , the premium you have locked in is based on your health at age 35 . And that can make it be a very good deal .</x:v>
      </x:c>
      <x:c r="D35" s="20" t="str">
        <x:f>IF(Reviewer_1!L35="","",Reviewer_1!L35)</x:f>
      </x:c>
      <x:c r="E35" s="20" t="str">
        <x:f>IF(Reviewer_2!L35="","",Reviewer_2!L35)</x:f>
      </x:c>
      <x:c r="F35" s="25"/>
      <x:c r="G35" s="20" t="str">
        <x:f>IF(Reviewer_1!M35="","",Reviewer_1!M35)</x:f>
      </x:c>
      <x:c r="H35" s="20" t="str">
        <x:f>IF(Reviewer_2!M35="","",Reviewer_2!M35)</x:f>
      </x:c>
      <x:c r="I35" s="25"/>
      <x:c r="J35" s="20" t="str">
        <x:f>IF(Reviewer_1!N35="","",Reviewer_1!N35)</x:f>
      </x:c>
      <x:c r="K35" s="20" t="str">
        <x:f>IF(Reviewer_2!N35="","",Reviewer_2!N35)</x:f>
      </x:c>
      <x:c r="L35" s="25"/>
      <x:c r="M35" s="25"/>
      <x:c r="N35" s="25"/>
      <x:c r="O35" s="20" t="str">
        <x:f>IF(OR(D35="",E35=""),"PENDING",IF(OR(D35&lt;&gt;E35,G35&lt;&gt;H35,J35&lt;&gt;K35),"CONFLICT","AGREE"))</x:f>
        <x:v>PENDING</x:v>
      </x:c>
    </x:row>
    <x:row r="36">
      <x:c r="A36" t="str">
        <x:v>ext-iqa-pass-035</x:v>
      </x:c>
      <x:c r="B36" s="20" t="str">
        <x:v>Will Medicare Pay For Hospice?</x:v>
      </x:c>
      <x:c r="C36" s="20" t="str">
        <x:v>That is a great question , and one with a great answer ! Yes , Medicare Part A pays for end of life treatment . You will need a Doctor 's certification that your loved one is expected to pass within 6 months , and that no further restorative procedures are to be implemented . It does n't matter if the hospice care is given in your home , or a facility , as long as it is Medicare approved . You may also need a living will , or something similar to qualify . It will also pay for up to 5 days of respite care , if you need to take a break . Thanks for asking !</x:v>
      </x:c>
      <x:c r="D36" s="20" t="str">
        <x:f>IF(Reviewer_1!L36="","",Reviewer_1!L36)</x:f>
      </x:c>
      <x:c r="E36" s="20" t="str">
        <x:f>IF(Reviewer_2!L36="","",Reviewer_2!L36)</x:f>
      </x:c>
      <x:c r="F36" s="25"/>
      <x:c r="G36" s="20" t="str">
        <x:f>IF(Reviewer_1!M36="","",Reviewer_1!M36)</x:f>
      </x:c>
      <x:c r="H36" s="20" t="str">
        <x:f>IF(Reviewer_2!M36="","",Reviewer_2!M36)</x:f>
      </x:c>
      <x:c r="I36" s="25"/>
      <x:c r="J36" s="20" t="str">
        <x:f>IF(Reviewer_1!N36="","",Reviewer_1!N36)</x:f>
      </x:c>
      <x:c r="K36" s="20" t="str">
        <x:f>IF(Reviewer_2!N36="","",Reviewer_2!N36)</x:f>
      </x:c>
      <x:c r="L36" s="25"/>
      <x:c r="M36" s="25"/>
      <x:c r="N36" s="25"/>
      <x:c r="O36" s="20" t="str">
        <x:f>IF(OR(D36="",E36=""),"PENDING",IF(OR(D36&lt;&gt;E36,G36&lt;&gt;H36,J36&lt;&gt;K36),"CONFLICT","AGREE"))</x:f>
        <x:v>PENDING</x:v>
      </x:c>
    </x:row>
    <x:row r="37">
      <x:c r="A37" t="str">
        <x:v>ext-iqa-pass-036</x:v>
      </x:c>
      <x:c r="B37" s="20" t="str">
        <x:v>How Much Does Life Insurance Underwriters Make?</x:v>
      </x:c>
      <x:c r="C37" s="20" t="str">
        <x:v>Life insurance underwriters are generally paid on the basis of the amount of insurance they are permitted to underwrite , i.e. a $ 500,000 authority may define a `` junior '' underwriter who can make $ 50,000 to $ 75,000 . A senior underwriter with seasoned experience is going to make a six figure income . Senior underwriters who also are MDs can make considerably more ,</x:v>
      </x:c>
      <x:c r="D37" s="20" t="str">
        <x:f>IF(Reviewer_1!L37="","",Reviewer_1!L37)</x:f>
      </x:c>
      <x:c r="E37" s="20" t="str">
        <x:f>IF(Reviewer_2!L37="","",Reviewer_2!L37)</x:f>
      </x:c>
      <x:c r="F37" s="25"/>
      <x:c r="G37" s="20" t="str">
        <x:f>IF(Reviewer_1!M37="","",Reviewer_1!M37)</x:f>
      </x:c>
      <x:c r="H37" s="20" t="str">
        <x:f>IF(Reviewer_2!M37="","",Reviewer_2!M37)</x:f>
      </x:c>
      <x:c r="I37" s="25"/>
      <x:c r="J37" s="20" t="str">
        <x:f>IF(Reviewer_1!N37="","",Reviewer_1!N37)</x:f>
      </x:c>
      <x:c r="K37" s="20" t="str">
        <x:f>IF(Reviewer_2!N37="","",Reviewer_2!N37)</x:f>
      </x:c>
      <x:c r="L37" s="25"/>
      <x:c r="M37" s="25"/>
      <x:c r="N37" s="25"/>
      <x:c r="O37" s="20" t="str">
        <x:f>IF(OR(D37="",E37=""),"PENDING",IF(OR(D37&lt;&gt;E37,G37&lt;&gt;H37,J37&lt;&gt;K37),"CONFLICT","AGREE"))</x:f>
        <x:v>PENDING</x:v>
      </x:c>
    </x:row>
    <x:row r="38">
      <x:c r="A38" t="str">
        <x:v>ext-iqa-pass-037</x:v>
      </x:c>
      <x:c r="B38" s="20" t="str">
        <x:v>What Is The Best Medicare Plan In California?</x:v>
      </x:c>
      <x:c r="C38" s="20" t="str">
        <x:v>California has a lot of good Medicare plans , and there is surely one that is `` best '' for you . Medicare insurance rates vary greatly by age , tobacco use , zip code and plan design . The older you are the higher your Medicare supplement rate will be . The exception is for those who are under age 65 and on disability and Medicare . In most states rates for under age 65 are astronomical . Tobacco use often adds 20 % to the rate but can be more , depending on the carrier . Online sites offering instant Medicare plan rates can be helpful but if you want the lowest rates you need to talk to an independent Medicare agent .</x:v>
      </x:c>
      <x:c r="D38" s="20" t="str">
        <x:f>IF(Reviewer_1!L38="","",Reviewer_1!L38)</x:f>
      </x:c>
      <x:c r="E38" s="20" t="str">
        <x:f>IF(Reviewer_2!L38="","",Reviewer_2!L38)</x:f>
      </x:c>
      <x:c r="F38" s="25"/>
      <x:c r="G38" s="20" t="str">
        <x:f>IF(Reviewer_1!M38="","",Reviewer_1!M38)</x:f>
      </x:c>
      <x:c r="H38" s="20" t="str">
        <x:f>IF(Reviewer_2!M38="","",Reviewer_2!M38)</x:f>
      </x:c>
      <x:c r="I38" s="25"/>
      <x:c r="J38" s="20" t="str">
        <x:f>IF(Reviewer_1!N38="","",Reviewer_1!N38)</x:f>
      </x:c>
      <x:c r="K38" s="20" t="str">
        <x:f>IF(Reviewer_2!N38="","",Reviewer_2!N38)</x:f>
      </x:c>
      <x:c r="L38" s="25"/>
      <x:c r="M38" s="25"/>
      <x:c r="N38" s="25"/>
      <x:c r="O38" s="20" t="str">
        <x:f>IF(OR(D38="",E38=""),"PENDING",IF(OR(D38&lt;&gt;E38,G38&lt;&gt;H38,J38&lt;&gt;K38),"CONFLICT","AGREE"))</x:f>
        <x:v>PENDING</x:v>
      </x:c>
    </x:row>
    <x:row r="39">
      <x:c r="A39" t="str">
        <x:v>ext-iqa-pass-038</x:v>
      </x:c>
      <x:c r="B39" s="20" t="str">
        <x:v>At What Age Can You Collect Medicare?</x:v>
      </x:c>
      <x:c r="C39" s="20" t="str">
        <x:v>You can collect Medicare Part A and Part B at age 65 if you or your spouse has paid Medicare taxes for at least 40 quarters . You can collect Medicare under age 65 if you have been receiving Social Security Disability benefits for 24 months , and in several other circumstances .</x:v>
      </x:c>
      <x:c r="D39" s="20" t="str">
        <x:f>IF(Reviewer_1!L39="","",Reviewer_1!L39)</x:f>
      </x:c>
      <x:c r="E39" s="20" t="str">
        <x:f>IF(Reviewer_2!L39="","",Reviewer_2!L39)</x:f>
      </x:c>
      <x:c r="F39" s="25"/>
      <x:c r="G39" s="20" t="str">
        <x:f>IF(Reviewer_1!M39="","",Reviewer_1!M39)</x:f>
      </x:c>
      <x:c r="H39" s="20" t="str">
        <x:f>IF(Reviewer_2!M39="","",Reviewer_2!M39)</x:f>
      </x:c>
      <x:c r="I39" s="25"/>
      <x:c r="J39" s="20" t="str">
        <x:f>IF(Reviewer_1!N39="","",Reviewer_1!N39)</x:f>
      </x:c>
      <x:c r="K39" s="20" t="str">
        <x:f>IF(Reviewer_2!N39="","",Reviewer_2!N39)</x:f>
      </x:c>
      <x:c r="L39" s="25"/>
      <x:c r="M39" s="25"/>
      <x:c r="N39" s="25"/>
      <x:c r="O39" s="20" t="str">
        <x:f>IF(OR(D39="",E39=""),"PENDING",IF(OR(D39&lt;&gt;E39,G39&lt;&gt;H39,J39&lt;&gt;K39),"CONFLICT","AGREE"))</x:f>
        <x:v>PENDING</x:v>
      </x:c>
    </x:row>
    <x:row r="40">
      <x:c r="A40" t="str">
        <x:v>ext-iqa-pass-039</x:v>
      </x:c>
      <x:c r="B40" s="20" t="str">
        <x:v>How Would You Calculate The Expected Return On A Life Insurance Policy?</x:v>
      </x:c>
      <x:c r="C40" s="20" t="str">
        <x:v>Before you break out your HP12c calculator , consider this . Almost all proposals illustrate internal rate of return on both death benefit and cash values . If you have an existing life insurance policy you can order whats called an in force ledger and request the internal rate of return on both death benefit and cash values .</x:v>
      </x:c>
      <x:c r="D40" s="20" t="str">
        <x:f>IF(Reviewer_1!L40="","",Reviewer_1!L40)</x:f>
      </x:c>
      <x:c r="E40" s="20" t="str">
        <x:f>IF(Reviewer_2!L40="","",Reviewer_2!L40)</x:f>
      </x:c>
      <x:c r="F40" s="25"/>
      <x:c r="G40" s="20" t="str">
        <x:f>IF(Reviewer_1!M40="","",Reviewer_1!M40)</x:f>
      </x:c>
      <x:c r="H40" s="20" t="str">
        <x:f>IF(Reviewer_2!M40="","",Reviewer_2!M40)</x:f>
      </x:c>
      <x:c r="I40" s="25"/>
      <x:c r="J40" s="20" t="str">
        <x:f>IF(Reviewer_1!N40="","",Reviewer_1!N40)</x:f>
      </x:c>
      <x:c r="K40" s="20" t="str">
        <x:f>IF(Reviewer_2!N40="","",Reviewer_2!N40)</x:f>
      </x:c>
      <x:c r="L40" s="25"/>
      <x:c r="M40" s="25"/>
      <x:c r="N40" s="25"/>
      <x:c r="O40" s="20" t="str">
        <x:f>IF(OR(D40="",E40=""),"PENDING",IF(OR(D40&lt;&gt;E40,G40&lt;&gt;H40,J40&lt;&gt;K40),"CONFLICT","AGREE"))</x:f>
        <x:v>PENDING</x:v>
      </x:c>
    </x:row>
    <x:row r="41">
      <x:c r="A41" t="str">
        <x:v>ext-iqa-pass-040</x:v>
      </x:c>
      <x:c r="B41" s="20" t="str">
        <x:v>Is Mutual Fund Better Than Stock?</x:v>
      </x:c>
      <x:c r="C41" s="20" t="str">
        <x:v>A mutual fund is a share in an investment company . According to the prospectus it invests the funds using a particular investment strategy . The fund is generally quite diversified reducing the risk of a particular security suffering a great loss . At the same time this diversity dampens the effect of a particular security contained in the fund experiencing enormous gains . The mutually fund is generally viewed as being less volatile and more diversified .</x:v>
      </x:c>
      <x:c r="D41" s="20" t="str">
        <x:f>IF(Reviewer_1!L41="","",Reviewer_1!L41)</x:f>
      </x:c>
      <x:c r="E41" s="20" t="str">
        <x:f>IF(Reviewer_2!L41="","",Reviewer_2!L41)</x:f>
      </x:c>
      <x:c r="F41" s="25"/>
      <x:c r="G41" s="20" t="str">
        <x:f>IF(Reviewer_1!M41="","",Reviewer_1!M41)</x:f>
      </x:c>
      <x:c r="H41" s="20" t="str">
        <x:f>IF(Reviewer_2!M41="","",Reviewer_2!M41)</x:f>
      </x:c>
      <x:c r="I41" s="25"/>
      <x:c r="J41" s="20" t="str">
        <x:f>IF(Reviewer_1!N41="","",Reviewer_1!N41)</x:f>
      </x:c>
      <x:c r="K41" s="20" t="str">
        <x:f>IF(Reviewer_2!N41="","",Reviewer_2!N41)</x:f>
      </x:c>
      <x:c r="L41" s="25"/>
      <x:c r="M41" s="25"/>
      <x:c r="N41" s="25"/>
      <x:c r="O41" s="20" t="str">
        <x:f>IF(OR(D41="",E41=""),"PENDING",IF(OR(D41&lt;&gt;E41,G41&lt;&gt;H41,J41&lt;&gt;K41),"CONFLICT","AGREE"))</x:f>
        <x:v>PENDING</x:v>
      </x:c>
    </x:row>
    <x:row r="42">
      <x:c r="A42" t="str">
        <x:v>ext-iqa-pass-041</x:v>
      </x:c>
      <x:c r="B42" s="20" t="str">
        <x:v>Is Zostavax Covered By Medicare?</x:v>
      </x:c>
      <x:c r="C42" s="20" t="str">
        <x:v>Based on the supplied context, it will depend on the prescription drug plan you are in . Medicare only covers certain injectable , chemotherapy drugs under Part B . The best way to find out which plan covers your drugs is to go to Medicare.Gov and look under find Medicare Plans . If you have a problem doing this a good agent can help walk you through the process or look them up for you . If you have a prescription drug plan , you should have received a copy of their formulary . If not go on the company website and you can usually find out that way , or call the customer service number on the back of your card .</x:v>
      </x:c>
      <x:c r="D42" s="20" t="str">
        <x:f>IF(Reviewer_1!L42="","",Reviewer_1!L42)</x:f>
      </x:c>
      <x:c r="E42" s="20" t="str">
        <x:f>IF(Reviewer_2!L42="","",Reviewer_2!L42)</x:f>
      </x:c>
      <x:c r="F42" s="25"/>
      <x:c r="G42" s="20" t="str">
        <x:f>IF(Reviewer_1!M42="","",Reviewer_1!M42)</x:f>
      </x:c>
      <x:c r="H42" s="20" t="str">
        <x:f>IF(Reviewer_2!M42="","",Reviewer_2!M42)</x:f>
      </x:c>
      <x:c r="I42" s="25"/>
      <x:c r="J42" s="20" t="str">
        <x:f>IF(Reviewer_1!N42="","",Reviewer_1!N42)</x:f>
      </x:c>
      <x:c r="K42" s="20" t="str">
        <x:f>IF(Reviewer_2!N42="","",Reviewer_2!N42)</x:f>
      </x:c>
      <x:c r="L42" s="25"/>
      <x:c r="M42" s="25"/>
      <x:c r="N42" s="25"/>
      <x:c r="O42" s="20" t="str">
        <x:f>IF(OR(D42="",E42=""),"PENDING",IF(OR(D42&lt;&gt;E42,G42&lt;&gt;H42,J42&lt;&gt;K42),"CONFLICT","AGREE"))</x:f>
        <x:v>PENDING</x:v>
      </x:c>
    </x:row>
    <x:row r="43">
      <x:c r="A43" t="str">
        <x:v>ext-iqa-pass-042</x:v>
      </x:c>
      <x:c r="B43" s="20" t="str">
        <x:v>Does Medicare Cover Viagra Cialis?</x:v>
      </x:c>
      <x:c r="C43" s="20" t="str">
        <x:v>Based on the supplied context, medicare does not pay for Viagra , Cialis , Levitra or other erectile dysfunction drugs . They are not covered in Part B Medicare and excluded by Part D Medicare Drug Plans . The coverage ended in 2006 , when Congress determined them `` lifestyle '' drugs instead of medically necessary drugs . Since then , penile vacuum pumps , or , if those are ineffective , implanted penile inflation devices , are the only treatments for erectile dysfunction that are covered by Medicare .</x:v>
      </x:c>
      <x:c r="D43" s="20" t="str">
        <x:f>IF(Reviewer_1!L43="","",Reviewer_1!L43)</x:f>
      </x:c>
      <x:c r="E43" s="20" t="str">
        <x:f>IF(Reviewer_2!L43="","",Reviewer_2!L43)</x:f>
      </x:c>
      <x:c r="F43" s="25"/>
      <x:c r="G43" s="20" t="str">
        <x:f>IF(Reviewer_1!M43="","",Reviewer_1!M43)</x:f>
      </x:c>
      <x:c r="H43" s="20" t="str">
        <x:f>IF(Reviewer_2!M43="","",Reviewer_2!M43)</x:f>
      </x:c>
      <x:c r="I43" s="25"/>
      <x:c r="J43" s="20" t="str">
        <x:f>IF(Reviewer_1!N43="","",Reviewer_1!N43)</x:f>
      </x:c>
      <x:c r="K43" s="20" t="str">
        <x:f>IF(Reviewer_2!N43="","",Reviewer_2!N43)</x:f>
      </x:c>
      <x:c r="L43" s="25"/>
      <x:c r="M43" s="25"/>
      <x:c r="N43" s="25"/>
      <x:c r="O43" s="20" t="str">
        <x:f>IF(OR(D43="",E43=""),"PENDING",IF(OR(D43&lt;&gt;E43,G43&lt;&gt;H43,J43&lt;&gt;K43),"CONFLICT","AGREE"))</x:f>
        <x:v>PENDING</x:v>
      </x:c>
    </x:row>
    <x:row r="44">
      <x:c r="A44" t="str">
        <x:v>ext-iqa-pass-043</x:v>
      </x:c>
      <x:c r="B44" s="20" t="str">
        <x:v>Which Section Of Medicare Pays For Ambulatory Service?</x:v>
      </x:c>
      <x:c r="C44" s="20" t="str">
        <x:v>Based on the supplied context, medicare Part B will cover ambulance services that are medically necessary . Even though original Medicare does not have networks , you need to understand that Medicare has a fee schedule for things such as medical transport companies . What Medicare is willing to pay for ambulance transport may not be enough to satisfy the bill presented by the ambulance company .</x:v>
      </x:c>
      <x:c r="D44" s="20" t="str">
        <x:f>IF(Reviewer_1!L44="","",Reviewer_1!L44)</x:f>
      </x:c>
      <x:c r="E44" s="20" t="str">
        <x:f>IF(Reviewer_2!L44="","",Reviewer_2!L44)</x:f>
      </x:c>
      <x:c r="F44" s="25"/>
      <x:c r="G44" s="20" t="str">
        <x:f>IF(Reviewer_1!M44="","",Reviewer_1!M44)</x:f>
      </x:c>
      <x:c r="H44" s="20" t="str">
        <x:f>IF(Reviewer_2!M44="","",Reviewer_2!M44)</x:f>
      </x:c>
      <x:c r="I44" s="25"/>
      <x:c r="J44" s="20" t="str">
        <x:f>IF(Reviewer_1!N44="","",Reviewer_1!N44)</x:f>
      </x:c>
      <x:c r="K44" s="20" t="str">
        <x:f>IF(Reviewer_2!N44="","",Reviewer_2!N44)</x:f>
      </x:c>
      <x:c r="L44" s="25"/>
      <x:c r="M44" s="25"/>
      <x:c r="N44" s="25"/>
      <x:c r="O44" s="20" t="str">
        <x:f>IF(OR(D44="",E44=""),"PENDING",IF(OR(D44&lt;&gt;E44,G44&lt;&gt;H44,J44&lt;&gt;K44),"CONFLICT","AGREE"))</x:f>
        <x:v>PENDING</x:v>
      </x:c>
    </x:row>
    <x:row r="45">
      <x:c r="A45" t="str">
        <x:v>ext-iqa-pass-044</x:v>
      </x:c>
      <x:c r="B45" s="20" t="str">
        <x:v>What Is The Benefit Of Renters Insurance?</x:v>
      </x:c>
      <x:c r="C45" s="20" t="str">
        <x:v>Based on the supplied context, renters insurance is for renters of homes and apartments as house insurance is for those who own the house . Renters insurance protects YOUR property if there is a loss from say a fire . The biggest issue is what kind of policy you have . Does your insurance give yoy replacement cost or just current value . There is a big difference . Think about what you stuff costs today versus purchasing brand new .</x:v>
      </x:c>
      <x:c r="D45" s="20" t="str">
        <x:f>IF(Reviewer_1!L45="","",Reviewer_1!L45)</x:f>
      </x:c>
      <x:c r="E45" s="20" t="str">
        <x:f>IF(Reviewer_2!L45="","",Reviewer_2!L45)</x:f>
      </x:c>
      <x:c r="F45" s="25"/>
      <x:c r="G45" s="20" t="str">
        <x:f>IF(Reviewer_1!M45="","",Reviewer_1!M45)</x:f>
      </x:c>
      <x:c r="H45" s="20" t="str">
        <x:f>IF(Reviewer_2!M45="","",Reviewer_2!M45)</x:f>
      </x:c>
      <x:c r="I45" s="25"/>
      <x:c r="J45" s="20" t="str">
        <x:f>IF(Reviewer_1!N45="","",Reviewer_1!N45)</x:f>
      </x:c>
      <x:c r="K45" s="20" t="str">
        <x:f>IF(Reviewer_2!N45="","",Reviewer_2!N45)</x:f>
      </x:c>
      <x:c r="L45" s="25"/>
      <x:c r="M45" s="25"/>
      <x:c r="N45" s="25"/>
      <x:c r="O45" s="20" t="str">
        <x:f>IF(OR(D45="",E45=""),"PENDING",IF(OR(D45&lt;&gt;E45,G45&lt;&gt;H45,J45&lt;&gt;K45),"CONFLICT","AGREE"))</x:f>
        <x:v>PENDING</x:v>
      </x:c>
    </x:row>
    <x:row r="46">
      <x:c r="A46" t="str">
        <x:v>ext-iqa-pass-045</x:v>
      </x:c>
      <x:c r="B46" s="20" t="str">
        <x:v>Is travel insurance worth the money?</x:v>
      </x:c>
      <x:c r="C46" s="20" t="str">
        <x:v>Based on the supplied context, to determine the value of a travel insurance policy review the coverage that you currently have . Some people have coverage that extends to the locality where they live , or the state in which they reside . Coverage outside of that specified area can be highly limited . The issue becomes more severe with most plans when you travel overseas . If your current coverage is inadequate to cover potential difficulties secure a travel insurance policy . Personally , I travel overseas frequently and never purchase travel insurance .</x:v>
      </x:c>
      <x:c r="D46" s="20" t="str">
        <x:f>IF(Reviewer_1!L46="","",Reviewer_1!L46)</x:f>
      </x:c>
      <x:c r="E46" s="20" t="str">
        <x:f>IF(Reviewer_2!L46="","",Reviewer_2!L46)</x:f>
      </x:c>
      <x:c r="F46" s="25"/>
      <x:c r="G46" s="20" t="str">
        <x:f>IF(Reviewer_1!M46="","",Reviewer_1!M46)</x:f>
      </x:c>
      <x:c r="H46" s="20" t="str">
        <x:f>IF(Reviewer_2!M46="","",Reviewer_2!M46)</x:f>
      </x:c>
      <x:c r="I46" s="25"/>
      <x:c r="J46" s="20" t="str">
        <x:f>IF(Reviewer_1!N46="","",Reviewer_1!N46)</x:f>
      </x:c>
      <x:c r="K46" s="20" t="str">
        <x:f>IF(Reviewer_2!N46="","",Reviewer_2!N46)</x:f>
      </x:c>
      <x:c r="L46" s="25"/>
      <x:c r="M46" s="25"/>
      <x:c r="N46" s="25"/>
      <x:c r="O46" s="20" t="str">
        <x:f>IF(OR(D46="",E46=""),"PENDING",IF(OR(D46&lt;&gt;E46,G46&lt;&gt;H46,J46&lt;&gt;K46),"CONFLICT","AGREE"))</x:f>
        <x:v>PENDING</x:v>
      </x:c>
    </x:row>
    <x:row r="47">
      <x:c r="A47" t="str">
        <x:v>ext-iqa-pass-046</x:v>
      </x:c>
      <x:c r="B47" s="20" t="str">
        <x:v>Why Is An Equity Indexed Annuity Considered To Be A Fixed Annuity?</x:v>
      </x:c>
      <x:c r="C47" s="20" t="str">
        <x:v>Based on the supplied context, because it a FIXED AND GUARANTEED RATEBOF RETURN . You ca n't lose your principle and average GUARANTEED rates are around 2 % on the low end to 4 % on the high end . You get a nominal/limited upside gain of the stock market along with knowing you ca n't lose any money . Somewhat fixed .</x:v>
      </x:c>
      <x:c r="D47" s="20" t="str">
        <x:f>IF(Reviewer_1!L47="","",Reviewer_1!L47)</x:f>
      </x:c>
      <x:c r="E47" s="20" t="str">
        <x:f>IF(Reviewer_2!L47="","",Reviewer_2!L47)</x:f>
      </x:c>
      <x:c r="F47" s="25"/>
      <x:c r="G47" s="20" t="str">
        <x:f>IF(Reviewer_1!M47="","",Reviewer_1!M47)</x:f>
      </x:c>
      <x:c r="H47" s="20" t="str">
        <x:f>IF(Reviewer_2!M47="","",Reviewer_2!M47)</x:f>
      </x:c>
      <x:c r="I47" s="25"/>
      <x:c r="J47" s="20" t="str">
        <x:f>IF(Reviewer_1!N47="","",Reviewer_1!N47)</x:f>
      </x:c>
      <x:c r="K47" s="20" t="str">
        <x:f>IF(Reviewer_2!N47="","",Reviewer_2!N47)</x:f>
      </x:c>
      <x:c r="L47" s="25"/>
      <x:c r="M47" s="25"/>
      <x:c r="N47" s="25"/>
      <x:c r="O47" s="20" t="str">
        <x:f>IF(OR(D47="",E47=""),"PENDING",IF(OR(D47&lt;&gt;E47,G47&lt;&gt;H47,J47&lt;&gt;K47),"CONFLICT","AGREE"))</x:f>
        <x:v>PENDING</x:v>
      </x:c>
    </x:row>
    <x:row r="48">
      <x:c r="A48" t="str">
        <x:v>ext-iqa-pass-047</x:v>
      </x:c>
      <x:c r="B48" s="20" t="str">
        <x:v>When Does Health Insurance End When Leaving A Job?</x:v>
      </x:c>
      <x:c r="C48" s="20" t="str">
        <x:v>Based on the supplied context, if you leave your job or are terminated your health insurance usually ends at the end of the month you left your job . At that time you would be eligible for COBRA continuation coverage for 18 months or you could purchase indivdiual health insurance . COBRA used to be the best option if you had a pre-exisitng condition but under the Affordable Care Act , commonly known as Obamacare , you can purchase individual coverage with no issues . You have to prove that you have a qualifying event under the IRS code which is a letter of Creditable Coverage from your former health insurance company or employer .</x:v>
      </x:c>
      <x:c r="D48" s="20" t="str">
        <x:f>IF(Reviewer_1!L48="","",Reviewer_1!L48)</x:f>
      </x:c>
      <x:c r="E48" s="20" t="str">
        <x:f>IF(Reviewer_2!L48="","",Reviewer_2!L48)</x:f>
      </x:c>
      <x:c r="F48" s="25"/>
      <x:c r="G48" s="20" t="str">
        <x:f>IF(Reviewer_1!M48="","",Reviewer_1!M48)</x:f>
      </x:c>
      <x:c r="H48" s="20" t="str">
        <x:f>IF(Reviewer_2!M48="","",Reviewer_2!M48)</x:f>
      </x:c>
      <x:c r="I48" s="25"/>
      <x:c r="J48" s="20" t="str">
        <x:f>IF(Reviewer_1!N48="","",Reviewer_1!N48)</x:f>
      </x:c>
      <x:c r="K48" s="20" t="str">
        <x:f>IF(Reviewer_2!N48="","",Reviewer_2!N48)</x:f>
      </x:c>
      <x:c r="L48" s="25"/>
      <x:c r="M48" s="25"/>
      <x:c r="N48" s="25"/>
      <x:c r="O48" s="20" t="str">
        <x:f>IF(OR(D48="",E48=""),"PENDING",IF(OR(D48&lt;&gt;E48,G48&lt;&gt;H48,J48&lt;&gt;K48),"CONFLICT","AGREE"))</x:f>
        <x:v>PENDING</x:v>
      </x:c>
    </x:row>
    <x:row r="49">
      <x:c r="A49" t="str">
        <x:v>ext-iqa-pass-048</x:v>
      </x:c>
      <x:c r="B49" s="20" t="str">
        <x:v>How To Find Out What My Health Insurance Covers?</x:v>
      </x:c>
      <x:c r="C49" s="20" t="str">
        <x:v>Based on the supplied context, your best resource for information about a policy that is already in force is from the insurance carrier directly . There will be a toll free number on your card . If you have a direct relationship with an agent who helped you purchase the policy , that person can be of assistance if you run into any challenges . The people at the carrier 's call center are human too and sometimes you can get bad information simply due to human error . If you think an answer is wrong , call back and get another representative . If you get stuck , call your agent !</x:v>
      </x:c>
      <x:c r="D49" s="20" t="str">
        <x:f>IF(Reviewer_1!L49="","",Reviewer_1!L49)</x:f>
      </x:c>
      <x:c r="E49" s="20" t="str">
        <x:f>IF(Reviewer_2!L49="","",Reviewer_2!L49)</x:f>
      </x:c>
      <x:c r="F49" s="25"/>
      <x:c r="G49" s="20" t="str">
        <x:f>IF(Reviewer_1!M49="","",Reviewer_1!M49)</x:f>
      </x:c>
      <x:c r="H49" s="20" t="str">
        <x:f>IF(Reviewer_2!M49="","",Reviewer_2!M49)</x:f>
      </x:c>
      <x:c r="I49" s="25"/>
      <x:c r="J49" s="20" t="str">
        <x:f>IF(Reviewer_1!N49="","",Reviewer_1!N49)</x:f>
      </x:c>
      <x:c r="K49" s="20" t="str">
        <x:f>IF(Reviewer_2!N49="","",Reviewer_2!N49)</x:f>
      </x:c>
      <x:c r="L49" s="25"/>
      <x:c r="M49" s="25"/>
      <x:c r="N49" s="25"/>
      <x:c r="O49" s="20" t="str">
        <x:f>IF(OR(D49="",E49=""),"PENDING",IF(OR(D49&lt;&gt;E49,G49&lt;&gt;H49,J49&lt;&gt;K49),"CONFLICT","AGREE"))</x:f>
        <x:v>PENDING</x:v>
      </x:c>
    </x:row>
    <x:row r="50">
      <x:c r="A50" t="str">
        <x:v>ext-iqa-pass-049</x:v>
      </x:c>
      <x:c r="B50" s="20" t="str">
        <x:v>How To Get Life Insurance On Ex Husband?</x:v>
      </x:c>
      <x:c r="C50" s="20" t="str">
        <x:v>Based on the supplied context, depending on your divorce and how it has panned out . The ex spouse may see the need to have life insurance to provide protection when kids are involved . They may not , see a need at all and that would be where you petition the court and let the court decide the need for him .</x:v>
      </x:c>
      <x:c r="D50" s="20" t="str">
        <x:f>IF(Reviewer_1!L50="","",Reviewer_1!L50)</x:f>
      </x:c>
      <x:c r="E50" s="20" t="str">
        <x:f>IF(Reviewer_2!L50="","",Reviewer_2!L50)</x:f>
      </x:c>
      <x:c r="F50" s="25"/>
      <x:c r="G50" s="20" t="str">
        <x:f>IF(Reviewer_1!M50="","",Reviewer_1!M50)</x:f>
      </x:c>
      <x:c r="H50" s="20" t="str">
        <x:f>IF(Reviewer_2!M50="","",Reviewer_2!M50)</x:f>
      </x:c>
      <x:c r="I50" s="25"/>
      <x:c r="J50" s="20" t="str">
        <x:f>IF(Reviewer_1!N50="","",Reviewer_1!N50)</x:f>
      </x:c>
      <x:c r="K50" s="20" t="str">
        <x:f>IF(Reviewer_2!N50="","",Reviewer_2!N50)</x:f>
      </x:c>
      <x:c r="L50" s="25"/>
      <x:c r="M50" s="25"/>
      <x:c r="N50" s="25"/>
      <x:c r="O50" s="20" t="str">
        <x:f>IF(OR(D50="",E50=""),"PENDING",IF(OR(D50&lt;&gt;E50,G50&lt;&gt;H50,J50&lt;&gt;K50),"CONFLICT","AGREE"))</x:f>
        <x:v>PENDING</x:v>
      </x:c>
    </x:row>
    <x:row r="51">
      <x:c r="A51" t="str">
        <x:v>ext-iqa-pass-050</x:v>
      </x:c>
      <x:c r="B51" s="20" t="str">
        <x:v>Can An 88 Year Old Get Life Insurance?</x:v>
      </x:c>
      <x:c r="C51" s="20" t="str">
        <x:v>Based on the supplied context, i actually had a case for an 88-year-old a couple of years ago . It was rather interesting . What we had going for us was the following : A number of companies will issue a policy up to age 90 . Out of these , some will specialize in ages over 65 . The insured had a number of medical issues , but they were well-controlled . The challenge was getting the money to pay for the coverage . Since the family would benefit , efforts were made to have the family help pay the premium . This is where things got a little tough . Assuming the money is there , this can be done .</x:v>
      </x:c>
      <x:c r="D51" s="20" t="str">
        <x:f>IF(Reviewer_1!L51="","",Reviewer_1!L51)</x:f>
      </x:c>
      <x:c r="E51" s="20" t="str">
        <x:f>IF(Reviewer_2!L51="","",Reviewer_2!L51)</x:f>
      </x:c>
      <x:c r="F51" s="25"/>
      <x:c r="G51" s="20" t="str">
        <x:f>IF(Reviewer_1!M51="","",Reviewer_1!M51)</x:f>
      </x:c>
      <x:c r="H51" s="20" t="str">
        <x:f>IF(Reviewer_2!M51="","",Reviewer_2!M51)</x:f>
      </x:c>
      <x:c r="I51" s="25"/>
      <x:c r="J51" s="20" t="str">
        <x:f>IF(Reviewer_1!N51="","",Reviewer_1!N51)</x:f>
      </x:c>
      <x:c r="K51" s="20" t="str">
        <x:f>IF(Reviewer_2!N51="","",Reviewer_2!N51)</x:f>
      </x:c>
      <x:c r="L51" s="25"/>
      <x:c r="M51" s="25"/>
      <x:c r="N51" s="25"/>
      <x:c r="O51" s="20" t="str">
        <x:f>IF(OR(D51="",E51=""),"PENDING",IF(OR(D51&lt;&gt;E51,G51&lt;&gt;H51,J51&lt;&gt;K51),"CONFLICT","AGREE"))</x:f>
        <x:v>PENDING</x:v>
      </x:c>
    </x:row>
    <x:row r="52">
      <x:c r="A52" t="str">
        <x:v>ext-iqa-pass-051</x:v>
      </x:c>
      <x:c r="B52" s="20" t="str">
        <x:v>Why Do I Have To Have Homeowners Insurance?</x:v>
      </x:c>
      <x:c r="C52" s="20" t="str">
        <x:v>Based on the supplied context, technically you do not have to have homeowners insurance . It is not required at this time by law in any of the states in the United States to the best of my knowledge . Your mortgage lender will typically require homeowners insurance coverage to protect themselves against loss in the event of a covered loss . There are way to many reasons to list here as to why you should have coverage . Please contact a local agent to discuss your coverage needs and concerns .</x:v>
      </x:c>
      <x:c r="D52" s="20" t="str">
        <x:f>IF(Reviewer_1!L52="","",Reviewer_1!L52)</x:f>
      </x:c>
      <x:c r="E52" s="20" t="str">
        <x:f>IF(Reviewer_2!L52="","",Reviewer_2!L52)</x:f>
      </x:c>
      <x:c r="F52" s="25"/>
      <x:c r="G52" s="20" t="str">
        <x:f>IF(Reviewer_1!M52="","",Reviewer_1!M52)</x:f>
      </x:c>
      <x:c r="H52" s="20" t="str">
        <x:f>IF(Reviewer_2!M52="","",Reviewer_2!M52)</x:f>
      </x:c>
      <x:c r="I52" s="25"/>
      <x:c r="J52" s="20" t="str">
        <x:f>IF(Reviewer_1!N52="","",Reviewer_1!N52)</x:f>
      </x:c>
      <x:c r="K52" s="20" t="str">
        <x:f>IF(Reviewer_2!N52="","",Reviewer_2!N52)</x:f>
      </x:c>
      <x:c r="L52" s="25"/>
      <x:c r="M52" s="25"/>
      <x:c r="N52" s="25"/>
      <x:c r="O52" s="20" t="str">
        <x:f>IF(OR(D52="",E52=""),"PENDING",IF(OR(D52&lt;&gt;E52,G52&lt;&gt;H52,J52&lt;&gt;K52),"CONFLICT","AGREE"))</x:f>
        <x:v>PENDING</x:v>
      </x:c>
    </x:row>
    <x:row r="53">
      <x:c r="A53" t="str">
        <x:v>ext-iqa-pass-052</x:v>
      </x:c>
      <x:c r="B53" s="20" t="str">
        <x:v>Does Renters Insurance Cover Sewage Backup?</x:v>
      </x:c>
      <x:c r="C53" s="20" t="str">
        <x:v>Based on the supplied context, renters insurance does not cover sewage backup on its own . There is an endorsement available to add this coverage , usually for just a few dollars per month . It 's worth remembering that endorsements must be made before a loss occurs . You can not call your insurance agent and add the water and sewage backup endorsement after you discover the problem , there will be no coverage because the endorsement was not applied at the time the loss occurred .</x:v>
      </x:c>
      <x:c r="D53" s="20" t="str">
        <x:f>IF(Reviewer_1!L53="","",Reviewer_1!L53)</x:f>
      </x:c>
      <x:c r="E53" s="20" t="str">
        <x:f>IF(Reviewer_2!L53="","",Reviewer_2!L53)</x:f>
      </x:c>
      <x:c r="F53" s="25"/>
      <x:c r="G53" s="20" t="str">
        <x:f>IF(Reviewer_1!M53="","",Reviewer_1!M53)</x:f>
      </x:c>
      <x:c r="H53" s="20" t="str">
        <x:f>IF(Reviewer_2!M53="","",Reviewer_2!M53)</x:f>
      </x:c>
      <x:c r="I53" s="25"/>
      <x:c r="J53" s="20" t="str">
        <x:f>IF(Reviewer_1!N53="","",Reviewer_1!N53)</x:f>
      </x:c>
      <x:c r="K53" s="20" t="str">
        <x:f>IF(Reviewer_2!N53="","",Reviewer_2!N53)</x:f>
      </x:c>
      <x:c r="L53" s="25"/>
      <x:c r="M53" s="25"/>
      <x:c r="N53" s="25"/>
      <x:c r="O53" s="20" t="str">
        <x:f>IF(OR(D53="",E53=""),"PENDING",IF(OR(D53&lt;&gt;E53,G53&lt;&gt;H53,J53&lt;&gt;K53),"CONFLICT","AGREE"))</x:f>
        <x:v>PENDING</x:v>
      </x:c>
    </x:row>
    <x:row r="54">
      <x:c r="A54" t="str">
        <x:v>ext-iqa-pass-053</x:v>
      </x:c>
      <x:c r="B54" s="20" t="str">
        <x:v>Will Annuity Rates Go Up?</x:v>
      </x:c>
      <x:c r="C54" s="20" t="str">
        <x:v>Based on the supplied context, annuity Rates are directly tied to the Fed Funds Rate &amp; to 10 Year Treasury Rates . Both of these are at historical lows at the moment . Most financial experts claim that interest rates should rise over the next 5 years . If this happens , Annuity Rates will rise as along with them .</x:v>
      </x:c>
      <x:c r="D54" s="20" t="str">
        <x:f>IF(Reviewer_1!L54="","",Reviewer_1!L54)</x:f>
      </x:c>
      <x:c r="E54" s="20" t="str">
        <x:f>IF(Reviewer_2!L54="","",Reviewer_2!L54)</x:f>
      </x:c>
      <x:c r="F54" s="25"/>
      <x:c r="G54" s="20" t="str">
        <x:f>IF(Reviewer_1!M54="","",Reviewer_1!M54)</x:f>
      </x:c>
      <x:c r="H54" s="20" t="str">
        <x:f>IF(Reviewer_2!M54="","",Reviewer_2!M54)</x:f>
      </x:c>
      <x:c r="I54" s="25"/>
      <x:c r="J54" s="20" t="str">
        <x:f>IF(Reviewer_1!N54="","",Reviewer_1!N54)</x:f>
      </x:c>
      <x:c r="K54" s="20" t="str">
        <x:f>IF(Reviewer_2!N54="","",Reviewer_2!N54)</x:f>
      </x:c>
      <x:c r="L54" s="25"/>
      <x:c r="M54" s="25"/>
      <x:c r="N54" s="25"/>
      <x:c r="O54" s="20" t="str">
        <x:f>IF(OR(D54="",E54=""),"PENDING",IF(OR(D54&lt;&gt;E54,G54&lt;&gt;H54,J54&lt;&gt;K54),"CONFLICT","AGREE"))</x:f>
        <x:v>PENDING</x:v>
      </x:c>
    </x:row>
    <x:row r="55">
      <x:c r="A55" t="str">
        <x:v>ext-iqa-pass-054</x:v>
      </x:c>
      <x:c r="B55" s="20" t="str">
        <x:v>What Is A Governmental 457 Retirement Plan?</x:v>
      </x:c>
      <x:c r="C55" s="20" t="str">
        <x:v>Based on the supplied context, assuming youre referring to 457 -LRB- b -RRB- retirement plans , 457 -LRB- b -RRB- deferred compensation plans that are available in government and non-government organizations under 501 -LRB- c -RRB- . Theres no 59 penalty as long as the plan participant is retiring or ending employment . Government 457 can be rolled personal over to IRAs . Nonprofit workers can only roll their 457 plans over to another 457 plan . 2013 contribution limits are $ 17,500 and an extra $ 5,500 if you are age 50 or older .</x:v>
      </x:c>
      <x:c r="D55" s="20" t="str">
        <x:f>IF(Reviewer_1!L55="","",Reviewer_1!L55)</x:f>
      </x:c>
      <x:c r="E55" s="20" t="str">
        <x:f>IF(Reviewer_2!L55="","",Reviewer_2!L55)</x:f>
      </x:c>
      <x:c r="F55" s="25"/>
      <x:c r="G55" s="20" t="str">
        <x:f>IF(Reviewer_1!M55="","",Reviewer_1!M55)</x:f>
      </x:c>
      <x:c r="H55" s="20" t="str">
        <x:f>IF(Reviewer_2!M55="","",Reviewer_2!M55)</x:f>
      </x:c>
      <x:c r="I55" s="25"/>
      <x:c r="J55" s="20" t="str">
        <x:f>IF(Reviewer_1!N55="","",Reviewer_1!N55)</x:f>
      </x:c>
      <x:c r="K55" s="20" t="str">
        <x:f>IF(Reviewer_2!N55="","",Reviewer_2!N55)</x:f>
      </x:c>
      <x:c r="L55" s="25"/>
      <x:c r="M55" s="25"/>
      <x:c r="N55" s="25"/>
      <x:c r="O55" s="20" t="str">
        <x:f>IF(OR(D55="",E55=""),"PENDING",IF(OR(D55&lt;&gt;E55,G55&lt;&gt;H55,J55&lt;&gt;K55),"CONFLICT","AGREE"))</x:f>
        <x:v>PENDING</x:v>
      </x:c>
    </x:row>
    <x:row r="56">
      <x:c r="A56" t="str">
        <x:v>ext-iqa-pass-055</x:v>
      </x:c>
      <x:c r="B56" s="20" t="str">
        <x:v>What Is Multiplan Health Insurance?</x:v>
      </x:c>
      <x:c r="C56" s="20" t="str">
        <x:v>Based on the supplied context, multiplan health insurance is not health insurance . Multiplan is a national PPO network that is used by some health insurance carriers either as a primary network or secondary . There are medical discount plans that promote the benefits of the Multiplan network but discount plans should never be considered a substitute for true major medical coverage .</x:v>
      </x:c>
      <x:c r="D56" s="20" t="str">
        <x:f>IF(Reviewer_1!L56="","",Reviewer_1!L56)</x:f>
      </x:c>
      <x:c r="E56" s="20" t="str">
        <x:f>IF(Reviewer_2!L56="","",Reviewer_2!L56)</x:f>
      </x:c>
      <x:c r="F56" s="25"/>
      <x:c r="G56" s="20" t="str">
        <x:f>IF(Reviewer_1!M56="","",Reviewer_1!M56)</x:f>
      </x:c>
      <x:c r="H56" s="20" t="str">
        <x:f>IF(Reviewer_2!M56="","",Reviewer_2!M56)</x:f>
      </x:c>
      <x:c r="I56" s="25"/>
      <x:c r="J56" s="20" t="str">
        <x:f>IF(Reviewer_1!N56="","",Reviewer_1!N56)</x:f>
      </x:c>
      <x:c r="K56" s="20" t="str">
        <x:f>IF(Reviewer_2!N56="","",Reviewer_2!N56)</x:f>
      </x:c>
      <x:c r="L56" s="25"/>
      <x:c r="M56" s="25"/>
      <x:c r="N56" s="25"/>
      <x:c r="O56" s="20" t="str">
        <x:f>IF(OR(D56="",E56=""),"PENDING",IF(OR(D56&lt;&gt;E56,G56&lt;&gt;H56,J56&lt;&gt;K56),"CONFLICT","AGREE"))</x:f>
        <x:v>PENDING</x:v>
      </x:c>
    </x:row>
    <x:row r="57">
      <x:c r="A57" t="str">
        <x:v>ext-iqa-pass-056</x:v>
      </x:c>
      <x:c r="B57" s="20" t="str">
        <x:v>Does Subway Offer Health Insurance?</x:v>
      </x:c>
      <x:c r="C57" s="20" t="str">
        <x:v>Based on the supplied context, this is a good Question . With any Company , whether they provide employee health coverage or not will depend on many factors . Whether you are Part time or Full time , if there is a waiting period , etc etc. . It is important to know that even if your employer does not offer health benefits , you can apply for your OWN individual plan that you pay for and manage on your own . This may also be a good option because if you happen to leave that job , you wo n't have to worry about loosing your health coverage .</x:v>
      </x:c>
      <x:c r="D57" s="20" t="str">
        <x:f>IF(Reviewer_1!L57="","",Reviewer_1!L57)</x:f>
      </x:c>
      <x:c r="E57" s="20" t="str">
        <x:f>IF(Reviewer_2!L57="","",Reviewer_2!L57)</x:f>
      </x:c>
      <x:c r="F57" s="25"/>
      <x:c r="G57" s="20" t="str">
        <x:f>IF(Reviewer_1!M57="","",Reviewer_1!M57)</x:f>
      </x:c>
      <x:c r="H57" s="20" t="str">
        <x:f>IF(Reviewer_2!M57="","",Reviewer_2!M57)</x:f>
      </x:c>
      <x:c r="I57" s="25"/>
      <x:c r="J57" s="20" t="str">
        <x:f>IF(Reviewer_1!N57="","",Reviewer_1!N57)</x:f>
      </x:c>
      <x:c r="K57" s="20" t="str">
        <x:f>IF(Reviewer_2!N57="","",Reviewer_2!N57)</x:f>
      </x:c>
      <x:c r="L57" s="25"/>
      <x:c r="M57" s="25"/>
      <x:c r="N57" s="25"/>
      <x:c r="O57" s="20" t="str">
        <x:f>IF(OR(D57="",E57=""),"PENDING",IF(OR(D57&lt;&gt;E57,G57&lt;&gt;H57,J57&lt;&gt;K57),"CONFLICT","AGREE"))</x:f>
        <x:v>PENDING</x:v>
      </x:c>
    </x:row>
    <x:row r="58">
      <x:c r="A58" t="str">
        <x:v>ext-iqa-pass-057</x:v>
      </x:c>
      <x:c r="B58" s="20" t="str">
        <x:v>How Does A Cash Balance Retirement Plan Work?</x:v>
      </x:c>
      <x:c r="C58" s="20" t="str">
        <x:v>Based on the supplied context, cash balance plans are qualified defined benefit plans under ERISA , the Employee Retirement Income Security Act of 1974 . Employers appreciate the discriminatory ability to favor business owners . Cash balance plans are also used in tandem with 401 -LRB- k -RRB- for enhanced contribution limits . The plans accumulate tax deferred and offer creditor protection .</x:v>
      </x:c>
      <x:c r="D58" s="20" t="str">
        <x:f>IF(Reviewer_1!L58="","",Reviewer_1!L58)</x:f>
      </x:c>
      <x:c r="E58" s="20" t="str">
        <x:f>IF(Reviewer_2!L58="","",Reviewer_2!L58)</x:f>
      </x:c>
      <x:c r="F58" s="25"/>
      <x:c r="G58" s="20" t="str">
        <x:f>IF(Reviewer_1!M58="","",Reviewer_1!M58)</x:f>
      </x:c>
      <x:c r="H58" s="20" t="str">
        <x:f>IF(Reviewer_2!M58="","",Reviewer_2!M58)</x:f>
      </x:c>
      <x:c r="I58" s="25"/>
      <x:c r="J58" s="20" t="str">
        <x:f>IF(Reviewer_1!N58="","",Reviewer_1!N58)</x:f>
      </x:c>
      <x:c r="K58" s="20" t="str">
        <x:f>IF(Reviewer_2!N58="","",Reviewer_2!N58)</x:f>
      </x:c>
      <x:c r="L58" s="25"/>
      <x:c r="M58" s="25"/>
      <x:c r="N58" s="25"/>
      <x:c r="O58" s="20" t="str">
        <x:f>IF(OR(D58="",E58=""),"PENDING",IF(OR(D58&lt;&gt;E58,G58&lt;&gt;H58,J58&lt;&gt;K58),"CONFLICT","AGREE"))</x:f>
        <x:v>PENDING</x:v>
      </x:c>
    </x:row>
    <x:row r="59">
      <x:c r="A59" t="str">
        <x:v>ext-iqa-pass-058</x:v>
      </x:c>
      <x:c r="B59" s="20" t="str">
        <x:v>What Is The Best Critical Illness Insurance?</x:v>
      </x:c>
      <x:c r="C59" s="20" t="str">
        <x:v>Based on the supplied context, the best critical illness insurance is that which has the best features . Some things to look for are : 1 -RRB- How much of the benefit is paid for each illness , 2 -RRB- What is the special limitation period -LRB- how long you would have to wait before the policy would pay after issue -RRB- , 3 -RRB- How many illness are covered , 4 -RRB- Is the policy guaranteed renewable , 5 -RRB- How long is the premium guaranteed , 6 -RRB- Is there a reduction of benefits after a certain age , and 7 -RRB- Are riders offered -LRB- e.g. for accidental death -RRB- .</x:v>
      </x:c>
      <x:c r="D59" s="20" t="str">
        <x:f>IF(Reviewer_1!L59="","",Reviewer_1!L59)</x:f>
      </x:c>
      <x:c r="E59" s="20" t="str">
        <x:f>IF(Reviewer_2!L59="","",Reviewer_2!L59)</x:f>
      </x:c>
      <x:c r="F59" s="25"/>
      <x:c r="G59" s="20" t="str">
        <x:f>IF(Reviewer_1!M59="","",Reviewer_1!M59)</x:f>
      </x:c>
      <x:c r="H59" s="20" t="str">
        <x:f>IF(Reviewer_2!M59="","",Reviewer_2!M59)</x:f>
      </x:c>
      <x:c r="I59" s="25"/>
      <x:c r="J59" s="20" t="str">
        <x:f>IF(Reviewer_1!N59="","",Reviewer_1!N59)</x:f>
      </x:c>
      <x:c r="K59" s="20" t="str">
        <x:f>IF(Reviewer_2!N59="","",Reviewer_2!N59)</x:f>
      </x:c>
      <x:c r="L59" s="25"/>
      <x:c r="M59" s="25"/>
      <x:c r="N59" s="25"/>
      <x:c r="O59" s="20" t="str">
        <x:f>IF(OR(D59="",E59=""),"PENDING",IF(OR(D59&lt;&gt;E59,G59&lt;&gt;H59,J59&lt;&gt;K59),"CONFLICT","AGREE"))</x:f>
        <x:v>PENDING</x:v>
      </x:c>
    </x:row>
    <x:row r="60">
      <x:c r="A60" t="str">
        <x:v>ext-iqa-pass-059</x:v>
      </x:c>
      <x:c r="B60" s="20" t="str">
        <x:v>What Is The Best Supplemental Insurance Plan For Medicare?</x:v>
      </x:c>
      <x:c r="C60" s="20" t="str">
        <x:v>Based on the supplied context, you will define what is best based on your particular needs and budget . All Medicare supplemental insurance plans with the same letter are identical in every way except the premium , the decision is much easier . Medigap plan F is the most popular , mostly because it is oversold . Far too many agents promote the plan because it is easy to explain . Medicare supplement plan F is also the most expensive plan ... and the one that pays agents the highest commission . I recently showed a couple how they could save over $ 1700 per year by switching from their current plan -LRB- with a big name carrier -RRB- to a smaller , but reputable carrier . There is no reason to pay more for the same coverage , even if you are rolling in dough . #GeorgiaMedicarePlans</x:v>
      </x:c>
      <x:c r="D60" s="20" t="str">
        <x:f>IF(Reviewer_1!L60="","",Reviewer_1!L60)</x:f>
      </x:c>
      <x:c r="E60" s="20" t="str">
        <x:f>IF(Reviewer_2!L60="","",Reviewer_2!L60)</x:f>
      </x:c>
      <x:c r="F60" s="25"/>
      <x:c r="G60" s="20" t="str">
        <x:f>IF(Reviewer_1!M60="","",Reviewer_1!M60)</x:f>
      </x:c>
      <x:c r="H60" s="20" t="str">
        <x:f>IF(Reviewer_2!M60="","",Reviewer_2!M60)</x:f>
      </x:c>
      <x:c r="I60" s="25"/>
      <x:c r="J60" s="20" t="str">
        <x:f>IF(Reviewer_1!N60="","",Reviewer_1!N60)</x:f>
      </x:c>
      <x:c r="K60" s="20" t="str">
        <x:f>IF(Reviewer_2!N60="","",Reviewer_2!N60)</x:f>
      </x:c>
      <x:c r="L60" s="25"/>
      <x:c r="M60" s="25"/>
      <x:c r="N60" s="25"/>
      <x:c r="O60" s="20" t="str">
        <x:f>IF(OR(D60="",E60=""),"PENDING",IF(OR(D60&lt;&gt;E60,G60&lt;&gt;H60,J60&lt;&gt;K60),"CONFLICT","AGREE"))</x:f>
        <x:v>PENDING</x:v>
      </x:c>
    </x:row>
    <x:row r="61">
      <x:c r="A61" t="str">
        <x:v>ext-iqa-pass-060</x:v>
      </x:c>
      <x:c r="B61" s="20" t="str">
        <x:v>Why Is It So Hard To Sell Life Insurance?</x:v>
      </x:c>
      <x:c r="C61" s="20" t="str">
        <x:v>Based on the supplied context, the vast majority of consumer centered advisers sell the appropriate life insurance product to meet the prospective purchasers personal suitability requirements . Providing good financial advice is not selling , it is more like a stewardship vocation or family consultant that uses the highest best practices in fiduciary trust . Product suitability trumps just selling a product .</x:v>
      </x:c>
      <x:c r="D61" s="20" t="str">
        <x:f>IF(Reviewer_1!L61="","",Reviewer_1!L61)</x:f>
      </x:c>
      <x:c r="E61" s="20" t="str">
        <x:f>IF(Reviewer_2!L61="","",Reviewer_2!L61)</x:f>
      </x:c>
      <x:c r="F61" s="25"/>
      <x:c r="G61" s="20" t="str">
        <x:f>IF(Reviewer_1!M61="","",Reviewer_1!M61)</x:f>
      </x:c>
      <x:c r="H61" s="20" t="str">
        <x:f>IF(Reviewer_2!M61="","",Reviewer_2!M61)</x:f>
      </x:c>
      <x:c r="I61" s="25"/>
      <x:c r="J61" s="20" t="str">
        <x:f>IF(Reviewer_1!N61="","",Reviewer_1!N61)</x:f>
      </x:c>
      <x:c r="K61" s="20" t="str">
        <x:f>IF(Reviewer_2!N61="","",Reviewer_2!N61)</x:f>
      </x:c>
      <x:c r="L61" s="25"/>
      <x:c r="M61" s="25"/>
      <x:c r="N61" s="25"/>
      <x:c r="O61" s="20" t="str">
        <x:f>IF(OR(D61="",E61=""),"PENDING",IF(OR(D61&lt;&gt;E61,G61&lt;&gt;H61,J61&lt;&gt;K61),"CONFLICT","AGREE"))</x:f>
        <x:v>PENDING</x:v>
      </x:c>
    </x:row>
    <x:row r="62">
      <x:c r="A62" t="str">
        <x:v>ext-iqa-pass-061</x:v>
      </x:c>
      <x:c r="B62" s="20" t="str">
        <x:v>Does Nationwide Offer Renters Insurance?</x:v>
      </x:c>
      <x:c r="C62" s="20" t="str">
        <x:v>Based on the supplied context, yes , indeed Nationwide does offer Renters Insurance . We have represented Nationwide in Connecticut since 1985 and regularly discuss the need for Renters Insurance with our clients who have that sort of need . The coverage is comprehensive and we work to customize a plan to best suit our clients need for protection at a reasonable and affordable price .</x:v>
      </x:c>
      <x:c r="D62" s="20" t="str">
        <x:f>IF(Reviewer_1!L62="","",Reviewer_1!L62)</x:f>
      </x:c>
      <x:c r="E62" s="20" t="str">
        <x:f>IF(Reviewer_2!L62="","",Reviewer_2!L62)</x:f>
      </x:c>
      <x:c r="F62" s="25"/>
      <x:c r="G62" s="20" t="str">
        <x:f>IF(Reviewer_1!M62="","",Reviewer_1!M62)</x:f>
      </x:c>
      <x:c r="H62" s="20" t="str">
        <x:f>IF(Reviewer_2!M62="","",Reviewer_2!M62)</x:f>
      </x:c>
      <x:c r="I62" s="25"/>
      <x:c r="J62" s="20" t="str">
        <x:f>IF(Reviewer_1!N62="","",Reviewer_1!N62)</x:f>
      </x:c>
      <x:c r="K62" s="20" t="str">
        <x:f>IF(Reviewer_2!N62="","",Reviewer_2!N62)</x:f>
      </x:c>
      <x:c r="L62" s="25"/>
      <x:c r="M62" s="25"/>
      <x:c r="N62" s="25"/>
      <x:c r="O62" s="20" t="str">
        <x:f>IF(OR(D62="",E62=""),"PENDING",IF(OR(D62&lt;&gt;E62,G62&lt;&gt;H62,J62&lt;&gt;K62),"CONFLICT","AGREE"))</x:f>
        <x:v>PENDING</x:v>
      </x:c>
    </x:row>
    <x:row r="63">
      <x:c r="A63" t="str">
        <x:v>ext-iqa-pass-062</x:v>
      </x:c>
      <x:c r="B63" s="20" t="str">
        <x:v>Does Home Insurance Automatically Renew?</x:v>
      </x:c>
      <x:c r="C63" s="20" t="str">
        <x:v>Based on the supplied context, here in Connecticut , Homeowners ' Insurance policies are among those that continuously renew provided that your home continues to meet our insurance company 's underwriting guidelines as they have filed with the State Insurance Department . That having been said , is you fail to pay your premium , if the claims history becomes adverse or if you leave your home abandoned and vacant , The insurance company may non renew or mid term cancel .</x:v>
      </x:c>
      <x:c r="D63" s="20" t="str">
        <x:f>IF(Reviewer_1!L63="","",Reviewer_1!L63)</x:f>
      </x:c>
      <x:c r="E63" s="20" t="str">
        <x:f>IF(Reviewer_2!L63="","",Reviewer_2!L63)</x:f>
      </x:c>
      <x:c r="F63" s="25"/>
      <x:c r="G63" s="20" t="str">
        <x:f>IF(Reviewer_1!M63="","",Reviewer_1!M63)</x:f>
      </x:c>
      <x:c r="H63" s="20" t="str">
        <x:f>IF(Reviewer_2!M63="","",Reviewer_2!M63)</x:f>
      </x:c>
      <x:c r="I63" s="25"/>
      <x:c r="J63" s="20" t="str">
        <x:f>IF(Reviewer_1!N63="","",Reviewer_1!N63)</x:f>
      </x:c>
      <x:c r="K63" s="20" t="str">
        <x:f>IF(Reviewer_2!N63="","",Reviewer_2!N63)</x:f>
      </x:c>
      <x:c r="L63" s="25"/>
      <x:c r="M63" s="25"/>
      <x:c r="N63" s="25"/>
      <x:c r="O63" s="20" t="str">
        <x:f>IF(OR(D63="",E63=""),"PENDING",IF(OR(D63&lt;&gt;E63,G63&lt;&gt;H63,J63&lt;&gt;K63),"CONFLICT","AGREE"))</x:f>
        <x:v>PENDING</x:v>
      </x:c>
    </x:row>
    <x:row r="64">
      <x:c r="A64" t="str">
        <x:v>ext-iqa-pass-063</x:v>
      </x:c>
      <x:c r="B64" s="20" t="str">
        <x:v>How Much Does Long Term Care Insurance Cover?</x:v>
      </x:c>
      <x:c r="C64" s="20" t="str">
        <x:v>Based on the supplied context, a quality long-term care insurance policy from a well-capitalized , highly rated insurance company will include at least the following : Facility careHome care Domestic care -LRB- housework , yard work , cleaning chores -RRB- Assisted living or residential living careAdult Day CareRespite care -LRB- time off for the primary family care giver -RRB- Home modifications so that insured can stay at home for as long as possible , the costs of which are not deducted from the pool of money available for daily care.There may be additional coverage offered by the carrier . Ask to see a `` specimen policy '' for the exact language of the benefits , features , and riders of the policy you are considering . Look for language that takes into account the possibility of future medical or technological advances that may become available but which are not yet known or invented yet . For example , `` assisted living '' facilities were not even available 25 years ago , but , people that bought quality policies before that time with contract language that allowed for future developments in the field of elder care are now in such facilities and being paid for those expenses .</x:v>
      </x:c>
      <x:c r="D64" s="20" t="str">
        <x:f>IF(Reviewer_1!L64="","",Reviewer_1!L64)</x:f>
      </x:c>
      <x:c r="E64" s="20" t="str">
        <x:f>IF(Reviewer_2!L64="","",Reviewer_2!L64)</x:f>
      </x:c>
      <x:c r="F64" s="25"/>
      <x:c r="G64" s="20" t="str">
        <x:f>IF(Reviewer_1!M64="","",Reviewer_1!M64)</x:f>
      </x:c>
      <x:c r="H64" s="20" t="str">
        <x:f>IF(Reviewer_2!M64="","",Reviewer_2!M64)</x:f>
      </x:c>
      <x:c r="I64" s="25"/>
      <x:c r="J64" s="20" t="str">
        <x:f>IF(Reviewer_1!N64="","",Reviewer_1!N64)</x:f>
      </x:c>
      <x:c r="K64" s="20" t="str">
        <x:f>IF(Reviewer_2!N64="","",Reviewer_2!N64)</x:f>
      </x:c>
      <x:c r="L64" s="25"/>
      <x:c r="M64" s="25"/>
      <x:c r="N64" s="25"/>
      <x:c r="O64" s="20" t="str">
        <x:f>IF(OR(D64="",E64=""),"PENDING",IF(OR(D64&lt;&gt;E64,G64&lt;&gt;H64,J64&lt;&gt;K64),"CONFLICT","AGREE"))</x:f>
        <x:v>PENDING</x:v>
      </x:c>
    </x:row>
    <x:row r="65">
      <x:c r="A65" t="str">
        <x:v>ext-iqa-pass-064</x:v>
      </x:c>
      <x:c r="B65" s="20" t="str">
        <x:v>Why Get Critical Illness Insurance?</x:v>
      </x:c>
      <x:c r="C65" s="20" t="str">
        <x:v>Based on the supplied context, a Critical care policy pays you not the Doctor or Hospital , in the event of an critical illness , such as a heart attack , stroke , major organ failure , Cancer , loss of the inability to perform 2 Activities of Daily Living . The likely hood if you were to suffer a heart attack , stroke , cancer or the like is that you will likely survive . The bills , mortgage , utilities , &amp; such do not stop because you are ill . The money can also be used to offset health insurance copay 's , time off work , second opinion , or anything else . Face amounts usually run any where from $ 4,000.00 to $ 500,000.00 lump sum . Some policies offer a Return of Premium , meaning if you never use the insurance , your estate will receive 100 % of the premium back . HBWavp@gmail.com</x:v>
      </x:c>
      <x:c r="D65" s="20" t="str">
        <x:f>IF(Reviewer_1!L65="","",Reviewer_1!L65)</x:f>
      </x:c>
      <x:c r="E65" s="20" t="str">
        <x:f>IF(Reviewer_2!L65="","",Reviewer_2!L65)</x:f>
      </x:c>
      <x:c r="F65" s="25"/>
      <x:c r="G65" s="20" t="str">
        <x:f>IF(Reviewer_1!M65="","",Reviewer_1!M65)</x:f>
      </x:c>
      <x:c r="H65" s="20" t="str">
        <x:f>IF(Reviewer_2!M65="","",Reviewer_2!M65)</x:f>
      </x:c>
      <x:c r="I65" s="25"/>
      <x:c r="J65" s="20" t="str">
        <x:f>IF(Reviewer_1!N65="","",Reviewer_1!N65)</x:f>
      </x:c>
      <x:c r="K65" s="20" t="str">
        <x:f>IF(Reviewer_2!N65="","",Reviewer_2!N65)</x:f>
      </x:c>
      <x:c r="L65" s="25"/>
      <x:c r="M65" s="25"/>
      <x:c r="N65" s="25"/>
      <x:c r="O65" s="20" t="str">
        <x:f>IF(OR(D65="",E65=""),"PENDING",IF(OR(D65&lt;&gt;E65,G65&lt;&gt;H65,J65&lt;&gt;K65),"CONFLICT","AGREE"))</x:f>
        <x:v>PENDING</x:v>
      </x:c>
    </x:row>
    <x:row r="66">
      <x:c r="A66" t="str">
        <x:v>ext-iqa-pass-065</x:v>
      </x:c>
      <x:c r="B66" s="20" t="str">
        <x:v>Can You Visit A Doctor Without Health Insurance?</x:v>
      </x:c>
      <x:c r="C66" s="20" t="str">
        <x:v>Based on the supplied context, unless there is legislative restrictions that I am unaware of you can see a doctor without health insurance . If you do see a doctor and you do not have health insurance you will be expected to pay the full cost of the visit out of your own pocket though . This can be very costly .</x:v>
      </x:c>
      <x:c r="D66" s="20" t="str">
        <x:f>IF(Reviewer_1!L66="","",Reviewer_1!L66)</x:f>
      </x:c>
      <x:c r="E66" s="20" t="str">
        <x:f>IF(Reviewer_2!L66="","",Reviewer_2!L66)</x:f>
      </x:c>
      <x:c r="F66" s="25"/>
      <x:c r="G66" s="20" t="str">
        <x:f>IF(Reviewer_1!M66="","",Reviewer_1!M66)</x:f>
      </x:c>
      <x:c r="H66" s="20" t="str">
        <x:f>IF(Reviewer_2!M66="","",Reviewer_2!M66)</x:f>
      </x:c>
      <x:c r="I66" s="25"/>
      <x:c r="J66" s="20" t="str">
        <x:f>IF(Reviewer_1!N66="","",Reviewer_1!N66)</x:f>
      </x:c>
      <x:c r="K66" s="20" t="str">
        <x:f>IF(Reviewer_2!N66="","",Reviewer_2!N66)</x:f>
      </x:c>
      <x:c r="L66" s="25"/>
      <x:c r="M66" s="25"/>
      <x:c r="N66" s="25"/>
      <x:c r="O66" s="20" t="str">
        <x:f>IF(OR(D66="",E66=""),"PENDING",IF(OR(D66&lt;&gt;E66,G66&lt;&gt;H66,J66&lt;&gt;K66),"CONFLICT","AGREE"))</x:f>
        <x:v>PENDING</x:v>
      </x:c>
    </x:row>
    <x:row r="67">
      <x:c r="A67" t="str">
        <x:v>ext-iqa-pass-066</x:v>
      </x:c>
      <x:c r="B67" s="20" t="str">
        <x:v>What Are The Current Interest Rates On Annuities?</x:v>
      </x:c>
      <x:c r="C67" s="20" t="str">
        <x:v>Based on the supplied context, the Current Fixed Interest Rates on Annuities average 2.95 % for 5 years , 3.25 % for 10 years . The rates can change quickly so always call your annuity distributor before using any quotes including these quotes . Most advisers are selling 5 year fixed with an expectation that rates are going to rise in the future . The 35 basis point spread between the 5 and 10 year rate is not enough go long .</x:v>
      </x:c>
      <x:c r="D67" s="20" t="str">
        <x:f>IF(Reviewer_1!L67="","",Reviewer_1!L67)</x:f>
      </x:c>
      <x:c r="E67" s="20" t="str">
        <x:f>IF(Reviewer_2!L67="","",Reviewer_2!L67)</x:f>
      </x:c>
      <x:c r="F67" s="25"/>
      <x:c r="G67" s="20" t="str">
        <x:f>IF(Reviewer_1!M67="","",Reviewer_1!M67)</x:f>
      </x:c>
      <x:c r="H67" s="20" t="str">
        <x:f>IF(Reviewer_2!M67="","",Reviewer_2!M67)</x:f>
      </x:c>
      <x:c r="I67" s="25"/>
      <x:c r="J67" s="20" t="str">
        <x:f>IF(Reviewer_1!N67="","",Reviewer_1!N67)</x:f>
      </x:c>
      <x:c r="K67" s="20" t="str">
        <x:f>IF(Reviewer_2!N67="","",Reviewer_2!N67)</x:f>
      </x:c>
      <x:c r="L67" s="25"/>
      <x:c r="M67" s="25"/>
      <x:c r="N67" s="25"/>
      <x:c r="O67" s="20" t="str">
        <x:f>IF(OR(D67="",E67=""),"PENDING",IF(OR(D67&lt;&gt;E67,G67&lt;&gt;H67,J67&lt;&gt;K67),"CONFLICT","AGREE"))</x:f>
        <x:v>PENDING</x:v>
      </x:c>
    </x:row>
    <x:row r="68">
      <x:c r="A68" t="str">
        <x:v>ext-iqa-pass-067</x:v>
      </x:c>
      <x:c r="B68" s="20" t="str">
        <x:v>How Does Car Insurance Value Totaled Car?</x:v>
      </x:c>
      <x:c r="C68" s="20" t="str">
        <x:v>Based on the supplied context, a car insurance company will generally provide you with the value of your car - - pre wreck . A car insurance company will typically take a look at similar vehicles and how much they are selling for in your area . They may also take a look at the Kelly Blue Book Value .</x:v>
      </x:c>
      <x:c r="D68" s="20" t="str">
        <x:f>IF(Reviewer_1!L68="","",Reviewer_1!L68)</x:f>
      </x:c>
      <x:c r="E68" s="20" t="str">
        <x:f>IF(Reviewer_2!L68="","",Reviewer_2!L68)</x:f>
      </x:c>
      <x:c r="F68" s="25"/>
      <x:c r="G68" s="20" t="str">
        <x:f>IF(Reviewer_1!M68="","",Reviewer_1!M68)</x:f>
      </x:c>
      <x:c r="H68" s="20" t="str">
        <x:f>IF(Reviewer_2!M68="","",Reviewer_2!M68)</x:f>
      </x:c>
      <x:c r="I68" s="25"/>
      <x:c r="J68" s="20" t="str">
        <x:f>IF(Reviewer_1!N68="","",Reviewer_1!N68)</x:f>
      </x:c>
      <x:c r="K68" s="20" t="str">
        <x:f>IF(Reviewer_2!N68="","",Reviewer_2!N68)</x:f>
      </x:c>
      <x:c r="L68" s="25"/>
      <x:c r="M68" s="25"/>
      <x:c r="N68" s="25"/>
      <x:c r="O68" s="20" t="str">
        <x:f>IF(OR(D68="",E68=""),"PENDING",IF(OR(D68&lt;&gt;E68,G68&lt;&gt;H68,J68&lt;&gt;K68),"CONFLICT","AGREE"))</x:f>
        <x:v>PENDING</x:v>
      </x:c>
    </x:row>
    <x:row r="69">
      <x:c r="A69" t="str">
        <x:v>ext-iqa-pass-068</x:v>
      </x:c>
      <x:c r="B69" s="20" t="str">
        <x:v>What Is A Group Universal Life Insurance Policy?</x:v>
      </x:c>
      <x:c r="C69" s="20" t="str">
        <x:v>Based on the supplied context, group universal life is similar to individual universal life . Group policies involve the plan sponsor , often an employer , holding the master policy while the individual participants receive a certificate of insurance . It is a convenient and voluntary way to acquire cash value life insurance through the workplace . Usually the employee pays all premiums in which case all benefits would be immediately and fully vested . At employment termination portability features in these products generally allow for coverage to be taken by the participant as an individual policy .</x:v>
      </x:c>
      <x:c r="D69" s="20" t="str">
        <x:f>IF(Reviewer_1!L69="","",Reviewer_1!L69)</x:f>
      </x:c>
      <x:c r="E69" s="20" t="str">
        <x:f>IF(Reviewer_2!L69="","",Reviewer_2!L69)</x:f>
      </x:c>
      <x:c r="F69" s="25"/>
      <x:c r="G69" s="20" t="str">
        <x:f>IF(Reviewer_1!M69="","",Reviewer_1!M69)</x:f>
      </x:c>
      <x:c r="H69" s="20" t="str">
        <x:f>IF(Reviewer_2!M69="","",Reviewer_2!M69)</x:f>
      </x:c>
      <x:c r="I69" s="25"/>
      <x:c r="J69" s="20" t="str">
        <x:f>IF(Reviewer_1!N69="","",Reviewer_1!N69)</x:f>
      </x:c>
      <x:c r="K69" s="20" t="str">
        <x:f>IF(Reviewer_2!N69="","",Reviewer_2!N69)</x:f>
      </x:c>
      <x:c r="L69" s="25"/>
      <x:c r="M69" s="25"/>
      <x:c r="N69" s="25"/>
      <x:c r="O69" s="20" t="str">
        <x:f>IF(OR(D69="",E69=""),"PENDING",IF(OR(D69&lt;&gt;E69,G69&lt;&gt;H69,J69&lt;&gt;K69),"CONFLICT","AGREE"))</x:f>
        <x:v>PENDING</x:v>
      </x:c>
    </x:row>
    <x:row r="70">
      <x:c r="A70" t="str">
        <x:v>ext-iqa-pass-069</x:v>
      </x:c>
      <x:c r="B70" s="20" t="str">
        <x:v>Can Group Health Insurance Deny Pregnancy?</x:v>
      </x:c>
      <x:c r="C70" s="20" t="str">
        <x:v>Based on the supplied context, for all practical purposes the answer should be `` No '' . The Affordable Care Act -LRB- ObamaCare -RRB- requires coverage for maternity and newborn care to be covered as any other illness under its Minimum Essential Benefits requirements . Also , the Affordable Care Act forbids the application of pre-existing conditions exclusions or waiting periods to health insurance policies . During the last open enrolment period I enrolled a couple of previously uninsured women who were pregnant in the new ObamaCare compliant individual health plans offered in our state and they were covered immediately and had their delivery &amp; other associated expenses covered . These same people would have been declined for coverage due to their pregnancies being defined as pre-existing conditions before January 1 , 2014 .</x:v>
      </x:c>
      <x:c r="D70" s="20" t="str">
        <x:f>IF(Reviewer_1!L70="","",Reviewer_1!L70)</x:f>
      </x:c>
      <x:c r="E70" s="20" t="str">
        <x:f>IF(Reviewer_2!L70="","",Reviewer_2!L70)</x:f>
      </x:c>
      <x:c r="F70" s="25"/>
      <x:c r="G70" s="20" t="str">
        <x:f>IF(Reviewer_1!M70="","",Reviewer_1!M70)</x:f>
      </x:c>
      <x:c r="H70" s="20" t="str">
        <x:f>IF(Reviewer_2!M70="","",Reviewer_2!M70)</x:f>
      </x:c>
      <x:c r="I70" s="25"/>
      <x:c r="J70" s="20" t="str">
        <x:f>IF(Reviewer_1!N70="","",Reviewer_1!N70)</x:f>
      </x:c>
      <x:c r="K70" s="20" t="str">
        <x:f>IF(Reviewer_2!N70="","",Reviewer_2!N70)</x:f>
      </x:c>
      <x:c r="L70" s="25"/>
      <x:c r="M70" s="25"/>
      <x:c r="N70" s="25"/>
      <x:c r="O70" s="20" t="str">
        <x:f>IF(OR(D70="",E70=""),"PENDING",IF(OR(D70&lt;&gt;E70,G70&lt;&gt;H70,J70&lt;&gt;K70),"CONFLICT","AGREE"))</x:f>
        <x:v>PENDING</x:v>
      </x:c>
    </x:row>
    <x:row r="71">
      <x:c r="A71" t="str">
        <x:v>ext-iqa-pass-070</x:v>
      </x:c>
      <x:c r="B71" s="20" t="str">
        <x:v>How Can I Cancel Medicare Part B?</x:v>
      </x:c>
      <x:c r="C71" s="20" t="str">
        <x:v>Based on the supplied context, you can call 1-800-MEDICARE . I highly discourage it however unless you have an employer group plan . You can be penalized by Medicare for every month that you do not carry Part B that you are eligible . If you are in a Medicare Advantage Plan you will be disenrolled because you must have part B to be enrolled in a Medicare Advantage . Not a good idea to cancel your part B . The potential cost over what you would save could be tremendous .</x:v>
      </x:c>
      <x:c r="D71" s="20" t="str">
        <x:f>IF(Reviewer_1!L71="","",Reviewer_1!L71)</x:f>
      </x:c>
      <x:c r="E71" s="20" t="str">
        <x:f>IF(Reviewer_2!L71="","",Reviewer_2!L71)</x:f>
      </x:c>
      <x:c r="F71" s="25"/>
      <x:c r="G71" s="20" t="str">
        <x:f>IF(Reviewer_1!M71="","",Reviewer_1!M71)</x:f>
      </x:c>
      <x:c r="H71" s="20" t="str">
        <x:f>IF(Reviewer_2!M71="","",Reviewer_2!M71)</x:f>
      </x:c>
      <x:c r="I71" s="25"/>
      <x:c r="J71" s="20" t="str">
        <x:f>IF(Reviewer_1!N71="","",Reviewer_1!N71)</x:f>
      </x:c>
      <x:c r="K71" s="20" t="str">
        <x:f>IF(Reviewer_2!N71="","",Reviewer_2!N71)</x:f>
      </x:c>
      <x:c r="L71" s="25"/>
      <x:c r="M71" s="25"/>
      <x:c r="N71" s="25"/>
      <x:c r="O71" s="20" t="str">
        <x:f>IF(OR(D71="",E71=""),"PENDING",IF(OR(D71&lt;&gt;E71,G71&lt;&gt;H71,J71&lt;&gt;K71),"CONFLICT","AGREE"))</x:f>
        <x:v>PENDING</x:v>
      </x:c>
    </x:row>
    <x:row r="72">
      <x:c r="A72" t="str">
        <x:v>ext-iqa-pass-071</x:v>
      </x:c>
      <x:c r="B72" s="20" t="str">
        <x:v>Can A Person Have Two Life Insurance Policies?</x:v>
      </x:c>
      <x:c r="C72" s="20" t="str">
        <x:v>Based on the supplied context, can a person have two life insurance policies ? Yes , a person can have multiple policies if they choose to , even with different carriers . A newer trend for insureds is buying a smaller face amount of whole life insurance and doing the balance of insurance in term insurance .</x:v>
      </x:c>
      <x:c r="D72" s="20" t="str">
        <x:f>IF(Reviewer_1!L72="","",Reviewer_1!L72)</x:f>
      </x:c>
      <x:c r="E72" s="20" t="str">
        <x:f>IF(Reviewer_2!L72="","",Reviewer_2!L72)</x:f>
      </x:c>
      <x:c r="F72" s="25"/>
      <x:c r="G72" s="20" t="str">
        <x:f>IF(Reviewer_1!M72="","",Reviewer_1!M72)</x:f>
      </x:c>
      <x:c r="H72" s="20" t="str">
        <x:f>IF(Reviewer_2!M72="","",Reviewer_2!M72)</x:f>
      </x:c>
      <x:c r="I72" s="25"/>
      <x:c r="J72" s="20" t="str">
        <x:f>IF(Reviewer_1!N72="","",Reviewer_1!N72)</x:f>
      </x:c>
      <x:c r="K72" s="20" t="str">
        <x:f>IF(Reviewer_2!N72="","",Reviewer_2!N72)</x:f>
      </x:c>
      <x:c r="L72" s="25"/>
      <x:c r="M72" s="25"/>
      <x:c r="N72" s="25"/>
      <x:c r="O72" s="20" t="str">
        <x:f>IF(OR(D72="",E72=""),"PENDING",IF(OR(D72&lt;&gt;E72,G72&lt;&gt;H72,J72&lt;&gt;K72),"CONFLICT","AGREE"))</x:f>
        <x:v>PENDING</x:v>
      </x:c>
    </x:row>
    <x:row r="73">
      <x:c r="A73" t="str">
        <x:v>ext-iqa-pass-072</x:v>
      </x:c>
      <x:c r="B73" s="20" t="str">
        <x:v>What Do I Need In My 401K To Retire?</x:v>
      </x:c>
      <x:c r="C73" s="20" t="str">
        <x:v>Based on the supplied context, its going to be based on your total life time income projection . Generally speaking ! The best way to determine is go to some of the insurance companies or investment firms . Most all have on their sight a retirement calculator that you can play around with adding different combination of figures . That gives you a fare estimation of how much to plan for in retirement .</x:v>
      </x:c>
      <x:c r="D73" s="20" t="str">
        <x:f>IF(Reviewer_1!L73="","",Reviewer_1!L73)</x:f>
      </x:c>
      <x:c r="E73" s="20" t="str">
        <x:f>IF(Reviewer_2!L73="","",Reviewer_2!L73)</x:f>
      </x:c>
      <x:c r="F73" s="25"/>
      <x:c r="G73" s="20" t="str">
        <x:f>IF(Reviewer_1!M73="","",Reviewer_1!M73)</x:f>
      </x:c>
      <x:c r="H73" s="20" t="str">
        <x:f>IF(Reviewer_2!M73="","",Reviewer_2!M73)</x:f>
      </x:c>
      <x:c r="I73" s="25"/>
      <x:c r="J73" s="20" t="str">
        <x:f>IF(Reviewer_1!N73="","",Reviewer_1!N73)</x:f>
      </x:c>
      <x:c r="K73" s="20" t="str">
        <x:f>IF(Reviewer_2!N73="","",Reviewer_2!N73)</x:f>
      </x:c>
      <x:c r="L73" s="25"/>
      <x:c r="M73" s="25"/>
      <x:c r="N73" s="25"/>
      <x:c r="O73" s="20" t="str">
        <x:f>IF(OR(D73="",E73=""),"PENDING",IF(OR(D73&lt;&gt;E73,G73&lt;&gt;H73,J73&lt;&gt;K73),"CONFLICT","AGREE"))</x:f>
        <x:v>PENDING</x:v>
      </x:c>
    </x:row>
    <x:row r="74">
      <x:c r="A74" t="str">
        <x:v>ext-iqa-pass-073</x:v>
      </x:c>
      <x:c r="B74" s="20" t="str">
        <x:v>Why Do So Many Insurance Agents Fail?</x:v>
      </x:c>
      <x:c r="C74" s="20" t="str">
        <x:v>Based on the supplied context, many people get into the insurance business thinking of it as a job . It 's not a job . It 's a business . If you go into business without a solid business plan and money to invest in your business you will fail . You have to learn the products and benefits you are selling . You have to be a professional person and a great communicator . But most of all ... you need people who want to talk to you . And that takes a lot of work or a lot of marketing money . There are also a lot of sharks out there that want to grab new agents and chew them up . They sign agents up for the worst deal imaginable where they could never win . The biggest red flag are the `` free lead '' scammers . They will sign agents up with horrible commission levels to get to the FREE leads . The free leads are worthless junk . You may as well be working the phone book . But if an agent does all the work and makes a sale ... he makes a tiny fraction and the guy who signed him up makes all the real money . It 's a racket , not a career builder . Just look on Craig 's List or any other free advertising place to find these scammers . If you enter the insurance business , make certain that you choose a reputable company with a good manager that you feel good about . If they make it sound too easy to make big money quickly ... watch out ! If they advertise on Craig 's List or offer free leads ... hold on to your wallet !</x:v>
      </x:c>
      <x:c r="D74" s="20" t="str">
        <x:f>IF(Reviewer_1!L74="","",Reviewer_1!L74)</x:f>
      </x:c>
      <x:c r="E74" s="20" t="str">
        <x:f>IF(Reviewer_2!L74="","",Reviewer_2!L74)</x:f>
      </x:c>
      <x:c r="F74" s="25"/>
      <x:c r="G74" s="20" t="str">
        <x:f>IF(Reviewer_1!M74="","",Reviewer_1!M74)</x:f>
      </x:c>
      <x:c r="H74" s="20" t="str">
        <x:f>IF(Reviewer_2!M74="","",Reviewer_2!M74)</x:f>
      </x:c>
      <x:c r="I74" s="25"/>
      <x:c r="J74" s="20" t="str">
        <x:f>IF(Reviewer_1!N74="","",Reviewer_1!N74)</x:f>
      </x:c>
      <x:c r="K74" s="20" t="str">
        <x:f>IF(Reviewer_2!N74="","",Reviewer_2!N74)</x:f>
      </x:c>
      <x:c r="L74" s="25"/>
      <x:c r="M74" s="25"/>
      <x:c r="N74" s="25"/>
      <x:c r="O74" s="20" t="str">
        <x:f>IF(OR(D74="",E74=""),"PENDING",IF(OR(D74&lt;&gt;E74,G74&lt;&gt;H74,J74&lt;&gt;K74),"CONFLICT","AGREE"))</x:f>
        <x:v>PENDING</x:v>
      </x:c>
    </x:row>
    <x:row r="75">
      <x:c r="A75" t="str">
        <x:v>ext-iqa-pass-074</x:v>
      </x:c>
      <x:c r="B75" s="20" t="str">
        <x:v>What Does It Mean When Life Insurance Is Paid Up?</x:v>
      </x:c>
      <x:c r="C75" s="20" t="str">
        <x:v>Based on the supplied context, when life insurance is paid up , it simply means that no further premiums are required to keep the policy in force . The policy may have been set up to where you only needed to pay a single premium in a lump sum . Or it may have required that you paid premiums for a certain number of years , and then it became paid up . In any event , you owe no more premiums and your beneficiary would receive the full face amount or more , if you passed . Or you may have decided to quit paying on the policy early , and were given theoption to take it as a reduced paid up policy . In this case , the face amount will be less than what you originally applied for , but the reduced face amount will stay in effect without you paying any more premiums .</x:v>
      </x:c>
      <x:c r="D75" s="20" t="str">
        <x:f>IF(Reviewer_1!L75="","",Reviewer_1!L75)</x:f>
      </x:c>
      <x:c r="E75" s="20" t="str">
        <x:f>IF(Reviewer_2!L75="","",Reviewer_2!L75)</x:f>
      </x:c>
      <x:c r="F75" s="25"/>
      <x:c r="G75" s="20" t="str">
        <x:f>IF(Reviewer_1!M75="","",Reviewer_1!M75)</x:f>
      </x:c>
      <x:c r="H75" s="20" t="str">
        <x:f>IF(Reviewer_2!M75="","",Reviewer_2!M75)</x:f>
      </x:c>
      <x:c r="I75" s="25"/>
      <x:c r="J75" s="20" t="str">
        <x:f>IF(Reviewer_1!N75="","",Reviewer_1!N75)</x:f>
      </x:c>
      <x:c r="K75" s="20" t="str">
        <x:f>IF(Reviewer_2!N75="","",Reviewer_2!N75)</x:f>
      </x:c>
      <x:c r="L75" s="25"/>
      <x:c r="M75" s="25"/>
      <x:c r="N75" s="25"/>
      <x:c r="O75" s="20" t="str">
        <x:f>IF(OR(D75="",E75=""),"PENDING",IF(OR(D75&lt;&gt;E75,G75&lt;&gt;H75,J75&lt;&gt;K75),"CONFLICT","AGREE"))</x:f>
        <x:v>PENDING</x:v>
      </x:c>
    </x:row>
    <x:row r="76">
      <x:c r="A76" t="str">
        <x:v>ext-iqa-pass-075</x:v>
      </x:c>
      <x:c r="B76" s="20" t="str">
        <x:v>Can I Get Health Insurance Without A Physical?</x:v>
      </x:c>
      <x:c r="C76" s="20" t="str">
        <x:v>Based on the supplied context, yes . Health insurance under the new Affordable Care Act is , in short , guaranteed issue - meaning carriers can not decline you for any pre-existing condition or health-related illness . There are no physicals required to secure an individual health insurance policy . To review available health plans in your area , talk to an independent agent/broker . If you 'd like some assistance , send me a message using the `` contact me '' button</x:v>
      </x:c>
      <x:c r="D76" s="20" t="str">
        <x:f>IF(Reviewer_1!L76="","",Reviewer_1!L76)</x:f>
      </x:c>
      <x:c r="E76" s="20" t="str">
        <x:f>IF(Reviewer_2!L76="","",Reviewer_2!L76)</x:f>
      </x:c>
      <x:c r="F76" s="25"/>
      <x:c r="G76" s="20" t="str">
        <x:f>IF(Reviewer_1!M76="","",Reviewer_1!M76)</x:f>
      </x:c>
      <x:c r="H76" s="20" t="str">
        <x:f>IF(Reviewer_2!M76="","",Reviewer_2!M76)</x:f>
      </x:c>
      <x:c r="I76" s="25"/>
      <x:c r="J76" s="20" t="str">
        <x:f>IF(Reviewer_1!N76="","",Reviewer_1!N76)</x:f>
      </x:c>
      <x:c r="K76" s="20" t="str">
        <x:f>IF(Reviewer_2!N76="","",Reviewer_2!N76)</x:f>
      </x:c>
      <x:c r="L76" s="25"/>
      <x:c r="M76" s="25"/>
      <x:c r="N76" s="25"/>
      <x:c r="O76" s="20" t="str">
        <x:f>IF(OR(D76="",E76=""),"PENDING",IF(OR(D76&lt;&gt;E76,G76&lt;&gt;H76,J76&lt;&gt;K76),"CONFLICT","AGREE"))</x:f>
        <x:v>PENDING</x:v>
      </x:c>
    </x:row>
    <x:row r="77">
      <x:c r="A77" t="str">
        <x:v>ext-iqa-pass-076</x:v>
      </x:c>
      <x:c r="B77" s="20" t="str">
        <x:v>My father passed in 2007 i recently found his life policy, where do i start?</x:v>
      </x:c>
      <x:c r="C77" s="20" t="str">
        <x:v>Based on the supplied context, the best place to start is to call the life insurance company through which he took out the policy . If the company has changed hands , you can google the name of the old company and the company that bought it will come up in some results . Look at the Contact tab on the company website for Customer Service .</x:v>
      </x:c>
      <x:c r="D77" s="20" t="str">
        <x:f>IF(Reviewer_1!L77="","",Reviewer_1!L77)</x:f>
      </x:c>
      <x:c r="E77" s="20" t="str">
        <x:f>IF(Reviewer_2!L77="","",Reviewer_2!L77)</x:f>
      </x:c>
      <x:c r="F77" s="25"/>
      <x:c r="G77" s="20" t="str">
        <x:f>IF(Reviewer_1!M77="","",Reviewer_1!M77)</x:f>
      </x:c>
      <x:c r="H77" s="20" t="str">
        <x:f>IF(Reviewer_2!M77="","",Reviewer_2!M77)</x:f>
      </x:c>
      <x:c r="I77" s="25"/>
      <x:c r="J77" s="20" t="str">
        <x:f>IF(Reviewer_1!N77="","",Reviewer_1!N77)</x:f>
      </x:c>
      <x:c r="K77" s="20" t="str">
        <x:f>IF(Reviewer_2!N77="","",Reviewer_2!N77)</x:f>
      </x:c>
      <x:c r="L77" s="25"/>
      <x:c r="M77" s="25"/>
      <x:c r="N77" s="25"/>
      <x:c r="O77" s="20" t="str">
        <x:f>IF(OR(D77="",E77=""),"PENDING",IF(OR(D77&lt;&gt;E77,G77&lt;&gt;H77,J77&lt;&gt;K77),"CONFLICT","AGREE"))</x:f>
        <x:v>PENDING</x:v>
      </x:c>
    </x:row>
    <x:row r="78">
      <x:c r="A78" t="str">
        <x:v>ext-iqa-pass-077</x:v>
      </x:c>
      <x:c r="B78" s="20" t="str">
        <x:v>What Is Vesting In Life Insurance?</x:v>
      </x:c>
      <x:c r="C78" s="20" t="str">
        <x:v>Based on the supplied context, as related to life insurance , vesting is a legal term that means that the beneficiary has a legal right to the life insurance proceeds in the policy . If they are an irrevocable beneficiary , they are vested in that policy , and no other beneficiary can replace them without their consent .</x:v>
      </x:c>
      <x:c r="D78" s="20" t="str">
        <x:f>IF(Reviewer_1!L78="","",Reviewer_1!L78)</x:f>
      </x:c>
      <x:c r="E78" s="20" t="str">
        <x:f>IF(Reviewer_2!L78="","",Reviewer_2!L78)</x:f>
      </x:c>
      <x:c r="F78" s="25"/>
      <x:c r="G78" s="20" t="str">
        <x:f>IF(Reviewer_1!M78="","",Reviewer_1!M78)</x:f>
      </x:c>
      <x:c r="H78" s="20" t="str">
        <x:f>IF(Reviewer_2!M78="","",Reviewer_2!M78)</x:f>
      </x:c>
      <x:c r="I78" s="25"/>
      <x:c r="J78" s="20" t="str">
        <x:f>IF(Reviewer_1!N78="","",Reviewer_1!N78)</x:f>
      </x:c>
      <x:c r="K78" s="20" t="str">
        <x:f>IF(Reviewer_2!N78="","",Reviewer_2!N78)</x:f>
      </x:c>
      <x:c r="L78" s="25"/>
      <x:c r="M78" s="25"/>
      <x:c r="N78" s="25"/>
      <x:c r="O78" s="20" t="str">
        <x:f>IF(OR(D78="",E78=""),"PENDING",IF(OR(D78&lt;&gt;E78,G78&lt;&gt;H78,J78&lt;&gt;K78),"CONFLICT","AGREE"))</x:f>
        <x:v>PENDING</x:v>
      </x:c>
    </x:row>
    <x:row r="79">
      <x:c r="A79" t="str">
        <x:v>ext-iqa-pass-078</x:v>
      </x:c>
      <x:c r="B79" s="20" t="str">
        <x:v>What Do I Need To Know To Get Homeowners Insurance?</x:v>
      </x:c>
      <x:c r="C79" s="20" t="str">
        <x:v>Based on the supplied context, it would be best if you knew the current value of your personal property and the replacement cost of the same items . That way you can compare the premiums for the two types of coverage . The only other critical thing to know is the highest amount of liability insurance that you can afford . These issues can be handled smoothly by a competent insurance agent .</x:v>
      </x:c>
      <x:c r="D79" s="20" t="str">
        <x:f>IF(Reviewer_1!L79="","",Reviewer_1!L79)</x:f>
      </x:c>
      <x:c r="E79" s="20" t="str">
        <x:f>IF(Reviewer_2!L79="","",Reviewer_2!L79)</x:f>
      </x:c>
      <x:c r="F79" s="25"/>
      <x:c r="G79" s="20" t="str">
        <x:f>IF(Reviewer_1!M79="","",Reviewer_1!M79)</x:f>
      </x:c>
      <x:c r="H79" s="20" t="str">
        <x:f>IF(Reviewer_2!M79="","",Reviewer_2!M79)</x:f>
      </x:c>
      <x:c r="I79" s="25"/>
      <x:c r="J79" s="20" t="str">
        <x:f>IF(Reviewer_1!N79="","",Reviewer_1!N79)</x:f>
      </x:c>
      <x:c r="K79" s="20" t="str">
        <x:f>IF(Reviewer_2!N79="","",Reviewer_2!N79)</x:f>
      </x:c>
      <x:c r="L79" s="25"/>
      <x:c r="M79" s="25"/>
      <x:c r="N79" s="25"/>
      <x:c r="O79" s="20" t="str">
        <x:f>IF(OR(D79="",E79=""),"PENDING",IF(OR(D79&lt;&gt;E79,G79&lt;&gt;H79,J79&lt;&gt;K79),"CONFLICT","AGREE"))</x:f>
        <x:v>PENDING</x:v>
      </x:c>
    </x:row>
    <x:row r="80">
      <x:c r="A80" t="str">
        <x:v>ext-iqa-pass-079</x:v>
      </x:c>
      <x:c r="B80" s="20" t="str">
        <x:v>Is Short Term Disability Considered Health Insurance?</x:v>
      </x:c>
      <x:c r="C80" s="20" t="str">
        <x:v>Based on the supplied context, no short term disability is a different policy than health insurance . Health insurance is designed to pay the providers , i.e. doctors , hospitals , clinics , etc. . Short term disability is designed to pay you for the income that is lost due to an injury or illness . It can be used for medical expenses , food , mortgage or anything else needed to survive during a difficult time .</x:v>
      </x:c>
      <x:c r="D80" s="20" t="str">
        <x:f>IF(Reviewer_1!L80="","",Reviewer_1!L80)</x:f>
      </x:c>
      <x:c r="E80" s="20" t="str">
        <x:f>IF(Reviewer_2!L80="","",Reviewer_2!L80)</x:f>
      </x:c>
      <x:c r="F80" s="25"/>
      <x:c r="G80" s="20" t="str">
        <x:f>IF(Reviewer_1!M80="","",Reviewer_1!M80)</x:f>
      </x:c>
      <x:c r="H80" s="20" t="str">
        <x:f>IF(Reviewer_2!M80="","",Reviewer_2!M80)</x:f>
      </x:c>
      <x:c r="I80" s="25"/>
      <x:c r="J80" s="20" t="str">
        <x:f>IF(Reviewer_1!N80="","",Reviewer_1!N80)</x:f>
      </x:c>
      <x:c r="K80" s="20" t="str">
        <x:f>IF(Reviewer_2!N80="","",Reviewer_2!N80)</x:f>
      </x:c>
      <x:c r="L80" s="25"/>
      <x:c r="M80" s="25"/>
      <x:c r="N80" s="25"/>
      <x:c r="O80" s="20" t="str">
        <x:f>IF(OR(D80="",E80=""),"PENDING",IF(OR(D80&lt;&gt;E80,G80&lt;&gt;H80,J80&lt;&gt;K80),"CONFLICT","AGREE"))</x:f>
        <x:v>PENDING</x:v>
      </x:c>
    </x:row>
    <x:row r="81">
      <x:c r="A81" t="str">
        <x:v>ext-iqa-pass-080</x:v>
      </x:c>
      <x:c r="B81" s="20" t="str">
        <x:v>What Stocks Are In A Mutual Fund?</x:v>
      </x:c>
      <x:c r="C81" s="20" t="str">
        <x:v>Based on the supplied context, that is a great question ! In fact , it 's really the multimillion dollar question ! That is the hard part about choosing the right mutual fund , knowing what they are invested in , and how the investments are performing . A mutual fund that was heavily invested in technology stocks this year would have taken a beating -LRB- some lost very large amounts -RRB- , while mutual funds invested in a mix of bonds and energy stocks would have had a good return . The best thing to do is really look into the fund , its investments and its returns , before you invest in it . Be certain to have your broker clearly explain all fees to you ! Many funds charge fees that can significantly reduce your earnings , and leave you with little more than you started with . Be careful , ok ? Thanks for asking !</x:v>
      </x:c>
      <x:c r="D81" s="20" t="str">
        <x:f>IF(Reviewer_1!L81="","",Reviewer_1!L81)</x:f>
      </x:c>
      <x:c r="E81" s="20" t="str">
        <x:f>IF(Reviewer_2!L81="","",Reviewer_2!L81)</x:f>
      </x:c>
      <x:c r="F81" s="25"/>
      <x:c r="G81" s="20" t="str">
        <x:f>IF(Reviewer_1!M81="","",Reviewer_1!M81)</x:f>
      </x:c>
      <x:c r="H81" s="20" t="str">
        <x:f>IF(Reviewer_2!M81="","",Reviewer_2!M81)</x:f>
      </x:c>
      <x:c r="I81" s="25"/>
      <x:c r="J81" s="20" t="str">
        <x:f>IF(Reviewer_1!N81="","",Reviewer_1!N81)</x:f>
      </x:c>
      <x:c r="K81" s="20" t="str">
        <x:f>IF(Reviewer_2!N81="","",Reviewer_2!N81)</x:f>
      </x:c>
      <x:c r="L81" s="25"/>
      <x:c r="M81" s="25"/>
      <x:c r="N81" s="25"/>
      <x:c r="O81" s="20" t="str">
        <x:f>IF(OR(D81="",E81=""),"PENDING",IF(OR(D81&lt;&gt;E81,G81&lt;&gt;H81,J81&lt;&gt;K81),"CONFLICT","AGREE"))</x:f>
        <x:v>PENDING</x:v>
      </x:c>
    </x:row>
    <x:row r="82">
      <x:c r="A82" t="str">
        <x:v>ext-iqa-pass-081</x:v>
      </x:c>
      <x:c r="B82" s="20" t="str">
        <x:v>How Much Should Health Insurance Cost?</x:v>
      </x:c>
      <x:c r="C82" s="20" t="str">
        <x:v>How much you should be paying is a hard figure to try and quantify . The average cost in the country for a health insurance plan is $ 328 per month - however , this is only reflective upon a silver level plan -LRB- not all 2014 state figure averages are available yet -RRB- . While you can try to come up with an `` average '' cost , there 's too many factors that go into premium pricing to say how in relation that compares to you . In short , an `` average '' premium is a rather useless figure to the individual . It 's only representative to a large group - you could have people paying a small nominal amount -LRB- after factoring in subsidies -RRB- per month to several thousand dollars per month . Even for that there 's a ton of information to sift through to get an accurate representation . Under the Affordable Care Act , you have the options for bronze , silver , gold , and platinum level plans -LRB- as you go up in metal , the price goes up , but provides better benefits -RRB- - some areas also have a catastrophic plan available . In addition , your age is a big factor as well . The younger you are , the cheaper your premium - the older you are , the higher your premium . Also , if you use tobacco products , your premium can be increased up to 50 % as well . You may be able to qualify for a subsidy that can be used to reduce the cost of your health insurance premiums . I always recommend consulting with an experienced broker . We can help you determine the plan that 's going to be most suitable for your needs and budget . Please feel free to contact me for further assistance . Thanks very much . [insuranceqa:883]</x:v>
      </x:c>
      <x:c r="D82" s="20" t="str">
        <x:f>IF(Reviewer_1!L82="","",Reviewer_1!L82)</x:f>
      </x:c>
      <x:c r="E82" s="20" t="str">
        <x:f>IF(Reviewer_2!L82="","",Reviewer_2!L82)</x:f>
      </x:c>
      <x:c r="F82" s="25"/>
      <x:c r="G82" s="20" t="str">
        <x:f>IF(Reviewer_1!M82="","",Reviewer_1!M82)</x:f>
      </x:c>
      <x:c r="H82" s="20" t="str">
        <x:f>IF(Reviewer_2!M82="","",Reviewer_2!M82)</x:f>
      </x:c>
      <x:c r="I82" s="25"/>
      <x:c r="J82" s="20" t="str">
        <x:f>IF(Reviewer_1!N82="","",Reviewer_1!N82)</x:f>
      </x:c>
      <x:c r="K82" s="20" t="str">
        <x:f>IF(Reviewer_2!N82="","",Reviewer_2!N82)</x:f>
      </x:c>
      <x:c r="L82" s="25"/>
      <x:c r="M82" s="25"/>
      <x:c r="N82" s="25"/>
      <x:c r="O82" s="20" t="str">
        <x:f>IF(OR(D82="",E82=""),"PENDING",IF(OR(D82&lt;&gt;E82,G82&lt;&gt;H82,J82&lt;&gt;K82),"CONFLICT","AGREE"))</x:f>
        <x:v>PENDING</x:v>
      </x:c>
    </x:row>
    <x:row r="83">
      <x:c r="A83" t="str">
        <x:v>ext-iqa-pass-082</x:v>
      </x:c>
      <x:c r="B83" s="20" t="str">
        <x:v>When Do You Apply For Medicare Part A?</x:v>
      </x:c>
      <x:c r="C83" s="20" t="str">
        <x:v>Great question . Normally your Medicare card is sent in the mail 3 months before your 65th birthday . However , sometimes you have to apply and you can do this by visiting you social security office or website . Once you are eligible for Medicare , a broker should be able to help you understand it further as well as help you explore your options . [insuranceqa:308]</x:v>
      </x:c>
      <x:c r="D83" s="20" t="str">
        <x:f>IF(Reviewer_1!L83="","",Reviewer_1!L83)</x:f>
      </x:c>
      <x:c r="E83" s="20" t="str">
        <x:f>IF(Reviewer_2!L83="","",Reviewer_2!L83)</x:f>
      </x:c>
      <x:c r="F83" s="25"/>
      <x:c r="G83" s="20" t="str">
        <x:f>IF(Reviewer_1!M83="","",Reviewer_1!M83)</x:f>
      </x:c>
      <x:c r="H83" s="20" t="str">
        <x:f>IF(Reviewer_2!M83="","",Reviewer_2!M83)</x:f>
      </x:c>
      <x:c r="I83" s="25"/>
      <x:c r="J83" s="20" t="str">
        <x:f>IF(Reviewer_1!N83="","",Reviewer_1!N83)</x:f>
      </x:c>
      <x:c r="K83" s="20" t="str">
        <x:f>IF(Reviewer_2!N83="","",Reviewer_2!N83)</x:f>
      </x:c>
      <x:c r="L83" s="25"/>
      <x:c r="M83" s="25"/>
      <x:c r="N83" s="25"/>
      <x:c r="O83" s="20" t="str">
        <x:f>IF(OR(D83="",E83=""),"PENDING",IF(OR(D83&lt;&gt;E83,G83&lt;&gt;H83,J83&lt;&gt;K83),"CONFLICT","AGREE"))</x:f>
        <x:v>PENDING</x:v>
      </x:c>
    </x:row>
    <x:row r="84">
      <x:c r="A84" t="str">
        <x:v>ext-iqa-pass-083</x:v>
      </x:c>
      <x:c r="B84" s="20" t="str">
        <x:v>Does Homeowners Insurance Cover Oil Tank Removal?</x:v>
      </x:c>
      <x:c r="C84" s="20" t="str">
        <x:v>Under normal circumstances your homeowners insurance will not typically pay for the removal of an oil tank . Please remember every policy is different . Read your policy completely to understand the coverage provided by the policy and any exclusions contained within or contact your local agent to have them go over the policy with you . [insuranceqa:107]</x:v>
      </x:c>
      <x:c r="D84" s="20" t="str">
        <x:f>IF(Reviewer_1!L84="","",Reviewer_1!L84)</x:f>
      </x:c>
      <x:c r="E84" s="20" t="str">
        <x:f>IF(Reviewer_2!L84="","",Reviewer_2!L84)</x:f>
      </x:c>
      <x:c r="F84" s="25"/>
      <x:c r="G84" s="20" t="str">
        <x:f>IF(Reviewer_1!M84="","",Reviewer_1!M84)</x:f>
      </x:c>
      <x:c r="H84" s="20" t="str">
        <x:f>IF(Reviewer_2!M84="","",Reviewer_2!M84)</x:f>
      </x:c>
      <x:c r="I84" s="25"/>
      <x:c r="J84" s="20" t="str">
        <x:f>IF(Reviewer_1!N84="","",Reviewer_1!N84)</x:f>
      </x:c>
      <x:c r="K84" s="20" t="str">
        <x:f>IF(Reviewer_2!N84="","",Reviewer_2!N84)</x:f>
      </x:c>
      <x:c r="L84" s="25"/>
      <x:c r="M84" s="25"/>
      <x:c r="N84" s="25"/>
      <x:c r="O84" s="20" t="str">
        <x:f>IF(OR(D84="",E84=""),"PENDING",IF(OR(D84&lt;&gt;E84,G84&lt;&gt;H84,J84&lt;&gt;K84),"CONFLICT","AGREE"))</x:f>
        <x:v>PENDING</x:v>
      </x:c>
    </x:row>
    <x:row r="85">
      <x:c r="A85" t="str">
        <x:v>ext-iqa-pass-084</x:v>
      </x:c>
      <x:c r="B85" s="20" t="str">
        <x:v>What Is My Medicare Part B Number?</x:v>
      </x:c>
      <x:c r="C85" s="20" t="str">
        <x:v>Your Medicare Part B number is the same as your Medicare Part A number . When you enroll in Medicare , you are assigned a claim number - this is typically going to be your social security number plus a letter on the end -LRB- designates certain conditions - e.g. only you are applying and not your spouse , on group coverage , etc. -RRB- . Please feel free to contact me for help and if you have any other questions . Thanks very much . [insuranceqa:246]</x:v>
      </x:c>
      <x:c r="D85" s="20" t="str">
        <x:f>IF(Reviewer_1!L85="","",Reviewer_1!L85)</x:f>
      </x:c>
      <x:c r="E85" s="20" t="str">
        <x:f>IF(Reviewer_2!L85="","",Reviewer_2!L85)</x:f>
      </x:c>
      <x:c r="F85" s="25"/>
      <x:c r="G85" s="20" t="str">
        <x:f>IF(Reviewer_1!M85="","",Reviewer_1!M85)</x:f>
      </x:c>
      <x:c r="H85" s="20" t="str">
        <x:f>IF(Reviewer_2!M85="","",Reviewer_2!M85)</x:f>
      </x:c>
      <x:c r="I85" s="25"/>
      <x:c r="J85" s="20" t="str">
        <x:f>IF(Reviewer_1!N85="","",Reviewer_1!N85)</x:f>
      </x:c>
      <x:c r="K85" s="20" t="str">
        <x:f>IF(Reviewer_2!N85="","",Reviewer_2!N85)</x:f>
      </x:c>
      <x:c r="L85" s="25"/>
      <x:c r="M85" s="25"/>
      <x:c r="N85" s="25"/>
      <x:c r="O85" s="20" t="str">
        <x:f>IF(OR(D85="",E85=""),"PENDING",IF(OR(D85&lt;&gt;E85,G85&lt;&gt;H85,J85&lt;&gt;K85),"CONFLICT","AGREE"))</x:f>
        <x:v>PENDING</x:v>
      </x:c>
    </x:row>
    <x:row r="86">
      <x:c r="A86" t="str">
        <x:v>ext-iqa-pass-085</x:v>
      </x:c>
      <x:c r="B86" s="20" t="str">
        <x:v>Is Life Insurance Portable?</x:v>
      </x:c>
      <x:c r="C86" s="20" t="str">
        <x:v>If you purchase a life insurance policy on your own -LRB- outside what your employer offers -RRB- , it is always portable . You can move across the country , or to another country , and as long as it was bought with full disclosure , it will pay the death benefit if you pass away . [insuranceqa:337]</x:v>
      </x:c>
      <x:c r="D86" s="20" t="str">
        <x:f>IF(Reviewer_1!L86="","",Reviewer_1!L86)</x:f>
      </x:c>
      <x:c r="E86" s="20" t="str">
        <x:f>IF(Reviewer_2!L86="","",Reviewer_2!L86)</x:f>
      </x:c>
      <x:c r="F86" s="25"/>
      <x:c r="G86" s="20" t="str">
        <x:f>IF(Reviewer_1!M86="","",Reviewer_1!M86)</x:f>
      </x:c>
      <x:c r="H86" s="20" t="str">
        <x:f>IF(Reviewer_2!M86="","",Reviewer_2!M86)</x:f>
      </x:c>
      <x:c r="I86" s="25"/>
      <x:c r="J86" s="20" t="str">
        <x:f>IF(Reviewer_1!N86="","",Reviewer_1!N86)</x:f>
      </x:c>
      <x:c r="K86" s="20" t="str">
        <x:f>IF(Reviewer_2!N86="","",Reviewer_2!N86)</x:f>
      </x:c>
      <x:c r="L86" s="25"/>
      <x:c r="M86" s="25"/>
      <x:c r="N86" s="25"/>
      <x:c r="O86" s="20" t="str">
        <x:f>IF(OR(D86="",E86=""),"PENDING",IF(OR(D86&lt;&gt;E86,G86&lt;&gt;H86,J86&lt;&gt;K86),"CONFLICT","AGREE"))</x:f>
        <x:v>PENDING</x:v>
      </x:c>
    </x:row>
    <x:row r="87">
      <x:c r="A87" t="str">
        <x:v>ext-iqa-pass-086</x:v>
      </x:c>
      <x:c r="B87" s="20" t="str">
        <x:v>Does My Homeowners Insurance Cover Foundation Problems?</x:v>
      </x:c>
      <x:c r="C87" s="20" t="str">
        <x:v>A homeowners policy covers damages caused by specified perils . These perils are described in the policy and while comprehensive there are some perils that are excluded . If the cause of the foundation problem was damage by a specified peril it would be covered , however it more likely that the damage would be cause by earth movement which is an excluded peril . [insuranceqa:628]</x:v>
      </x:c>
      <x:c r="D87" s="20" t="str">
        <x:f>IF(Reviewer_1!L87="","",Reviewer_1!L87)</x:f>
      </x:c>
      <x:c r="E87" s="20" t="str">
        <x:f>IF(Reviewer_2!L87="","",Reviewer_2!L87)</x:f>
      </x:c>
      <x:c r="F87" s="25"/>
      <x:c r="G87" s="20" t="str">
        <x:f>IF(Reviewer_1!M87="","",Reviewer_1!M87)</x:f>
      </x:c>
      <x:c r="H87" s="20" t="str">
        <x:f>IF(Reviewer_2!M87="","",Reviewer_2!M87)</x:f>
      </x:c>
      <x:c r="I87" s="25"/>
      <x:c r="J87" s="20" t="str">
        <x:f>IF(Reviewer_1!N87="","",Reviewer_1!N87)</x:f>
      </x:c>
      <x:c r="K87" s="20" t="str">
        <x:f>IF(Reviewer_2!N87="","",Reviewer_2!N87)</x:f>
      </x:c>
      <x:c r="L87" s="25"/>
      <x:c r="M87" s="25"/>
      <x:c r="N87" s="25"/>
      <x:c r="O87" s="20" t="str">
        <x:f>IF(OR(D87="",E87=""),"PENDING",IF(OR(D87&lt;&gt;E87,G87&lt;&gt;H87,J87&lt;&gt;K87),"CONFLICT","AGREE"))</x:f>
        <x:v>PENDING</x:v>
      </x:c>
    </x:row>
    <x:row r="88">
      <x:c r="A88" t="str">
        <x:v>ext-iqa-pass-087</x:v>
      </x:c>
      <x:c r="B88" s="20" t="str">
        <x:v>Is Renters Insurance A Requirement?</x:v>
      </x:c>
      <x:c r="C88" s="20" t="str">
        <x:v>Generally speaking , renters insurance is not a requirement by law however , the apartment or home you are renting , the landlord can make this a requirement in order to lease or rent . It is a good idea anyway . The cost is inexpensive but the coverage may be critical . Be sure to look at the type of insurance you are purchasing . I recommend a policy that will provide you the replacement value versus the current value of your stuff . Keep a good inventory as well . [insuranceqa:314]</x:v>
      </x:c>
      <x:c r="D88" s="20" t="str">
        <x:f>IF(Reviewer_1!L88="","",Reviewer_1!L88)</x:f>
      </x:c>
      <x:c r="E88" s="20" t="str">
        <x:f>IF(Reviewer_2!L88="","",Reviewer_2!L88)</x:f>
      </x:c>
      <x:c r="F88" s="25"/>
      <x:c r="G88" s="20" t="str">
        <x:f>IF(Reviewer_1!M88="","",Reviewer_1!M88)</x:f>
      </x:c>
      <x:c r="H88" s="20" t="str">
        <x:f>IF(Reviewer_2!M88="","",Reviewer_2!M88)</x:f>
      </x:c>
      <x:c r="I88" s="25"/>
      <x:c r="J88" s="20" t="str">
        <x:f>IF(Reviewer_1!N88="","",Reviewer_1!N88)</x:f>
      </x:c>
      <x:c r="K88" s="20" t="str">
        <x:f>IF(Reviewer_2!N88="","",Reviewer_2!N88)</x:f>
      </x:c>
      <x:c r="L88" s="25"/>
      <x:c r="M88" s="25"/>
      <x:c r="N88" s="25"/>
      <x:c r="O88" s="20" t="str">
        <x:f>IF(OR(D88="",E88=""),"PENDING",IF(OR(D88&lt;&gt;E88,G88&lt;&gt;H88,J88&lt;&gt;K88),"CONFLICT","AGREE"))</x:f>
        <x:v>PENDING</x:v>
      </x:c>
    </x:row>
    <x:row r="89">
      <x:c r="A89" t="str">
        <x:v>ext-iqa-pass-088</x:v>
      </x:c>
      <x:c r="B89" s="20" t="str">
        <x:v>How Do I Lower My Homeowners Insurance In Connecticut?</x:v>
      </x:c>
      <x:c r="C89" s="20" t="str">
        <x:v>There are several things to consider when looking for ways to lower your Home Insurance premiums . The first area I would call loss control . take a look at your home and property . Are there tree branches or shrubbery that should be trimmed to allow mor air flow around your home ? This cuts down on moisture build up that can cause damage . Are the steps and planking on your deck clean , secure and free from any damage ? Have you had your fireplace chimney cleaned regularly ? Things like these and more when managed , can reduce the chances of a claim which can increase your rates . The next area would be bundling . Many companies offer very nice discounts for those who insure their cars and have life insurance with the same company as your home . Next , talk to your insurance professional about increasing yuour deductible and while you are at it , what benefits you might earn from installing a monitored alarm system , putting on a new roof or upgrading your plumbing , electrical or HVAC sytems . There are discounts available , for sure . [insuranceqa:123]</x:v>
      </x:c>
      <x:c r="D89" s="20" t="str">
        <x:f>IF(Reviewer_1!L89="","",Reviewer_1!L89)</x:f>
      </x:c>
      <x:c r="E89" s="20" t="str">
        <x:f>IF(Reviewer_2!L89="","",Reviewer_2!L89)</x:f>
      </x:c>
      <x:c r="F89" s="25"/>
      <x:c r="G89" s="20" t="str">
        <x:f>IF(Reviewer_1!M89="","",Reviewer_1!M89)</x:f>
      </x:c>
      <x:c r="H89" s="20" t="str">
        <x:f>IF(Reviewer_2!M89="","",Reviewer_2!M89)</x:f>
      </x:c>
      <x:c r="I89" s="25"/>
      <x:c r="J89" s="20" t="str">
        <x:f>IF(Reviewer_1!N89="","",Reviewer_1!N89)</x:f>
      </x:c>
      <x:c r="K89" s="20" t="str">
        <x:f>IF(Reviewer_2!N89="","",Reviewer_2!N89)</x:f>
      </x:c>
      <x:c r="L89" s="25"/>
      <x:c r="M89" s="25"/>
      <x:c r="N89" s="25"/>
      <x:c r="O89" s="20" t="str">
        <x:f>IF(OR(D89="",E89=""),"PENDING",IF(OR(D89&lt;&gt;E89,G89&lt;&gt;H89,J89&lt;&gt;K89),"CONFLICT","AGREE"))</x:f>
        <x:v>PENDING</x:v>
      </x:c>
    </x:row>
    <x:row r="90">
      <x:c r="A90" t="str">
        <x:v>ext-iqa-pass-089</x:v>
      </x:c>
      <x:c r="B90" s="20" t="str">
        <x:v>Can You Receive Disability Insurance And Social Security Disability?</x:v>
      </x:c>
      <x:c r="C90" s="20" t="str">
        <x:v>Yes , you can receive Disability Insurance and Social Security Disability Insurance at the same time . The Disability Insurance supplements the Social Security Disability benefit received , allowing the insured person to receive a higher total disability benefit -LRB- % of income replaced -RRB- than just receiving either insurance benefit on its own . [insuranceqa:801]</x:v>
      </x:c>
      <x:c r="D90" s="20" t="str">
        <x:f>IF(Reviewer_1!L90="","",Reviewer_1!L90)</x:f>
      </x:c>
      <x:c r="E90" s="20" t="str">
        <x:f>IF(Reviewer_2!L90="","",Reviewer_2!L90)</x:f>
      </x:c>
      <x:c r="F90" s="25"/>
      <x:c r="G90" s="20" t="str">
        <x:f>IF(Reviewer_1!M90="","",Reviewer_1!M90)</x:f>
      </x:c>
      <x:c r="H90" s="20" t="str">
        <x:f>IF(Reviewer_2!M90="","",Reviewer_2!M90)</x:f>
      </x:c>
      <x:c r="I90" s="25"/>
      <x:c r="J90" s="20" t="str">
        <x:f>IF(Reviewer_1!N90="","",Reviewer_1!N90)</x:f>
      </x:c>
      <x:c r="K90" s="20" t="str">
        <x:f>IF(Reviewer_2!N90="","",Reviewer_2!N90)</x:f>
      </x:c>
      <x:c r="L90" s="25"/>
      <x:c r="M90" s="25"/>
      <x:c r="N90" s="25"/>
      <x:c r="O90" s="20" t="str">
        <x:f>IF(OR(D90="",E90=""),"PENDING",IF(OR(D90&lt;&gt;E90,G90&lt;&gt;H90,J90&lt;&gt;K90),"CONFLICT","AGREE"))</x:f>
        <x:v>PENDING</x:v>
      </x:c>
    </x:row>
    <x:row r="91">
      <x:c r="A91" t="str">
        <x:v>ext-iqa-pass-090</x:v>
      </x:c>
      <x:c r="B91" s="20" t="str">
        <x:v>When Do You Need Homeowners Insurance?</x:v>
      </x:c>
      <x:c r="C91" s="20" t="str">
        <x:v>Most homeowners need a homeowners policy all the time . A mortgagee will probably require that you carry a homeowners policy to protect the lenders interest . The next significant time you will need a homeowners policy is when you are sued or there is damage to your home and its contents . Because these losses are not frequent , the premium for this coverage is relatively inexpensive . The cost for not having the coverage can be devastating . [insuranceqa:161]</x:v>
      </x:c>
      <x:c r="D91" s="20" t="str">
        <x:f>IF(Reviewer_1!L91="","",Reviewer_1!L91)</x:f>
      </x:c>
      <x:c r="E91" s="20" t="str">
        <x:f>IF(Reviewer_2!L91="","",Reviewer_2!L91)</x:f>
      </x:c>
      <x:c r="F91" s="25"/>
      <x:c r="G91" s="20" t="str">
        <x:f>IF(Reviewer_1!M91="","",Reviewer_1!M91)</x:f>
      </x:c>
      <x:c r="H91" s="20" t="str">
        <x:f>IF(Reviewer_2!M91="","",Reviewer_2!M91)</x:f>
      </x:c>
      <x:c r="I91" s="25"/>
      <x:c r="J91" s="20" t="str">
        <x:f>IF(Reviewer_1!N91="","",Reviewer_1!N91)</x:f>
      </x:c>
      <x:c r="K91" s="20" t="str">
        <x:f>IF(Reviewer_2!N91="","",Reviewer_2!N91)</x:f>
      </x:c>
      <x:c r="L91" s="25"/>
      <x:c r="M91" s="25"/>
      <x:c r="N91" s="25"/>
      <x:c r="O91" s="20" t="str">
        <x:f>IF(OR(D91="",E91=""),"PENDING",IF(OR(D91&lt;&gt;E91,G91&lt;&gt;H91,J91&lt;&gt;K91),"CONFLICT","AGREE"))</x:f>
        <x:v>PENDING</x:v>
      </x:c>
    </x:row>
    <x:row r="92">
      <x:c r="A92" t="str">
        <x:v>ext-iqa-pass-091</x:v>
      </x:c>
      <x:c r="B92" s="20" t="str">
        <x:v>When Does Your Car Insurance Go Down?</x:v>
      </x:c>
      <x:c r="C92" s="20" t="str">
        <x:v>In California car insurance premiums decline as you become a more experienced driver . They decline if you elect to forgo certain coverages . They decline when you get farther away from your bad driving record . They go down if a student in your household is a good student . They go down when you drive fewer miles annually . [insuranceqa:366]</x:v>
      </x:c>
      <x:c r="D92" s="20" t="str">
        <x:f>IF(Reviewer_1!L92="","",Reviewer_1!L92)</x:f>
      </x:c>
      <x:c r="E92" s="20" t="str">
        <x:f>IF(Reviewer_2!L92="","",Reviewer_2!L92)</x:f>
      </x:c>
      <x:c r="F92" s="25"/>
      <x:c r="G92" s="20" t="str">
        <x:f>IF(Reviewer_1!M92="","",Reviewer_1!M92)</x:f>
      </x:c>
      <x:c r="H92" s="20" t="str">
        <x:f>IF(Reviewer_2!M92="","",Reviewer_2!M92)</x:f>
      </x:c>
      <x:c r="I92" s="25"/>
      <x:c r="J92" s="20" t="str">
        <x:f>IF(Reviewer_1!N92="","",Reviewer_1!N92)</x:f>
      </x:c>
      <x:c r="K92" s="20" t="str">
        <x:f>IF(Reviewer_2!N92="","",Reviewer_2!N92)</x:f>
      </x:c>
      <x:c r="L92" s="25"/>
      <x:c r="M92" s="25"/>
      <x:c r="N92" s="25"/>
      <x:c r="O92" s="20" t="str">
        <x:f>IF(OR(D92="",E92=""),"PENDING",IF(OR(D92&lt;&gt;E92,G92&lt;&gt;H92,J92&lt;&gt;K92),"CONFLICT","AGREE"))</x:f>
        <x:v>PENDING</x:v>
      </x:c>
    </x:row>
    <x:row r="93">
      <x:c r="A93" t="str">
        <x:v>ext-iqa-pass-092</x:v>
      </x:c>
      <x:c r="B93" s="20" t="str">
        <x:v>How Much Is Health Insurance Out Of Pocket?</x:v>
      </x:c>
      <x:c r="C93" s="20" t="str">
        <x:v>This depends on a number of factors in your plan including , your premium is , your deductible , coinsurance , copayments , maximum out-of-pocket - these amounts will vary by plan so you want to make sure of what you have and that it 's a plan that is suitable to your needs and budget . It 's not always best to just buy what 's cheapest or the most comprehensive . There are many moving parts to health insurance and it 's always helpful to consult with an experienced broker to make sure that the plan you have/want to apply for is going to best serve your needs . Please let me know if I can be of further assistance . Thanks very much . [insuranceqa:1]</x:v>
      </x:c>
      <x:c r="D93" s="20" t="str">
        <x:f>IF(Reviewer_1!L93="","",Reviewer_1!L93)</x:f>
      </x:c>
      <x:c r="E93" s="20" t="str">
        <x:f>IF(Reviewer_2!L93="","",Reviewer_2!L93)</x:f>
      </x:c>
      <x:c r="F93" s="25"/>
      <x:c r="G93" s="20" t="str">
        <x:f>IF(Reviewer_1!M93="","",Reviewer_1!M93)</x:f>
      </x:c>
      <x:c r="H93" s="20" t="str">
        <x:f>IF(Reviewer_2!M93="","",Reviewer_2!M93)</x:f>
      </x:c>
      <x:c r="I93" s="25"/>
      <x:c r="J93" s="20" t="str">
        <x:f>IF(Reviewer_1!N93="","",Reviewer_1!N93)</x:f>
      </x:c>
      <x:c r="K93" s="20" t="str">
        <x:f>IF(Reviewer_2!N93="","",Reviewer_2!N93)</x:f>
      </x:c>
      <x:c r="L93" s="25"/>
      <x:c r="M93" s="25"/>
      <x:c r="N93" s="25"/>
      <x:c r="O93" s="20" t="str">
        <x:f>IF(OR(D93="",E93=""),"PENDING",IF(OR(D93&lt;&gt;E93,G93&lt;&gt;H93,J93&lt;&gt;K93),"CONFLICT","AGREE"))</x:f>
        <x:v>PENDING</x:v>
      </x:c>
    </x:row>
    <x:row r="94">
      <x:c r="A94" t="str">
        <x:v>ext-iqa-pass-093</x:v>
      </x:c>
      <x:c r="B94" s="20" t="str">
        <x:v>What Can Life Insurance Money Be Used For?</x:v>
      </x:c>
      <x:c r="C94" s="20" t="str">
        <x:v>Whether you are referring to borrowing from the cash value of a permanent life insurance policy , or spending the death benefit left to you as beneficiary on a policy of someone who passed , the life insurance money is yours to spend as you see fit . If someone is taking out a lie insurance policy and wants the death benefit to be spent in a certain way , it is a good idea to set up a trust outlining those conditions , and then make the trust as the beneficiary of the policy . [insuranceqa:90]</x:v>
      </x:c>
      <x:c r="D94" s="20" t="str">
        <x:f>IF(Reviewer_1!L94="","",Reviewer_1!L94)</x:f>
      </x:c>
      <x:c r="E94" s="20" t="str">
        <x:f>IF(Reviewer_2!L94="","",Reviewer_2!L94)</x:f>
      </x:c>
      <x:c r="F94" s="25"/>
      <x:c r="G94" s="20" t="str">
        <x:f>IF(Reviewer_1!M94="","",Reviewer_1!M94)</x:f>
      </x:c>
      <x:c r="H94" s="20" t="str">
        <x:f>IF(Reviewer_2!M94="","",Reviewer_2!M94)</x:f>
      </x:c>
      <x:c r="I94" s="25"/>
      <x:c r="J94" s="20" t="str">
        <x:f>IF(Reviewer_1!N94="","",Reviewer_1!N94)</x:f>
      </x:c>
      <x:c r="K94" s="20" t="str">
        <x:f>IF(Reviewer_2!N94="","",Reviewer_2!N94)</x:f>
      </x:c>
      <x:c r="L94" s="25"/>
      <x:c r="M94" s="25"/>
      <x:c r="N94" s="25"/>
      <x:c r="O94" s="20" t="str">
        <x:f>IF(OR(D94="",E94=""),"PENDING",IF(OR(D94&lt;&gt;E94,G94&lt;&gt;H94,J94&lt;&gt;K94),"CONFLICT","AGREE"))</x:f>
        <x:v>PENDING</x:v>
      </x:c>
    </x:row>
    <x:row r="95">
      <x:c r="A95" t="str">
        <x:v>ext-iqa-pass-094</x:v>
      </x:c>
      <x:c r="B95" s="20" t="str">
        <x:v>How To Find Life Insurance Policies After Death?</x:v>
      </x:c>
      <x:c r="C95" s="20" t="str">
        <x:v>Finding a life insurance policy after death can be accomplished . Often a deceased had many policies that the beneficiaries may not have been aware of . Of course , checking bank and financial records of any payment made to an insurer in the last 10-20 years would be ideal . Also , get in contact with the deceased 's agent , who may be aware of any missing policies . [insuranceqa:417]</x:v>
      </x:c>
      <x:c r="D95" s="20" t="str">
        <x:f>IF(Reviewer_1!L95="","",Reviewer_1!L95)</x:f>
      </x:c>
      <x:c r="E95" s="20" t="str">
        <x:f>IF(Reviewer_2!L95="","",Reviewer_2!L95)</x:f>
      </x:c>
      <x:c r="F95" s="25"/>
      <x:c r="G95" s="20" t="str">
        <x:f>IF(Reviewer_1!M95="","",Reviewer_1!M95)</x:f>
      </x:c>
      <x:c r="H95" s="20" t="str">
        <x:f>IF(Reviewer_2!M95="","",Reviewer_2!M95)</x:f>
      </x:c>
      <x:c r="I95" s="25"/>
      <x:c r="J95" s="20" t="str">
        <x:f>IF(Reviewer_1!N95="","",Reviewer_1!N95)</x:f>
      </x:c>
      <x:c r="K95" s="20" t="str">
        <x:f>IF(Reviewer_2!N95="","",Reviewer_2!N95)</x:f>
      </x:c>
      <x:c r="L95" s="25"/>
      <x:c r="M95" s="25"/>
      <x:c r="N95" s="25"/>
      <x:c r="O95" s="20" t="str">
        <x:f>IF(OR(D95="",E95=""),"PENDING",IF(OR(D95&lt;&gt;E95,G95&lt;&gt;H95,J95&lt;&gt;K95),"CONFLICT","AGREE"))</x:f>
        <x:v>PENDING</x:v>
      </x:c>
    </x:row>
    <x:row r="96">
      <x:c r="A96" t="str">
        <x:v>ext-iqa-pass-095</x:v>
      </x:c>
      <x:c r="B96" s="20" t="str">
        <x:v>Will My Home Insurance Go Up If I File A Claim?</x:v>
      </x:c>
      <x:c r="C96" s="20" t="str">
        <x:v>This is nearly impossible to answer . Whether or not your rates go up at renewal after a claim is strictly up to your carrier . There are many factors that go into determining your premium for your homeowners insurance coverage and claims history is one of them . In my opinion and experience I would say that the frequency and amount of the claims will be given greater weight the higher the number is for either . [insuranceqa:490]</x:v>
      </x:c>
      <x:c r="D96" s="20" t="str">
        <x:f>IF(Reviewer_1!L96="","",Reviewer_1!L96)</x:f>
      </x:c>
      <x:c r="E96" s="20" t="str">
        <x:f>IF(Reviewer_2!L96="","",Reviewer_2!L96)</x:f>
      </x:c>
      <x:c r="F96" s="25"/>
      <x:c r="G96" s="20" t="str">
        <x:f>IF(Reviewer_1!M96="","",Reviewer_1!M96)</x:f>
      </x:c>
      <x:c r="H96" s="20" t="str">
        <x:f>IF(Reviewer_2!M96="","",Reviewer_2!M96)</x:f>
      </x:c>
      <x:c r="I96" s="25"/>
      <x:c r="J96" s="20" t="str">
        <x:f>IF(Reviewer_1!N96="","",Reviewer_1!N96)</x:f>
      </x:c>
      <x:c r="K96" s="20" t="str">
        <x:f>IF(Reviewer_2!N96="","",Reviewer_2!N96)</x:f>
      </x:c>
      <x:c r="L96" s="25"/>
      <x:c r="M96" s="25"/>
      <x:c r="N96" s="25"/>
      <x:c r="O96" s="20" t="str">
        <x:f>IF(OR(D96="",E96=""),"PENDING",IF(OR(D96&lt;&gt;E96,G96&lt;&gt;H96,J96&lt;&gt;K96),"CONFLICT","AGREE"))</x:f>
        <x:v>PENDING</x:v>
      </x:c>
    </x:row>
    <x:row r="97">
      <x:c r="A97" t="str">
        <x:v>ext-iqa-pass-096</x:v>
      </x:c>
      <x:c r="B97" s="20" t="str">
        <x:v>Does Medicare Cover Breast Ultrasounds?</x:v>
      </x:c>
      <x:c r="C97" s="20" t="str">
        <x:v>Ultrasounds are covered under Medicare . If they 're completed as an inpatient in a hospital , it would be covered by Part A . If they 're completed on an outpatient basis , it would be covered under Part B. Medicare typically pays for about 80 % of the expenses - you would be responsible for paying the other 20 % . A Medicare supplement policy can help pay the remaining 20 % . [insuranceqa:408]</x:v>
      </x:c>
      <x:c r="D97" s="20" t="str">
        <x:f>IF(Reviewer_1!L97="","",Reviewer_1!L97)</x:f>
      </x:c>
      <x:c r="E97" s="20" t="str">
        <x:f>IF(Reviewer_2!L97="","",Reviewer_2!L97)</x:f>
      </x:c>
      <x:c r="F97" s="25"/>
      <x:c r="G97" s="20" t="str">
        <x:f>IF(Reviewer_1!M97="","",Reviewer_1!M97)</x:f>
      </x:c>
      <x:c r="H97" s="20" t="str">
        <x:f>IF(Reviewer_2!M97="","",Reviewer_2!M97)</x:f>
      </x:c>
      <x:c r="I97" s="25"/>
      <x:c r="J97" s="20" t="str">
        <x:f>IF(Reviewer_1!N97="","",Reviewer_1!N97)</x:f>
      </x:c>
      <x:c r="K97" s="20" t="str">
        <x:f>IF(Reviewer_2!N97="","",Reviewer_2!N97)</x:f>
      </x:c>
      <x:c r="L97" s="25"/>
      <x:c r="M97" s="25"/>
      <x:c r="N97" s="25"/>
      <x:c r="O97" s="20" t="str">
        <x:f>IF(OR(D97="",E97=""),"PENDING",IF(OR(D97&lt;&gt;E97,G97&lt;&gt;H97,J97&lt;&gt;K97),"CONFLICT","AGREE"))</x:f>
        <x:v>PENDING</x:v>
      </x:c>
    </x:row>
    <x:row r="98">
      <x:c r="A98" t="str">
        <x:v>ext-iqa-pass-097</x:v>
      </x:c>
      <x:c r="B98" s="20" t="str">
        <x:v>When To Cash In A Whole Life Insurance Policy?</x:v>
      </x:c>
      <x:c r="C98" s="20" t="str">
        <x:v>That is a great question ! I 'm not really sure what your motives are for cashing it in -LRB- `` surrendering '' -RRB- , but there are definitely some things you want to think about first . What protection will you have if you do surrender it ? Will you be left uninsured , or put into a position where finding a policy that is as affordable as the one your dropping is unreasonable ? If so , maybe keeping the policy is a better idea . Is it just that you need a smaller premium , or some quick cash ? If so , maybe reducing the face value is a better idea - the premium would be less , and you would still have coverage . If quick cash is the need , perhaps a policy loan would be better , all you have to do is find out from your agent how much is safely available to borrow from the policy , and keep the policy active . I hope this helps , contact me if you need help , okay ? Thanks for asking ! [insuranceqa:673]</x:v>
      </x:c>
      <x:c r="D98" s="20" t="str">
        <x:f>IF(Reviewer_1!L98="","",Reviewer_1!L98)</x:f>
      </x:c>
      <x:c r="E98" s="20" t="str">
        <x:f>IF(Reviewer_2!L98="","",Reviewer_2!L98)</x:f>
      </x:c>
      <x:c r="F98" s="25"/>
      <x:c r="G98" s="20" t="str">
        <x:f>IF(Reviewer_1!M98="","",Reviewer_1!M98)</x:f>
      </x:c>
      <x:c r="H98" s="20" t="str">
        <x:f>IF(Reviewer_2!M98="","",Reviewer_2!M98)</x:f>
      </x:c>
      <x:c r="I98" s="25"/>
      <x:c r="J98" s="20" t="str">
        <x:f>IF(Reviewer_1!N98="","",Reviewer_1!N98)</x:f>
      </x:c>
      <x:c r="K98" s="20" t="str">
        <x:f>IF(Reviewer_2!N98="","",Reviewer_2!N98)</x:f>
      </x:c>
      <x:c r="L98" s="25"/>
      <x:c r="M98" s="25"/>
      <x:c r="N98" s="25"/>
      <x:c r="O98" s="20" t="str">
        <x:f>IF(OR(D98="",E98=""),"PENDING",IF(OR(D98&lt;&gt;E98,G98&lt;&gt;H98,J98&lt;&gt;K98),"CONFLICT","AGREE"))</x:f>
        <x:v>PENDING</x:v>
      </x:c>
    </x:row>
    <x:row r="99">
      <x:c r="A99" t="str">
        <x:v>ext-iqa-pass-098</x:v>
      </x:c>
      <x:c r="B99" s="20" t="str">
        <x:v>Does Medicare Need A Referral?</x:v>
      </x:c>
      <x:c r="C99" s="20" t="str">
        <x:v>Do I need a referral to a specialist if I have Medicare ? The answer is , it depends . If you have a Medicare Advantage plan , including an employer group Medicare plan , in most cases you will need a referral by your primary care provider before you can see a specialist . Original Medicare allows you to see any provider without a referral . [insuranceqa:623]</x:v>
      </x:c>
      <x:c r="D99" s="20" t="str">
        <x:f>IF(Reviewer_1!L99="","",Reviewer_1!L99)</x:f>
      </x:c>
      <x:c r="E99" s="20" t="str">
        <x:f>IF(Reviewer_2!L99="","",Reviewer_2!L99)</x:f>
      </x:c>
      <x:c r="F99" s="25"/>
      <x:c r="G99" s="20" t="str">
        <x:f>IF(Reviewer_1!M99="","",Reviewer_1!M99)</x:f>
      </x:c>
      <x:c r="H99" s="20" t="str">
        <x:f>IF(Reviewer_2!M99="","",Reviewer_2!M99)</x:f>
      </x:c>
      <x:c r="I99" s="25"/>
      <x:c r="J99" s="20" t="str">
        <x:f>IF(Reviewer_1!N99="","",Reviewer_1!N99)</x:f>
      </x:c>
      <x:c r="K99" s="20" t="str">
        <x:f>IF(Reviewer_2!N99="","",Reviewer_2!N99)</x:f>
      </x:c>
      <x:c r="L99" s="25"/>
      <x:c r="M99" s="25"/>
      <x:c r="N99" s="25"/>
      <x:c r="O99" s="20" t="str">
        <x:f>IF(OR(D99="",E99=""),"PENDING",IF(OR(D99&lt;&gt;E99,G99&lt;&gt;H99,J99&lt;&gt;K99),"CONFLICT","AGREE"))</x:f>
        <x:v>PENDING</x:v>
      </x:c>
    </x:row>
    <x:row r="100">
      <x:c r="A100" t="str">
        <x:v>ext-iqa-pass-099</x:v>
      </x:c>
      <x:c r="B100" s="20" t="str">
        <x:v>What Is A Life Insurance Broker?</x:v>
      </x:c>
      <x:c r="C100" s="20" t="str">
        <x:v>A Life Insurance Broker is someone who works with multiple insurance companies versus an agent who typically works for only one insurance company . A Broker has the ability to `` shop '' around life quotes to specifically meet your needs . Not all companies have the same cost for the insurance they offer so working with a broker , especially if you use a needs analysis , can be your best asset in making sure you are covered . [insuranceqa:131]</x:v>
      </x:c>
      <x:c r="D100" s="20" t="str">
        <x:f>IF(Reviewer_1!L100="","",Reviewer_1!L100)</x:f>
      </x:c>
      <x:c r="E100" s="20" t="str">
        <x:f>IF(Reviewer_2!L100="","",Reviewer_2!L100)</x:f>
      </x:c>
      <x:c r="F100" s="25"/>
      <x:c r="G100" s="20" t="str">
        <x:f>IF(Reviewer_1!M100="","",Reviewer_1!M100)</x:f>
      </x:c>
      <x:c r="H100" s="20" t="str">
        <x:f>IF(Reviewer_2!M100="","",Reviewer_2!M100)</x:f>
      </x:c>
      <x:c r="I100" s="25"/>
      <x:c r="J100" s="20" t="str">
        <x:f>IF(Reviewer_1!N100="","",Reviewer_1!N100)</x:f>
      </x:c>
      <x:c r="K100" s="20" t="str">
        <x:f>IF(Reviewer_2!N100="","",Reviewer_2!N100)</x:f>
      </x:c>
      <x:c r="L100" s="25"/>
      <x:c r="M100" s="25"/>
      <x:c r="N100" s="25"/>
      <x:c r="O100" s="20" t="str">
        <x:f>IF(OR(D100="",E100=""),"PENDING",IF(OR(D100&lt;&gt;E100,G100&lt;&gt;H100,J100&lt;&gt;K100),"CONFLICT","AGREE"))</x:f>
        <x:v>PENDING</x:v>
      </x:c>
    </x:row>
    <x:row r="101">
      <x:c r="A101" t="str">
        <x:v>ext-iqa-pass-100</x:v>
      </x:c>
      <x:c r="B101" s="20" t="str">
        <x:v>How Can I Get Health Insurance With No Job?</x:v>
      </x:c>
      <x:c r="C101" s="20" t="str">
        <x:v>The best way to get health insurance on your own is to go through the health exchange for your state . This can be a very confusing and frustrating process however , so I recommend that you locate an insurance broker in your state that is contracted to assist you through this process . There is no cost to you for going through the broker , and the amount of time and energy saved is well worth it . [insuranceqa:470]</x:v>
      </x:c>
      <x:c r="D101" s="20" t="str">
        <x:f>IF(Reviewer_1!L101="","",Reviewer_1!L101)</x:f>
      </x:c>
      <x:c r="E101" s="20" t="str">
        <x:f>IF(Reviewer_2!L101="","",Reviewer_2!L101)</x:f>
      </x:c>
      <x:c r="F101" s="25"/>
      <x:c r="G101" s="20" t="str">
        <x:f>IF(Reviewer_1!M101="","",Reviewer_1!M101)</x:f>
      </x:c>
      <x:c r="H101" s="20" t="str">
        <x:f>IF(Reviewer_2!M101="","",Reviewer_2!M101)</x:f>
      </x:c>
      <x:c r="I101" s="25"/>
      <x:c r="J101" s="20" t="str">
        <x:f>IF(Reviewer_1!N101="","",Reviewer_1!N101)</x:f>
      </x:c>
      <x:c r="K101" s="20" t="str">
        <x:f>IF(Reviewer_2!N101="","",Reviewer_2!N101)</x:f>
      </x:c>
      <x:c r="L101" s="25"/>
      <x:c r="M101" s="25"/>
      <x:c r="N101" s="25"/>
      <x:c r="O101" s="20" t="str">
        <x:f>IF(OR(D101="",E101=""),"PENDING",IF(OR(D101&lt;&gt;E101,G101&lt;&gt;H101,J101&lt;&gt;K101),"CONFLICT","AGREE"))</x:f>
        <x:v>PENDING</x:v>
      </x:c>
    </x:row>
    <x:row r="102">
      <x:c r="A102" t="str">
        <x:v>ext-iqa-pass-101</x:v>
      </x:c>
      <x:c r="B102" s="20" t="str">
        <x:v>What Is AD&amp;D Life Insurance?</x:v>
      </x:c>
      <x:c r="C102" s="20" t="str">
        <x:v>There actually are not any policies that I know of called AD&amp;D Life Insurance . AD&amp;D policies pay proceeds for death or dismemberment caused by accident , and the death or dismemberment must occur within a certain amount of time from when the accident occurred . Life insurance policies pay for loss of life , period , regardless of how death occurred -LRB- with very few exceptions , such as suicide during the first two years -RRB- . Some Life insurance policies offer an accidental death and dismemberment rider that causes the policy to pay double if death is caused by accident . Those type of policies still pay a death benefit for death due to illness , as well . [insuranceqa:745]</x:v>
      </x:c>
      <x:c r="D102" s="20" t="str">
        <x:f>IF(Reviewer_1!L102="","",Reviewer_1!L102)</x:f>
      </x:c>
      <x:c r="E102" s="20" t="str">
        <x:f>IF(Reviewer_2!L102="","",Reviewer_2!L102)</x:f>
      </x:c>
      <x:c r="F102" s="25"/>
      <x:c r="G102" s="20" t="str">
        <x:f>IF(Reviewer_1!M102="","",Reviewer_1!M102)</x:f>
      </x:c>
      <x:c r="H102" s="20" t="str">
        <x:f>IF(Reviewer_2!M102="","",Reviewer_2!M102)</x:f>
      </x:c>
      <x:c r="I102" s="25"/>
      <x:c r="J102" s="20" t="str">
        <x:f>IF(Reviewer_1!N102="","",Reviewer_1!N102)</x:f>
      </x:c>
      <x:c r="K102" s="20" t="str">
        <x:f>IF(Reviewer_2!N102="","",Reviewer_2!N102)</x:f>
      </x:c>
      <x:c r="L102" s="25"/>
      <x:c r="M102" s="25"/>
      <x:c r="N102" s="25"/>
      <x:c r="O102" s="20" t="str">
        <x:f>IF(OR(D102="",E102=""),"PENDING",IF(OR(D102&lt;&gt;E102,G102&lt;&gt;H102,J102&lt;&gt;K102),"CONFLICT","AGREE"))</x:f>
        <x:v>PENDING</x:v>
      </x:c>
    </x:row>
    <x:row r="103">
      <x:c r="A103" t="str">
        <x:v>ext-iqa-pass-102</x:v>
      </x:c>
      <x:c r="B103" s="20" t="str">
        <x:v>Where Can I Get Car Insurance With No Deposit?</x:v>
      </x:c>
      <x:c r="C103" s="20" t="str">
        <x:v>If you ate adding a new car to an existing auto insurance policy , typically , you do not have to pay anything at that moment . Within about 7-10 days , you will receive an updated declarations page with a revised billing statement . Many insurers offer very low down payment options . Anexperiencedbroker can help you find the best options in your area by shopping for the best offers with the lowest down payments . [insuranceqa:149]</x:v>
      </x:c>
      <x:c r="D103" s="20" t="str">
        <x:f>IF(Reviewer_1!L103="","",Reviewer_1!L103)</x:f>
      </x:c>
      <x:c r="E103" s="20" t="str">
        <x:f>IF(Reviewer_2!L103="","",Reviewer_2!L103)</x:f>
      </x:c>
      <x:c r="F103" s="25"/>
      <x:c r="G103" s="20" t="str">
        <x:f>IF(Reviewer_1!M103="","",Reviewer_1!M103)</x:f>
      </x:c>
      <x:c r="H103" s="20" t="str">
        <x:f>IF(Reviewer_2!M103="","",Reviewer_2!M103)</x:f>
      </x:c>
      <x:c r="I103" s="25"/>
      <x:c r="J103" s="20" t="str">
        <x:f>IF(Reviewer_1!N103="","",Reviewer_1!N103)</x:f>
      </x:c>
      <x:c r="K103" s="20" t="str">
        <x:f>IF(Reviewer_2!N103="","",Reviewer_2!N103)</x:f>
      </x:c>
      <x:c r="L103" s="25"/>
      <x:c r="M103" s="25"/>
      <x:c r="N103" s="25"/>
      <x:c r="O103" s="20" t="str">
        <x:f>IF(OR(D103="",E103=""),"PENDING",IF(OR(D103&lt;&gt;E103,G103&lt;&gt;H103,J103&lt;&gt;K103),"CONFLICT","AGREE"))</x:f>
        <x:v>PENDING</x:v>
      </x:c>
    </x:row>
    <x:row r="104">
      <x:c r="A104" t="str">
        <x:v>ext-iqa-pass-103</x:v>
      </x:c>
      <x:c r="B104" s="20" t="str">
        <x:v>Does Car Insurance Cover A Bicycle Accident?</x:v>
      </x:c>
      <x:c r="C104" s="20" t="str">
        <x:v>That is a good question . Car insurance covers bicycle accident . Let say you were driving at night and hit a person on his bicycle and he is injured . Your auto insuranc would cover the bicycle damage and the person on the bike if he or she gets hurt . Good question . [insuranceqa:491]</x:v>
      </x:c>
      <x:c r="D104" s="20" t="str">
        <x:f>IF(Reviewer_1!L104="","",Reviewer_1!L104)</x:f>
      </x:c>
      <x:c r="E104" s="20" t="str">
        <x:f>IF(Reviewer_2!L104="","",Reviewer_2!L104)</x:f>
      </x:c>
      <x:c r="F104" s="25"/>
      <x:c r="G104" s="20" t="str">
        <x:f>IF(Reviewer_1!M104="","",Reviewer_1!M104)</x:f>
      </x:c>
      <x:c r="H104" s="20" t="str">
        <x:f>IF(Reviewer_2!M104="","",Reviewer_2!M104)</x:f>
      </x:c>
      <x:c r="I104" s="25"/>
      <x:c r="J104" s="20" t="str">
        <x:f>IF(Reviewer_1!N104="","",Reviewer_1!N104)</x:f>
      </x:c>
      <x:c r="K104" s="20" t="str">
        <x:f>IF(Reviewer_2!N104="","",Reviewer_2!N104)</x:f>
      </x:c>
      <x:c r="L104" s="25"/>
      <x:c r="M104" s="25"/>
      <x:c r="N104" s="25"/>
      <x:c r="O104" s="20" t="str">
        <x:f>IF(OR(D104="",E104=""),"PENDING",IF(OR(D104&lt;&gt;E104,G104&lt;&gt;H104,J104&lt;&gt;K104),"CONFLICT","AGREE"))</x:f>
        <x:v>PENDING</x:v>
      </x:c>
    </x:row>
    <x:row r="105">
      <x:c r="A105" t="str">
        <x:v>ext-iqa-pass-104</x:v>
      </x:c>
      <x:c r="B105" s="20" t="str">
        <x:v>Would Home Insurance Cover Tree Root Damage?</x:v>
      </x:c>
      <x:c r="C105" s="20" t="str">
        <x:v>No homeowners insurance will no cover tree root damage . Tree root damage is something that occurs over a period of time . A covered claim would need to be sudden and/or accidental and tree root damage is not sudden . Trees are just a big plant and plants need to be maintained . If they appear to be getting out of hand they need to be trimmed or removed . [insuranceqa:126]</x:v>
      </x:c>
      <x:c r="D105" s="20" t="str">
        <x:f>IF(Reviewer_1!L105="","",Reviewer_1!L105)</x:f>
      </x:c>
      <x:c r="E105" s="20" t="str">
        <x:f>IF(Reviewer_2!L105="","",Reviewer_2!L105)</x:f>
      </x:c>
      <x:c r="F105" s="25"/>
      <x:c r="G105" s="20" t="str">
        <x:f>IF(Reviewer_1!M105="","",Reviewer_1!M105)</x:f>
      </x:c>
      <x:c r="H105" s="20" t="str">
        <x:f>IF(Reviewer_2!M105="","",Reviewer_2!M105)</x:f>
      </x:c>
      <x:c r="I105" s="25"/>
      <x:c r="J105" s="20" t="str">
        <x:f>IF(Reviewer_1!N105="","",Reviewer_1!N105)</x:f>
      </x:c>
      <x:c r="K105" s="20" t="str">
        <x:f>IF(Reviewer_2!N105="","",Reviewer_2!N105)</x:f>
      </x:c>
      <x:c r="L105" s="25"/>
      <x:c r="M105" s="25"/>
      <x:c r="N105" s="25"/>
      <x:c r="O105" s="20" t="str">
        <x:f>IF(OR(D105="",E105=""),"PENDING",IF(OR(D105&lt;&gt;E105,G105&lt;&gt;H105,J105&lt;&gt;K105),"CONFLICT","AGREE"))</x:f>
        <x:v>PENDING</x:v>
      </x:c>
    </x:row>
    <x:row r="106">
      <x:c r="A106" t="str">
        <x:v>ext-iqa-pass-105</x:v>
      </x:c>
      <x:c r="B106" s="20" t="str">
        <x:v>Where To Get The Best Life Insurance?</x:v>
      </x:c>
      <x:c r="C106" s="20" t="str">
        <x:v>The best life insurance is the policy that you purchase from your trusted life insurance agent . Friends , colleagues and neighbors can recommend someone if you dont already have that relationship . A good life insurance agent will listen to you carefully , offer sound financial advice and communicate clearly with you and the insurance company . Tailoring a plan that meets your needs will be the agents priority and when done properly a meaningful relationship will be established . [insuranceqa:532]</x:v>
      </x:c>
      <x:c r="D106" s="20" t="str">
        <x:f>IF(Reviewer_1!L106="","",Reviewer_1!L106)</x:f>
      </x:c>
      <x:c r="E106" s="20" t="str">
        <x:f>IF(Reviewer_2!L106="","",Reviewer_2!L106)</x:f>
      </x:c>
      <x:c r="F106" s="25"/>
      <x:c r="G106" s="20" t="str">
        <x:f>IF(Reviewer_1!M106="","",Reviewer_1!M106)</x:f>
      </x:c>
      <x:c r="H106" s="20" t="str">
        <x:f>IF(Reviewer_2!M106="","",Reviewer_2!M106)</x:f>
      </x:c>
      <x:c r="I106" s="25"/>
      <x:c r="J106" s="20" t="str">
        <x:f>IF(Reviewer_1!N106="","",Reviewer_1!N106)</x:f>
      </x:c>
      <x:c r="K106" s="20" t="str">
        <x:f>IF(Reviewer_2!N106="","",Reviewer_2!N106)</x:f>
      </x:c>
      <x:c r="L106" s="25"/>
      <x:c r="M106" s="25"/>
      <x:c r="N106" s="25"/>
      <x:c r="O106" s="20" t="str">
        <x:f>IF(OR(D106="",E106=""),"PENDING",IF(OR(D106&lt;&gt;E106,G106&lt;&gt;H106,J106&lt;&gt;K106),"CONFLICT","AGREE"))</x:f>
        <x:v>PENDING</x:v>
      </x:c>
    </x:row>
    <x:row r="107">
      <x:c r="A107" t="str">
        <x:v>ext-iqa-pass-106</x:v>
      </x:c>
      <x:c r="B107" s="20" t="str">
        <x:v>Do I Qualify For Medicare In Wyoming?</x:v>
      </x:c>
      <x:c r="C107" s="20" t="str">
        <x:v>If you have paid Social Security taxes for at least 10 years , or are married to someone over age 64 who paid SS taxes that long , and if you are age 65 , you qualify for Medicare in Wyoming and all 50 states . Your Part A will be free . If you do not qualify based on that criteria but are a US citizen , you can pay a premium for Medicare Part A . You can also qualify for Medicare if you have ESRD or ALS or have been on Social Security Disability for two years . Contact Medicare.gov for specifics . [insuranceqa:514]</x:v>
      </x:c>
      <x:c r="D107" s="20" t="str">
        <x:f>IF(Reviewer_1!L107="","",Reviewer_1!L107)</x:f>
      </x:c>
      <x:c r="E107" s="20" t="str">
        <x:f>IF(Reviewer_2!L107="","",Reviewer_2!L107)</x:f>
      </x:c>
      <x:c r="F107" s="25"/>
      <x:c r="G107" s="20" t="str">
        <x:f>IF(Reviewer_1!M107="","",Reviewer_1!M107)</x:f>
      </x:c>
      <x:c r="H107" s="20" t="str">
        <x:f>IF(Reviewer_2!M107="","",Reviewer_2!M107)</x:f>
      </x:c>
      <x:c r="I107" s="25"/>
      <x:c r="J107" s="20" t="str">
        <x:f>IF(Reviewer_1!N107="","",Reviewer_1!N107)</x:f>
      </x:c>
      <x:c r="K107" s="20" t="str">
        <x:f>IF(Reviewer_2!N107="","",Reviewer_2!N107)</x:f>
      </x:c>
      <x:c r="L107" s="25"/>
      <x:c r="M107" s="25"/>
      <x:c r="N107" s="25"/>
      <x:c r="O107" s="20" t="str">
        <x:f>IF(OR(D107="",E107=""),"PENDING",IF(OR(D107&lt;&gt;E107,G107&lt;&gt;H107,J107&lt;&gt;K107),"CONFLICT","AGREE"))</x:f>
        <x:v>PENDING</x:v>
      </x:c>
    </x:row>
    <x:row r="108">
      <x:c r="A108" t="str">
        <x:v>ext-iqa-pass-107</x:v>
      </x:c>
      <x:c r="B108" s="20" t="str">
        <x:v>How To Rollover Your 401K?</x:v>
      </x:c>
      <x:c r="C108" s="20" t="str">
        <x:v>A 401 -LRB- k -RRB- can be rolled into a very short list of retirement products . The funds must maintain the same tax characteristics . 401 -LRB- k -RRB- proceeds are often rolled into an IRA . Which specific IRA is beyond the scope of this answer . Most 401 -LRB- k -RRB- administrators require a formal request for the fund transfer . The actual transfer is best handled between the 401 -LRB- k -RRB- trustee and the trustee of the new plan that you have chosen . [insuranceqa:517]</x:v>
      </x:c>
      <x:c r="D108" s="20" t="str">
        <x:f>IF(Reviewer_1!L108="","",Reviewer_1!L108)</x:f>
      </x:c>
      <x:c r="E108" s="20" t="str">
        <x:f>IF(Reviewer_2!L108="","",Reviewer_2!L108)</x:f>
      </x:c>
      <x:c r="F108" s="25"/>
      <x:c r="G108" s="20" t="str">
        <x:f>IF(Reviewer_1!M108="","",Reviewer_1!M108)</x:f>
      </x:c>
      <x:c r="H108" s="20" t="str">
        <x:f>IF(Reviewer_2!M108="","",Reviewer_2!M108)</x:f>
      </x:c>
      <x:c r="I108" s="25"/>
      <x:c r="J108" s="20" t="str">
        <x:f>IF(Reviewer_1!N108="","",Reviewer_1!N108)</x:f>
      </x:c>
      <x:c r="K108" s="20" t="str">
        <x:f>IF(Reviewer_2!N108="","",Reviewer_2!N108)</x:f>
      </x:c>
      <x:c r="L108" s="25"/>
      <x:c r="M108" s="25"/>
      <x:c r="N108" s="25"/>
      <x:c r="O108" s="20" t="str">
        <x:f>IF(OR(D108="",E108=""),"PENDING",IF(OR(D108&lt;&gt;E108,G108&lt;&gt;H108,J108&lt;&gt;K108),"CONFLICT","AGREE"))</x:f>
        <x:v>PENDING</x:v>
      </x:c>
    </x:row>
    <x:row r="109">
      <x:c r="A109" t="str">
        <x:v>ext-iqa-pass-108</x:v>
      </x:c>
      <x:c r="B109" s="20" t="str">
        <x:v>Is Home Insurance Included In Condo Fee?</x:v>
      </x:c>
      <x:c r="C109" s="20" t="str">
        <x:v>If you are talking about your monthly Condo Association fee , then no it is not . The fee that ou pay each month includes the Association 's coverage on the complex 's buildings . As a Condo Unit Owner , you should or may be required to obtain a Condominium Unit Owner 's Insurance policy to protect your interest in the property , your personal belongings and liability exposures . This would be paid separately by you to your insurance company . [insuranceqa:270]</x:v>
      </x:c>
      <x:c r="D109" s="20" t="str">
        <x:f>IF(Reviewer_1!L109="","",Reviewer_1!L109)</x:f>
      </x:c>
      <x:c r="E109" s="20" t="str">
        <x:f>IF(Reviewer_2!L109="","",Reviewer_2!L109)</x:f>
      </x:c>
      <x:c r="F109" s="25"/>
      <x:c r="G109" s="20" t="str">
        <x:f>IF(Reviewer_1!M109="","",Reviewer_1!M109)</x:f>
      </x:c>
      <x:c r="H109" s="20" t="str">
        <x:f>IF(Reviewer_2!M109="","",Reviewer_2!M109)</x:f>
      </x:c>
      <x:c r="I109" s="25"/>
      <x:c r="J109" s="20" t="str">
        <x:f>IF(Reviewer_1!N109="","",Reviewer_1!N109)</x:f>
      </x:c>
      <x:c r="K109" s="20" t="str">
        <x:f>IF(Reviewer_2!N109="","",Reviewer_2!N109)</x:f>
      </x:c>
      <x:c r="L109" s="25"/>
      <x:c r="M109" s="25"/>
      <x:c r="N109" s="25"/>
      <x:c r="O109" s="20" t="str">
        <x:f>IF(OR(D109="",E109=""),"PENDING",IF(OR(D109&lt;&gt;E109,G109&lt;&gt;H109,J109&lt;&gt;K109),"CONFLICT","AGREE"))</x:f>
        <x:v>PENDING</x:v>
      </x:c>
    </x:row>
    <x:row r="110">
      <x:c r="A110" t="str">
        <x:v>ext-iqa-pass-109</x:v>
      </x:c>
      <x:c r="B110" s="20" t="str">
        <x:v>How To Keep Health Insurance Between Jobs?</x:v>
      </x:c>
      <x:c r="C110" s="20" t="str">
        <x:v>How to keep health insurance between jobs ? if your employer is large enough -LRB- 20 people at work on a given day -RRB- you have an option for COBRA continuation which means you can continue your group coverage for up to 18 months or longer -LRB- depending on certain conditions -RRB- at your expense plus a small handling charge -LRB- 102 % of premium cost -RRB- . If you find that cost to be too much for your budget , you can look to both the individual market or temporary health insurance market for possible solutions . You may not get exactly the same coverage as offered by your former employer , but the cost might be considerably less . [insuranceqa:847]</x:v>
      </x:c>
      <x:c r="D110" s="20" t="str">
        <x:f>IF(Reviewer_1!L110="","",Reviewer_1!L110)</x:f>
      </x:c>
      <x:c r="E110" s="20" t="str">
        <x:f>IF(Reviewer_2!L110="","",Reviewer_2!L110)</x:f>
      </x:c>
      <x:c r="F110" s="25"/>
      <x:c r="G110" s="20" t="str">
        <x:f>IF(Reviewer_1!M110="","",Reviewer_1!M110)</x:f>
      </x:c>
      <x:c r="H110" s="20" t="str">
        <x:f>IF(Reviewer_2!M110="","",Reviewer_2!M110)</x:f>
      </x:c>
      <x:c r="I110" s="25"/>
      <x:c r="J110" s="20" t="str">
        <x:f>IF(Reviewer_1!N110="","",Reviewer_1!N110)</x:f>
      </x:c>
      <x:c r="K110" s="20" t="str">
        <x:f>IF(Reviewer_2!N110="","",Reviewer_2!N110)</x:f>
      </x:c>
      <x:c r="L110" s="25"/>
      <x:c r="M110" s="25"/>
      <x:c r="N110" s="25"/>
      <x:c r="O110" s="20" t="str">
        <x:f>IF(OR(D110="",E110=""),"PENDING",IF(OR(D110&lt;&gt;E110,G110&lt;&gt;H110,J110&lt;&gt;K110),"CONFLICT","AGREE"))</x:f>
        <x:v>PENDING</x:v>
      </x:c>
    </x:row>
    <x:row r="111">
      <x:c r="A111" t="str">
        <x:v>ext-iqa-pass-110</x:v>
      </x:c>
      <x:c r="B111" s="20" t="str">
        <x:v>Can I Deduct Auto Insurance Premiums?</x:v>
      </x:c>
      <x:c r="C111" s="20" t="str">
        <x:v>That is more of a question for your accountant actually . Under normal circumstances , no . However , if you own a business and use your car at least in part for that business , then your accountant may tell you that at least a portion of the premiums that you pay may be deductible as a business expense . [insuranceqa:702]</x:v>
      </x:c>
      <x:c r="D111" s="20" t="str">
        <x:f>IF(Reviewer_1!L111="","",Reviewer_1!L111)</x:f>
      </x:c>
      <x:c r="E111" s="20" t="str">
        <x:f>IF(Reviewer_2!L111="","",Reviewer_2!L111)</x:f>
      </x:c>
      <x:c r="F111" s="25"/>
      <x:c r="G111" s="20" t="str">
        <x:f>IF(Reviewer_1!M111="","",Reviewer_1!M111)</x:f>
      </x:c>
      <x:c r="H111" s="20" t="str">
        <x:f>IF(Reviewer_2!M111="","",Reviewer_2!M111)</x:f>
      </x:c>
      <x:c r="I111" s="25"/>
      <x:c r="J111" s="20" t="str">
        <x:f>IF(Reviewer_1!N111="","",Reviewer_1!N111)</x:f>
      </x:c>
      <x:c r="K111" s="20" t="str">
        <x:f>IF(Reviewer_2!N111="","",Reviewer_2!N111)</x:f>
      </x:c>
      <x:c r="L111" s="25"/>
      <x:c r="M111" s="25"/>
      <x:c r="N111" s="25"/>
      <x:c r="O111" s="20" t="str">
        <x:f>IF(OR(D111="",E111=""),"PENDING",IF(OR(D111&lt;&gt;E111,G111&lt;&gt;H111,J111&lt;&gt;K111),"CONFLICT","AGREE"))</x:f>
        <x:v>PENDING</x:v>
      </x:c>
    </x:row>
    <x:row r="112">
      <x:c r="A112" t="str">
        <x:v>ext-iqa-fail-001</x:v>
      </x:c>
      <x:c r="B112" s="20" t="str">
        <x:v>Does Home Insurance Cover Flood?</x:v>
      </x:c>
      <x:c r="C112" s="20" t="str">
        <x:v>Only if you were liable for anaccidentaldeath would their possibly be coverage . While 300,000 is the minimum liability protection coverage I recommend for a homeowner , should your personal assets exceed this amount I highly recommend a personal umbrella policy be obtained . Umbrella polices can give you 1-10 million dollars in additional liability protection and will extend not only above and beyond your homeowners coverage but auto and rental properties as well . Consult your local agent about your liability protection needs .</x:v>
      </x:c>
      <x:c r="D112" s="20" t="str">
        <x:f>IF(Reviewer_1!L112="","",Reviewer_1!L112)</x:f>
      </x:c>
      <x:c r="E112" s="20" t="str">
        <x:f>IF(Reviewer_2!L112="","",Reviewer_2!L112)</x:f>
      </x:c>
      <x:c r="F112" s="25"/>
      <x:c r="G112" s="20" t="str">
        <x:f>IF(Reviewer_1!M112="","",Reviewer_1!M112)</x:f>
      </x:c>
      <x:c r="H112" s="20" t="str">
        <x:f>IF(Reviewer_2!M112="","",Reviewer_2!M112)</x:f>
      </x:c>
      <x:c r="I112" s="25"/>
      <x:c r="J112" s="20" t="str">
        <x:f>IF(Reviewer_1!N112="","",Reviewer_1!N112)</x:f>
      </x:c>
      <x:c r="K112" s="20" t="str">
        <x:f>IF(Reviewer_2!N112="","",Reviewer_2!N112)</x:f>
      </x:c>
      <x:c r="L112" s="25"/>
      <x:c r="M112" s="25"/>
      <x:c r="N112" s="25"/>
      <x:c r="O112" s="20" t="str">
        <x:f>IF(OR(D112="",E112=""),"PENDING",IF(OR(D112&lt;&gt;E112,G112&lt;&gt;H112,J112&lt;&gt;K112),"CONFLICT","AGREE"))</x:f>
        <x:v>PENDING</x:v>
      </x:c>
    </x:row>
    <x:row r="113">
      <x:c r="A113" t="str">
        <x:v>ext-iqa-fail-002</x:v>
      </x:c>
      <x:c r="B113" s="20" t="str">
        <x:v>When Can I Enroll In Medicare Part A?</x:v>
      </x:c>
      <x:c r="C113" s="20" t="str">
        <x:v>Most people will automatically be enrolled in Medicare Part B at the same time they are enrolled in Medicare Part A . They will receive their Medicare card in the mail three months before their 65th birthday or in the 25th month of their disability . If you or your spouse is working at a job with over 20 employees where the group health insurance provided is your primary carrier , you may delay enrolling in Part B. Call the Social Security Administration at 800-772-1213 to discuss before delaying or turning down enrollment in Medicare Part B .</x:v>
      </x:c>
      <x:c r="D113" s="20" t="str">
        <x:f>IF(Reviewer_1!L113="","",Reviewer_1!L113)</x:f>
      </x:c>
      <x:c r="E113" s="20" t="str">
        <x:f>IF(Reviewer_2!L113="","",Reviewer_2!L113)</x:f>
      </x:c>
      <x:c r="F113" s="25"/>
      <x:c r="G113" s="20" t="str">
        <x:f>IF(Reviewer_1!M113="","",Reviewer_1!M113)</x:f>
      </x:c>
      <x:c r="H113" s="20" t="str">
        <x:f>IF(Reviewer_2!M113="","",Reviewer_2!M113)</x:f>
      </x:c>
      <x:c r="I113" s="25"/>
      <x:c r="J113" s="20" t="str">
        <x:f>IF(Reviewer_1!N113="","",Reviewer_1!N113)</x:f>
      </x:c>
      <x:c r="K113" s="20" t="str">
        <x:f>IF(Reviewer_2!N113="","",Reviewer_2!N113)</x:f>
      </x:c>
      <x:c r="L113" s="25"/>
      <x:c r="M113" s="25"/>
      <x:c r="N113" s="25"/>
      <x:c r="O113" s="20" t="str">
        <x:f>IF(OR(D113="",E113=""),"PENDING",IF(OR(D113&lt;&gt;E113,G113&lt;&gt;H113,J113&lt;&gt;K113),"CONFLICT","AGREE"))</x:f>
        <x:v>PENDING</x:v>
      </x:c>
    </x:row>
    <x:row r="114">
      <x:c r="A114" t="str">
        <x:v>ext-iqa-fail-003</x:v>
      </x:c>
      <x:c r="B114" s="20" t="str">
        <x:v>Do I Need Home Insurance For A Condo?</x:v>
      </x:c>
      <x:c r="C114" s="20" t="str">
        <x:v>For many this amount is determined in part by the mortgage company . You need sufficient coverage to satisfy your lender . In California the lender can not ask for more than the amount necessary to replace the residence . That calculation can be done in the office of an insurance agent . You might find that the amount to rebuild differs from the purchase price but that is because the purchase price is influenced by market pressure where costs of repair remain rather stable .</x:v>
      </x:c>
      <x:c r="D114" s="20" t="str">
        <x:f>IF(Reviewer_1!L114="","",Reviewer_1!L114)</x:f>
      </x:c>
      <x:c r="E114" s="20" t="str">
        <x:f>IF(Reviewer_2!L114="","",Reviewer_2!L114)</x:f>
      </x:c>
      <x:c r="F114" s="25"/>
      <x:c r="G114" s="20" t="str">
        <x:f>IF(Reviewer_1!M114="","",Reviewer_1!M114)</x:f>
      </x:c>
      <x:c r="H114" s="20" t="str">
        <x:f>IF(Reviewer_2!M114="","",Reviewer_2!M114)</x:f>
      </x:c>
      <x:c r="I114" s="25"/>
      <x:c r="J114" s="20" t="str">
        <x:f>IF(Reviewer_1!N114="","",Reviewer_1!N114)</x:f>
      </x:c>
      <x:c r="K114" s="20" t="str">
        <x:f>IF(Reviewer_2!N114="","",Reviewer_2!N114)</x:f>
      </x:c>
      <x:c r="L114" s="25"/>
      <x:c r="M114" s="25"/>
      <x:c r="N114" s="25"/>
      <x:c r="O114" s="20" t="str">
        <x:f>IF(OR(D114="",E114=""),"PENDING",IF(OR(D114&lt;&gt;E114,G114&lt;&gt;H114,J114&lt;&gt;K114),"CONFLICT","AGREE"))</x:f>
        <x:v>PENDING</x:v>
      </x:c>
    </x:row>
    <x:row r="115">
      <x:c r="A115" t="str">
        <x:v>ext-iqa-fail-004</x:v>
      </x:c>
      <x:c r="B115" s="20" t="str">
        <x:v>How Much Does Car Insurance Increase After DUI?</x:v>
      </x:c>
      <x:c r="C115" s="20" t="str">
        <x:v>A big part of that answer depends on which company you were insured with beforehand , and how much shopping around you plan to do afterwards . Some companies go harder on DUI 's than other companies . Getting multiple quotes from high risk companies would be the best way to minimize the damage done . An independent agent who specializes in high risk auto insurance would be the ideal place to look .</x:v>
      </x:c>
      <x:c r="D115" s="20" t="str">
        <x:f>IF(Reviewer_1!L115="","",Reviewer_1!L115)</x:f>
      </x:c>
      <x:c r="E115" s="20" t="str">
        <x:f>IF(Reviewer_2!L115="","",Reviewer_2!L115)</x:f>
      </x:c>
      <x:c r="F115" s="25"/>
      <x:c r="G115" s="20" t="str">
        <x:f>IF(Reviewer_1!M115="","",Reviewer_1!M115)</x:f>
      </x:c>
      <x:c r="H115" s="20" t="str">
        <x:f>IF(Reviewer_2!M115="","",Reviewer_2!M115)</x:f>
      </x:c>
      <x:c r="I115" s="25"/>
      <x:c r="J115" s="20" t="str">
        <x:f>IF(Reviewer_1!N115="","",Reviewer_1!N115)</x:f>
      </x:c>
      <x:c r="K115" s="20" t="str">
        <x:f>IF(Reviewer_2!N115="","",Reviewer_2!N115)</x:f>
      </x:c>
      <x:c r="L115" s="25"/>
      <x:c r="M115" s="25"/>
      <x:c r="N115" s="25"/>
      <x:c r="O115" s="20" t="str">
        <x:f>IF(OR(D115="",E115=""),"PENDING",IF(OR(D115&lt;&gt;E115,G115&lt;&gt;H115,J115&lt;&gt;K115),"CONFLICT","AGREE"))</x:f>
        <x:v>PENDING</x:v>
      </x:c>
    </x:row>
    <x:row r="116">
      <x:c r="A116" t="str">
        <x:v>ext-iqa-fail-005</x:v>
      </x:c>
      <x:c r="B116" s="20" t="str">
        <x:v>Does Home Owners Insurance Cover Asbestos Removal?</x:v>
      </x:c>
      <x:c r="C116" s="20" t="str">
        <x:v>Great Question . Condo Insurance covers you for liability if some one falls in your condo . Also cover you for fire , theft and water damage . You would alos need to have coverage for the inside of your unit for the wall in case of a fire and your unit was damaged . Good Luck</x:v>
      </x:c>
      <x:c r="D116" s="20" t="str">
        <x:f>IF(Reviewer_1!L116="","",Reviewer_1!L116)</x:f>
      </x:c>
      <x:c r="E116" s="20" t="str">
        <x:f>IF(Reviewer_2!L116="","",Reviewer_2!L116)</x:f>
      </x:c>
      <x:c r="F116" s="25"/>
      <x:c r="G116" s="20" t="str">
        <x:f>IF(Reviewer_1!M116="","",Reviewer_1!M116)</x:f>
      </x:c>
      <x:c r="H116" s="20" t="str">
        <x:f>IF(Reviewer_2!M116="","",Reviewer_2!M116)</x:f>
      </x:c>
      <x:c r="I116" s="25"/>
      <x:c r="J116" s="20" t="str">
        <x:f>IF(Reviewer_1!N116="","",Reviewer_1!N116)</x:f>
      </x:c>
      <x:c r="K116" s="20" t="str">
        <x:f>IF(Reviewer_2!N116="","",Reviewer_2!N116)</x:f>
      </x:c>
      <x:c r="L116" s="25"/>
      <x:c r="M116" s="25"/>
      <x:c r="N116" s="25"/>
      <x:c r="O116" s="20" t="str">
        <x:f>IF(OR(D116="",E116=""),"PENDING",IF(OR(D116&lt;&gt;E116,G116&lt;&gt;H116,J116&lt;&gt;K116),"CONFLICT","AGREE"))</x:f>
        <x:v>PENDING</x:v>
      </x:c>
    </x:row>
    <x:row r="117">
      <x:c r="A117" t="str">
        <x:v>ext-iqa-fail-006</x:v>
      </x:c>
      <x:c r="B117" s="20" t="str">
        <x:v>Why Get Medigap?</x:v>
      </x:c>
      <x:c r="C117" s="20" t="str">
        <x:v>You can buy Medigap from a carrier , through the Medicare `` hotline '' , from an agent that comes to your home or you can buy from an agent over the phone and internet . If you buy from a carrier or through Medicare you are giving up personal service . Any questions will be handled by whoever answers the phone . If you do n't mind strangers in your home , you can invite one -LRB- or more -RRB- agents to come to your home and pitch you on the various plans . I have conducted business by phone and internet for almost 20 years . Most folks like to shop in the comfort of their home and the ability to make a decision in their own time frame . Over 400 clients ca n't be all wrong .</x:v>
      </x:c>
      <x:c r="D117" s="20" t="str">
        <x:f>IF(Reviewer_1!L117="","",Reviewer_1!L117)</x:f>
      </x:c>
      <x:c r="E117" s="20" t="str">
        <x:f>IF(Reviewer_2!L117="","",Reviewer_2!L117)</x:f>
      </x:c>
      <x:c r="F117" s="25"/>
      <x:c r="G117" s="20" t="str">
        <x:f>IF(Reviewer_1!M117="","",Reviewer_1!M117)</x:f>
      </x:c>
      <x:c r="H117" s="20" t="str">
        <x:f>IF(Reviewer_2!M117="","",Reviewer_2!M117)</x:f>
      </x:c>
      <x:c r="I117" s="25"/>
      <x:c r="J117" s="20" t="str">
        <x:f>IF(Reviewer_1!N117="","",Reviewer_1!N117)</x:f>
      </x:c>
      <x:c r="K117" s="20" t="str">
        <x:f>IF(Reviewer_2!N117="","",Reviewer_2!N117)</x:f>
      </x:c>
      <x:c r="L117" s="25"/>
      <x:c r="M117" s="25"/>
      <x:c r="N117" s="25"/>
      <x:c r="O117" s="20" t="str">
        <x:f>IF(OR(D117="",E117=""),"PENDING",IF(OR(D117&lt;&gt;E117,G117&lt;&gt;H117,J117&lt;&gt;K117),"CONFLICT","AGREE"))</x:f>
        <x:v>PENDING</x:v>
      </x:c>
    </x:row>
    <x:row r="118">
      <x:c r="A118" t="str">
        <x:v>ext-iqa-fail-007</x:v>
      </x:c>
      <x:c r="B118" s="20" t="str">
        <x:v>Does Renters Insurance Transfer?</x:v>
      </x:c>
      <x:c r="C118" s="20" t="str">
        <x:v>Like many other residential property policies these dayssuch as Homeowners or Condominium Unit Owners ' , Renters Insurance policies are generally issued on an annual basis . Policies like this are commonly referred to as `` continuous renewal '' contracts meaning that so long as premiums are paid and the insured continues to meet a company 's underwriting standards and guidelines , the policy will be continuously offered to the insured at each annual renewal date .</x:v>
      </x:c>
      <x:c r="D118" s="20" t="str">
        <x:f>IF(Reviewer_1!L118="","",Reviewer_1!L118)</x:f>
      </x:c>
      <x:c r="E118" s="20" t="str">
        <x:f>IF(Reviewer_2!L118="","",Reviewer_2!L118)</x:f>
      </x:c>
      <x:c r="F118" s="25"/>
      <x:c r="G118" s="20" t="str">
        <x:f>IF(Reviewer_1!M118="","",Reviewer_1!M118)</x:f>
      </x:c>
      <x:c r="H118" s="20" t="str">
        <x:f>IF(Reviewer_2!M118="","",Reviewer_2!M118)</x:f>
      </x:c>
      <x:c r="I118" s="25"/>
      <x:c r="J118" s="20" t="str">
        <x:f>IF(Reviewer_1!N118="","",Reviewer_1!N118)</x:f>
      </x:c>
      <x:c r="K118" s="20" t="str">
        <x:f>IF(Reviewer_2!N118="","",Reviewer_2!N118)</x:f>
      </x:c>
      <x:c r="L118" s="25"/>
      <x:c r="M118" s="25"/>
      <x:c r="N118" s="25"/>
      <x:c r="O118" s="20" t="str">
        <x:f>IF(OR(D118="",E118=""),"PENDING",IF(OR(D118&lt;&gt;E118,G118&lt;&gt;H118,J118&lt;&gt;K118),"CONFLICT","AGREE"))</x:f>
        <x:v>PENDING</x:v>
      </x:c>
    </x:row>
    <x:row r="119">
      <x:c r="A119" t="str">
        <x:v>ext-iqa-fail-008</x:v>
      </x:c>
      <x:c r="B119" s="20" t="str">
        <x:v>What Is Universal Life Insurance And How Does It Work?</x:v>
      </x:c>
      <x:c r="C119" s="20" t="str">
        <x:v>Group Universal Life insurance is a flexible , permanent type of life insurance policy offered by employers to employees at group rates . Universal Life should be a portable plan , because the purpose of Universal Life is to last beyond a few years , and keep for the rest of your life , if possible . It can offer employees death benefit protection along with the opportunity to grow cash values tax deferred .</x:v>
      </x:c>
      <x:c r="D119" s="20" t="str">
        <x:f>IF(Reviewer_1!L119="","",Reviewer_1!L119)</x:f>
      </x:c>
      <x:c r="E119" s="20" t="str">
        <x:f>IF(Reviewer_2!L119="","",Reviewer_2!L119)</x:f>
      </x:c>
      <x:c r="F119" s="25"/>
      <x:c r="G119" s="20" t="str">
        <x:f>IF(Reviewer_1!M119="","",Reviewer_1!M119)</x:f>
      </x:c>
      <x:c r="H119" s="20" t="str">
        <x:f>IF(Reviewer_2!M119="","",Reviewer_2!M119)</x:f>
      </x:c>
      <x:c r="I119" s="25"/>
      <x:c r="J119" s="20" t="str">
        <x:f>IF(Reviewer_1!N119="","",Reviewer_1!N119)</x:f>
      </x:c>
      <x:c r="K119" s="20" t="str">
        <x:f>IF(Reviewer_2!N119="","",Reviewer_2!N119)</x:f>
      </x:c>
      <x:c r="L119" s="25"/>
      <x:c r="M119" s="25"/>
      <x:c r="N119" s="25"/>
      <x:c r="O119" s="20" t="str">
        <x:f>IF(OR(D119="",E119=""),"PENDING",IF(OR(D119&lt;&gt;E119,G119&lt;&gt;H119,J119&lt;&gt;K119),"CONFLICT","AGREE"))</x:f>
        <x:v>PENDING</x:v>
      </x:c>
    </x:row>
    <x:row r="120">
      <x:c r="A120" t="str">
        <x:v>ext-iqa-fail-009</x:v>
      </x:c>
      <x:c r="B120" s="20" t="str">
        <x:v>Does AAA Have Term Life Insurance?</x:v>
      </x:c>
      <x:c r="C120" s="20" t="str">
        <x:v>Usually you have purchased enough term life insurance when all of the obligations you wanted to cover have been met . The most common reasons for purchasing term life insurance are to payoff debt , replace income , educate children , buy out a business partner or create an instant estate for loved ones at the most affordable price . If your face amount of term life insurance meets all of your criteria , congratulations , you have enough .</x:v>
      </x:c>
      <x:c r="D120" s="20" t="str">
        <x:f>IF(Reviewer_1!L120="","",Reviewer_1!L120)</x:f>
      </x:c>
      <x:c r="E120" s="20" t="str">
        <x:f>IF(Reviewer_2!L120="","",Reviewer_2!L120)</x:f>
      </x:c>
      <x:c r="F120" s="25"/>
      <x:c r="G120" s="20" t="str">
        <x:f>IF(Reviewer_1!M120="","",Reviewer_1!M120)</x:f>
      </x:c>
      <x:c r="H120" s="20" t="str">
        <x:f>IF(Reviewer_2!M120="","",Reviewer_2!M120)</x:f>
      </x:c>
      <x:c r="I120" s="25"/>
      <x:c r="J120" s="20" t="str">
        <x:f>IF(Reviewer_1!N120="","",Reviewer_1!N120)</x:f>
      </x:c>
      <x:c r="K120" s="20" t="str">
        <x:f>IF(Reviewer_2!N120="","",Reviewer_2!N120)</x:f>
      </x:c>
      <x:c r="L120" s="25"/>
      <x:c r="M120" s="25"/>
      <x:c r="N120" s="25"/>
      <x:c r="O120" s="20" t="str">
        <x:f>IF(OR(D120="",E120=""),"PENDING",IF(OR(D120&lt;&gt;E120,G120&lt;&gt;H120,J120&lt;&gt;K120),"CONFLICT","AGREE"))</x:f>
        <x:v>PENDING</x:v>
      </x:c>
    </x:row>
    <x:row r="121">
      <x:c r="A121" t="str">
        <x:v>ext-iqa-fail-010</x:v>
      </x:c>
      <x:c r="B121" s="20" t="str">
        <x:v>Does ADP Offer Health Insurance?</x:v>
      </x:c>
      <x:c r="C121" s="20" t="str">
        <x:v>Yes , in some cases . It is possible for an employer to legally offer health insurance to some employees and not others using employment-based classifications . Two common ones are full-time versus part-time and salaried versus hourly . The key legal criteria , though , is that all employees within the same employment classification must be treated consistently . For example , it would be illegal to offer health coverage to some full-time hourly workers but not all full-time workers .</x:v>
      </x:c>
      <x:c r="D121" s="20" t="str">
        <x:f>IF(Reviewer_1!L121="","",Reviewer_1!L121)</x:f>
      </x:c>
      <x:c r="E121" s="20" t="str">
        <x:f>IF(Reviewer_2!L121="","",Reviewer_2!L121)</x:f>
      </x:c>
      <x:c r="F121" s="25"/>
      <x:c r="G121" s="20" t="str">
        <x:f>IF(Reviewer_1!M121="","",Reviewer_1!M121)</x:f>
      </x:c>
      <x:c r="H121" s="20" t="str">
        <x:f>IF(Reviewer_2!M121="","",Reviewer_2!M121)</x:f>
      </x:c>
      <x:c r="I121" s="25"/>
      <x:c r="J121" s="20" t="str">
        <x:f>IF(Reviewer_1!N121="","",Reviewer_1!N121)</x:f>
      </x:c>
      <x:c r="K121" s="20" t="str">
        <x:f>IF(Reviewer_2!N121="","",Reviewer_2!N121)</x:f>
      </x:c>
      <x:c r="L121" s="25"/>
      <x:c r="M121" s="25"/>
      <x:c r="N121" s="25"/>
      <x:c r="O121" s="20" t="str">
        <x:f>IF(OR(D121="",E121=""),"PENDING",IF(OR(D121&lt;&gt;E121,G121&lt;&gt;H121,J121&lt;&gt;K121),"CONFLICT","AGREE"))</x:f>
        <x:v>PENDING</x:v>
      </x:c>
    </x:row>
    <x:row r="122">
      <x:c r="A122" t="str">
        <x:v>ext-iqa-fail-011</x:v>
      </x:c>
      <x:c r="B122" s="20" t="str">
        <x:v>Can I Get Life Insurance After Breast Cancer?</x:v>
      </x:c>
      <x:c r="C122" s="20" t="str">
        <x:v>There is one type of life insurance that you can get while having any type of cancer , and that is called Guaranteed Life Insurance . It is not available at every age , and it is graded for 2 or more years . But it does not have any health requirements . You can also purchase pre-need policies at a funeral home while having cancer . With those , the graded period is usually one year . If your cancer was caught in the early stages and has a good prognosis , you should be able to get a policy other than guaranteed issue about a year or two after the last treatment . Some types of policies will add a flat extra that drops off after a few years . Others add table ratings to the policy . It all depends on the type of cancer , the stage , how well it responded to treatment , how long ago you were diagnosed and last treated , and whether your cancer recurred or not . Finding life insurance for persons with cancer can be complicated . Contacting an impaired risk life insurance specialist is helpful to find your best rate .</x:v>
      </x:c>
      <x:c r="D122" s="20" t="str">
        <x:f>IF(Reviewer_1!L122="","",Reviewer_1!L122)</x:f>
      </x:c>
      <x:c r="E122" s="20" t="str">
        <x:f>IF(Reviewer_2!L122="","",Reviewer_2!L122)</x:f>
      </x:c>
      <x:c r="F122" s="25"/>
      <x:c r="G122" s="20" t="str">
        <x:f>IF(Reviewer_1!M122="","",Reviewer_1!M122)</x:f>
      </x:c>
      <x:c r="H122" s="20" t="str">
        <x:f>IF(Reviewer_2!M122="","",Reviewer_2!M122)</x:f>
      </x:c>
      <x:c r="I122" s="25"/>
      <x:c r="J122" s="20" t="str">
        <x:f>IF(Reviewer_1!N122="","",Reviewer_1!N122)</x:f>
      </x:c>
      <x:c r="K122" s="20" t="str">
        <x:f>IF(Reviewer_2!N122="","",Reviewer_2!N122)</x:f>
      </x:c>
      <x:c r="L122" s="25"/>
      <x:c r="M122" s="25"/>
      <x:c r="N122" s="25"/>
      <x:c r="O122" s="20" t="str">
        <x:f>IF(OR(D122="",E122=""),"PENDING",IF(OR(D122&lt;&gt;E122,G122&lt;&gt;H122,J122&lt;&gt;K122),"CONFLICT","AGREE"))</x:f>
        <x:v>PENDING</x:v>
      </x:c>
    </x:row>
    <x:row r="123">
      <x:c r="A123" t="str">
        <x:v>ext-iqa-fail-012</x:v>
      </x:c>
      <x:c r="B123" s="20" t="str">
        <x:v>Do Insurance Companies Look At Psychiatric Records?</x:v>
      </x:c>
      <x:c r="C123" s="20" t="str">
        <x:v>There are hundreds of annuity companies and perhaps a thousand annuity contracts . You can find excellent spreadsheets online distributed by independent brokerage firms . There are two categories of non-qualified annuities are : tax deferred and immediate . Tax deferred annuities have three basic crediting methods : fixed interest rates , domestic/foreign indices and separate subaccounts using equity and bond instruments . Immediate annuities offer various distribution periods like 10 or 20 years certain and lifetime income on the annuitant .</x:v>
      </x:c>
      <x:c r="D123" s="20" t="str">
        <x:f>IF(Reviewer_1!L123="","",Reviewer_1!L123)</x:f>
      </x:c>
      <x:c r="E123" s="20" t="str">
        <x:f>IF(Reviewer_2!L123="","",Reviewer_2!L123)</x:f>
      </x:c>
      <x:c r="F123" s="25"/>
      <x:c r="G123" s="20" t="str">
        <x:f>IF(Reviewer_1!M123="","",Reviewer_1!M123)</x:f>
      </x:c>
      <x:c r="H123" s="20" t="str">
        <x:f>IF(Reviewer_2!M123="","",Reviewer_2!M123)</x:f>
      </x:c>
      <x:c r="I123" s="25"/>
      <x:c r="J123" s="20" t="str">
        <x:f>IF(Reviewer_1!N123="","",Reviewer_1!N123)</x:f>
      </x:c>
      <x:c r="K123" s="20" t="str">
        <x:f>IF(Reviewer_2!N123="","",Reviewer_2!N123)</x:f>
      </x:c>
      <x:c r="L123" s="25"/>
      <x:c r="M123" s="25"/>
      <x:c r="N123" s="25"/>
      <x:c r="O123" s="20" t="str">
        <x:f>IF(OR(D123="",E123=""),"PENDING",IF(OR(D123&lt;&gt;E123,G123&lt;&gt;H123,J123&lt;&gt;K123),"CONFLICT","AGREE"))</x:f>
        <x:v>PENDING</x:v>
      </x:c>
    </x:row>
    <x:row r="124">
      <x:c r="A124" t="str">
        <x:v>ext-iqa-fail-013</x:v>
      </x:c>
      <x:c r="B124" s="20" t="str">
        <x:v>Is Cancer Covered Under Disability Insurance?</x:v>
      </x:c>
      <x:c r="C124" s="20" t="str">
        <x:v>Social Security covers disability events for most Americans . Some employer sponsored group plans include short term or even long term disability insurance . You can purchase individual disability insurance for yourself online via several brokerage outlets . Some employers pay for disability insurance for their key employees as a retention benefit and as a recruiting incentive .</x:v>
      </x:c>
      <x:c r="D124" s="20" t="str">
        <x:f>IF(Reviewer_1!L124="","",Reviewer_1!L124)</x:f>
      </x:c>
      <x:c r="E124" s="20" t="str">
        <x:f>IF(Reviewer_2!L124="","",Reviewer_2!L124)</x:f>
      </x:c>
      <x:c r="F124" s="25"/>
      <x:c r="G124" s="20" t="str">
        <x:f>IF(Reviewer_1!M124="","",Reviewer_1!M124)</x:f>
      </x:c>
      <x:c r="H124" s="20" t="str">
        <x:f>IF(Reviewer_2!M124="","",Reviewer_2!M124)</x:f>
      </x:c>
      <x:c r="I124" s="25"/>
      <x:c r="J124" s="20" t="str">
        <x:f>IF(Reviewer_1!N124="","",Reviewer_1!N124)</x:f>
      </x:c>
      <x:c r="K124" s="20" t="str">
        <x:f>IF(Reviewer_2!N124="","",Reviewer_2!N124)</x:f>
      </x:c>
      <x:c r="L124" s="25"/>
      <x:c r="M124" s="25"/>
      <x:c r="N124" s="25"/>
      <x:c r="O124" s="20" t="str">
        <x:f>IF(OR(D124="",E124=""),"PENDING",IF(OR(D124&lt;&gt;E124,G124&lt;&gt;H124,J124&lt;&gt;K124),"CONFLICT","AGREE"))</x:f>
        <x:v>PENDING</x:v>
      </x:c>
    </x:row>
    <x:row r="125">
      <x:c r="A125" t="str">
        <x:v>ext-iqa-fail-014</x:v>
      </x:c>
      <x:c r="B125" s="20" t="str">
        <x:v>What Does Long Term Care Insurance Mean?</x:v>
      </x:c>
      <x:c r="C125" s="20" t="str">
        <x:v>A quality long-term care insurance policy from a well-capitalized , highly rated insurance company will include at least the following : Facility careHome care Domestic care -LRB- housework , yard work , cleaning chores -RRB- Assisted living or residential living careAdult Day CareRespite care -LRB- time off for the primary family care giver -RRB- Home modifications so that insured can stay at home for as long as possible , the costs of which are not deducted from the pool of money available for daily care.There may be additional coverage offered by the carrier . Ask to see a `` specimen policy '' for the exact language of the benefits , features , and riders of the policy you are considering . Look for language that takes into account the possibility of future medical or technological advances that may become available but which are not yet known or invented yet . For example , `` assisted living '' facilities were not even available 25 years ago , but , people that bought quality policies before that time with contract language that allowed for future developments in the field of elder care are now in such facilities and being paid for those expenses .</x:v>
      </x:c>
      <x:c r="D125" s="20" t="str">
        <x:f>IF(Reviewer_1!L125="","",Reviewer_1!L125)</x:f>
      </x:c>
      <x:c r="E125" s="20" t="str">
        <x:f>IF(Reviewer_2!L125="","",Reviewer_2!L125)</x:f>
      </x:c>
      <x:c r="F125" s="25"/>
      <x:c r="G125" s="20" t="str">
        <x:f>IF(Reviewer_1!M125="","",Reviewer_1!M125)</x:f>
      </x:c>
      <x:c r="H125" s="20" t="str">
        <x:f>IF(Reviewer_2!M125="","",Reviewer_2!M125)</x:f>
      </x:c>
      <x:c r="I125" s="25"/>
      <x:c r="J125" s="20" t="str">
        <x:f>IF(Reviewer_1!N125="","",Reviewer_1!N125)</x:f>
      </x:c>
      <x:c r="K125" s="20" t="str">
        <x:f>IF(Reviewer_2!N125="","",Reviewer_2!N125)</x:f>
      </x:c>
      <x:c r="L125" s="25"/>
      <x:c r="M125" s="25"/>
      <x:c r="N125" s="25"/>
      <x:c r="O125" s="20" t="str">
        <x:f>IF(OR(D125="",E125=""),"PENDING",IF(OR(D125&lt;&gt;E125,G125&lt;&gt;H125,J125&lt;&gt;K125),"CONFLICT","AGREE"))</x:f>
        <x:v>PENDING</x:v>
      </x:c>
    </x:row>
    <x:row r="126">
      <x:c r="A126" t="str">
        <x:v>ext-iqa-fail-015</x:v>
      </x:c>
      <x:c r="B126" s="20" t="str">
        <x:v>Does Nationwide Offer Long Term Care Insurance?</x:v>
      </x:c>
      <x:c r="C126" s="20" t="str">
        <x:v>No . Allstate used to market long-term care insurance through Lincoln Benefit Life , but has not done sofor at least 5 years . All long-term care policies sold by Allstate through LBL are being fully administered and claims paid as approved . Since the carrier is not currently marketing LTC insurance , no new premiums are coming in . As a result , policy holders of this carrier 's long-term care plans of insurance are likely to experience increases in premium in the 30-50 % range . Such an increase occurred in 2010 . However , while those percentages seem extremely high , consumers need to understand that in spite of the increase , the higher premium is probably still a bargain compared to what LTCi costs today . Carriers that increase premiums are making every effort to help people keep at least some of their coverage by making adjustments to benefits , features , or riders going forward .</x:v>
      </x:c>
      <x:c r="D126" s="20" t="str">
        <x:f>IF(Reviewer_1!L126="","",Reviewer_1!L126)</x:f>
      </x:c>
      <x:c r="E126" s="20" t="str">
        <x:f>IF(Reviewer_2!L126="","",Reviewer_2!L126)</x:f>
      </x:c>
      <x:c r="F126" s="25"/>
      <x:c r="G126" s="20" t="str">
        <x:f>IF(Reviewer_1!M126="","",Reviewer_1!M126)</x:f>
      </x:c>
      <x:c r="H126" s="20" t="str">
        <x:f>IF(Reviewer_2!M126="","",Reviewer_2!M126)</x:f>
      </x:c>
      <x:c r="I126" s="25"/>
      <x:c r="J126" s="20" t="str">
        <x:f>IF(Reviewer_1!N126="","",Reviewer_1!N126)</x:f>
      </x:c>
      <x:c r="K126" s="20" t="str">
        <x:f>IF(Reviewer_2!N126="","",Reviewer_2!N126)</x:f>
      </x:c>
      <x:c r="L126" s="25"/>
      <x:c r="M126" s="25"/>
      <x:c r="N126" s="25"/>
      <x:c r="O126" s="20" t="str">
        <x:f>IF(OR(D126="",E126=""),"PENDING",IF(OR(D126&lt;&gt;E126,G126&lt;&gt;H126,J126&lt;&gt;K126),"CONFLICT","AGREE"))</x:f>
        <x:v>PENDING</x:v>
      </x:c>
    </x:row>
    <x:row r="127">
      <x:c r="A127" t="str">
        <x:v>ext-iqa-fail-016</x:v>
      </x:c>
      <x:c r="B127" s="20" t="str">
        <x:v>When Should Someone Buy Long Term Care Insurance?</x:v>
      </x:c>
      <x:c r="C127" s="20" t="str">
        <x:v>The cost of care keeps rising . If you need a nursing home it would not be uncommon to see the cost of care to be $ 7,000 - $ 8000 per month and it is expected to keep increasing . The question becomes if you do n't get a Long Term Care policy what assets are you prepared to liquidate to pay for the care . At $ 7,000 a month for 3 years that comes out to a cost of $ 252,000 based on today 's cost . What will the cost be when you need it in 10 , 20 or 30 years ? We can assume it will be much more . The yearly premium will be only a fraction of the cost if you did n't have a policy . A good Long Term Care policy will include assisted living , home healthcare and nursing home care . The chance of you needing one or all of those at some point in your life is pretty high .</x:v>
      </x:c>
      <x:c r="D127" s="20" t="str">
        <x:f>IF(Reviewer_1!L127="","",Reviewer_1!L127)</x:f>
      </x:c>
      <x:c r="E127" s="20" t="str">
        <x:f>IF(Reviewer_2!L127="","",Reviewer_2!L127)</x:f>
      </x:c>
      <x:c r="F127" s="25"/>
      <x:c r="G127" s="20" t="str">
        <x:f>IF(Reviewer_1!M127="","",Reviewer_1!M127)</x:f>
      </x:c>
      <x:c r="H127" s="20" t="str">
        <x:f>IF(Reviewer_2!M127="","",Reviewer_2!M127)</x:f>
      </x:c>
      <x:c r="I127" s="25"/>
      <x:c r="J127" s="20" t="str">
        <x:f>IF(Reviewer_1!N127="","",Reviewer_1!N127)</x:f>
      </x:c>
      <x:c r="K127" s="20" t="str">
        <x:f>IF(Reviewer_2!N127="","",Reviewer_2!N127)</x:f>
      </x:c>
      <x:c r="L127" s="25"/>
      <x:c r="M127" s="25"/>
      <x:c r="N127" s="25"/>
      <x:c r="O127" s="20" t="str">
        <x:f>IF(OR(D127="",E127=""),"PENDING",IF(OR(D127&lt;&gt;E127,G127&lt;&gt;H127,J127&lt;&gt;K127),"CONFLICT","AGREE"))</x:f>
        <x:v>PENDING</x:v>
      </x:c>
    </x:row>
    <x:row r="128">
      <x:c r="A128" t="str">
        <x:v>ext-iqa-fail-017</x:v>
      </x:c>
      <x:c r="B128" s="20" t="str">
        <x:v>Can I change medicare providers after 3/1/2015 in Indiana?</x:v>
      </x:c>
      <x:c r="C128" s="20" t="str">
        <x:v>You will receive Medicare Part A benefits automatically when you qualify . You will take this benefit when you qualify because it does n't cost anything . Medicare Part B is voluntary . You can tell Medicare that you would delay your Medicare Part B benefits . You can do this when you have creditable coverage through your employer or retirement plan . You will incur a penalty if you delay your benefits without creditable coverage then active them later .</x:v>
      </x:c>
      <x:c r="D128" s="20" t="str">
        <x:f>IF(Reviewer_1!L128="","",Reviewer_1!L128)</x:f>
      </x:c>
      <x:c r="E128" s="20" t="str">
        <x:f>IF(Reviewer_2!L128="","",Reviewer_2!L128)</x:f>
      </x:c>
      <x:c r="F128" s="25"/>
      <x:c r="G128" s="20" t="str">
        <x:f>IF(Reviewer_1!M128="","",Reviewer_1!M128)</x:f>
      </x:c>
      <x:c r="H128" s="20" t="str">
        <x:f>IF(Reviewer_2!M128="","",Reviewer_2!M128)</x:f>
      </x:c>
      <x:c r="I128" s="25"/>
      <x:c r="J128" s="20" t="str">
        <x:f>IF(Reviewer_1!N128="","",Reviewer_1!N128)</x:f>
      </x:c>
      <x:c r="K128" s="20" t="str">
        <x:f>IF(Reviewer_2!N128="","",Reviewer_2!N128)</x:f>
      </x:c>
      <x:c r="L128" s="25"/>
      <x:c r="M128" s="25"/>
      <x:c r="N128" s="25"/>
      <x:c r="O128" s="20" t="str">
        <x:f>IF(OR(D128="",E128=""),"PENDING",IF(OR(D128&lt;&gt;E128,G128&lt;&gt;H128,J128&lt;&gt;K128),"CONFLICT","AGREE"))</x:f>
        <x:v>PENDING</x:v>
      </x:c>
    </x:row>
    <x:row r="129">
      <x:c r="A129" t="str">
        <x:v>ext-iqa-fail-018</x:v>
      </x:c>
      <x:c r="B129" s="20" t="str">
        <x:v>How Do Body Shops Work With Car Insurance?</x:v>
      </x:c>
      <x:c r="C129" s="20" t="str">
        <x:v>Everyone with a valid drivers license should be able to secure auto insurance with one carrier or another . Since auto insurance policies coverages are established on an individual basis the rates will vary from person to person . Contact a local agent to find out about coverage availability and pricing within your area .</x:v>
      </x:c>
      <x:c r="D129" s="20" t="str">
        <x:f>IF(Reviewer_1!L129="","",Reviewer_1!L129)</x:f>
      </x:c>
      <x:c r="E129" s="20" t="str">
        <x:f>IF(Reviewer_2!L129="","",Reviewer_2!L129)</x:f>
      </x:c>
      <x:c r="F129" s="25"/>
      <x:c r="G129" s="20" t="str">
        <x:f>IF(Reviewer_1!M129="","",Reviewer_1!M129)</x:f>
      </x:c>
      <x:c r="H129" s="20" t="str">
        <x:f>IF(Reviewer_2!M129="","",Reviewer_2!M129)</x:f>
      </x:c>
      <x:c r="I129" s="25"/>
      <x:c r="J129" s="20" t="str">
        <x:f>IF(Reviewer_1!N129="","",Reviewer_1!N129)</x:f>
      </x:c>
      <x:c r="K129" s="20" t="str">
        <x:f>IF(Reviewer_2!N129="","",Reviewer_2!N129)</x:f>
      </x:c>
      <x:c r="L129" s="25"/>
      <x:c r="M129" s="25"/>
      <x:c r="N129" s="25"/>
      <x:c r="O129" s="20" t="str">
        <x:f>IF(OR(D129="",E129=""),"PENDING",IF(OR(D129&lt;&gt;E129,G129&lt;&gt;H129,J129&lt;&gt;K129),"CONFLICT","AGREE"))</x:f>
        <x:v>PENDING</x:v>
      </x:c>
    </x:row>
    <x:row r="130">
      <x:c r="A130" t="str">
        <x:v>ext-iqa-fail-019</x:v>
      </x:c>
      <x:c r="B130" s="20" t="str">
        <x:v>How Does Medicare D Work?</x:v>
      </x:c>
      <x:c r="C130" s="20" t="str">
        <x:v>With the lagging economy and endless recession a lot of people continue working past age 65 -LRB- whether they want to or not -RRB- . Your earnings do not penalize your Medicare benefits . Unlike the penalty tax under Social Security for earned income , Medicare is not impacted . If you are covered by an employer health insurance plan and Medicare you may not need Part B or D .</x:v>
      </x:c>
      <x:c r="D130" s="20" t="str">
        <x:f>IF(Reviewer_1!L130="","",Reviewer_1!L130)</x:f>
      </x:c>
      <x:c r="E130" s="20" t="str">
        <x:f>IF(Reviewer_2!L130="","",Reviewer_2!L130)</x:f>
      </x:c>
      <x:c r="F130" s="25"/>
      <x:c r="G130" s="20" t="str">
        <x:f>IF(Reviewer_1!M130="","",Reviewer_1!M130)</x:f>
      </x:c>
      <x:c r="H130" s="20" t="str">
        <x:f>IF(Reviewer_2!M130="","",Reviewer_2!M130)</x:f>
      </x:c>
      <x:c r="I130" s="25"/>
      <x:c r="J130" s="20" t="str">
        <x:f>IF(Reviewer_1!N130="","",Reviewer_1!N130)</x:f>
      </x:c>
      <x:c r="K130" s="20" t="str">
        <x:f>IF(Reviewer_2!N130="","",Reviewer_2!N130)</x:f>
      </x:c>
      <x:c r="L130" s="25"/>
      <x:c r="M130" s="25"/>
      <x:c r="N130" s="25"/>
      <x:c r="O130" s="20" t="str">
        <x:f>IF(OR(D130="",E130=""),"PENDING",IF(OR(D130&lt;&gt;E130,G130&lt;&gt;H130,J130&lt;&gt;K130),"CONFLICT","AGREE"))</x:f>
        <x:v>PENDING</x:v>
      </x:c>
    </x:row>
    <x:row r="131">
      <x:c r="A131" t="str">
        <x:v>ext-iqa-fail-020</x:v>
      </x:c>
      <x:c r="B131" s="20" t="str">
        <x:v>Is Car Insurance For A Lease More Expensive?</x:v>
      </x:c>
      <x:c r="C131" s="20" t="str">
        <x:v>Everyone with a valid drivers license should be able to secure auto insurance with one carrier or another . Since auto insurance policies coverages are established on an individual basis the rates will vary from person to person . Contact a local agent to find out about coverage availability and pricing within your area .</x:v>
      </x:c>
      <x:c r="D131" s="20" t="str">
        <x:f>IF(Reviewer_1!L131="","",Reviewer_1!L131)</x:f>
      </x:c>
      <x:c r="E131" s="20" t="str">
        <x:f>IF(Reviewer_2!L131="","",Reviewer_2!L131)</x:f>
      </x:c>
      <x:c r="F131" s="25"/>
      <x:c r="G131" s="20" t="str">
        <x:f>IF(Reviewer_1!M131="","",Reviewer_1!M131)</x:f>
      </x:c>
      <x:c r="H131" s="20" t="str">
        <x:f>IF(Reviewer_2!M131="","",Reviewer_2!M131)</x:f>
      </x:c>
      <x:c r="I131" s="25"/>
      <x:c r="J131" s="20" t="str">
        <x:f>IF(Reviewer_1!N131="","",Reviewer_1!N131)</x:f>
      </x:c>
      <x:c r="K131" s="20" t="str">
        <x:f>IF(Reviewer_2!N131="","",Reviewer_2!N131)</x:f>
      </x:c>
      <x:c r="L131" s="25"/>
      <x:c r="M131" s="25"/>
      <x:c r="N131" s="25"/>
      <x:c r="O131" s="20" t="str">
        <x:f>IF(OR(D131="",E131=""),"PENDING",IF(OR(D131&lt;&gt;E131,G131&lt;&gt;H131,J131&lt;&gt;K131),"CONFLICT","AGREE"))</x:f>
        <x:v>PENDING</x:v>
      </x:c>
    </x:row>
    <x:row r="132">
      <x:c r="A132" t="str">
        <x:v>ext-iqa-fail-021</x:v>
      </x:c>
      <x:c r="B132" s="20" t="str">
        <x:v>Can Homeowners Insurance Cancel Your Policy?</x:v>
      </x:c>
      <x:c r="C132" s="20" t="str">
        <x:v>Technically you do not have to have homeowners insurance . It is not required at this time by law in any of the states in the United States to the best of my knowledge . Your mortgage lender will typically require homeowners insurance coverage to protect themselves against loss in the event of a covered loss . There are way to many reasons to list here as to why you should have coverage . Please contact a local agent to discuss your coverage needs and concerns .</x:v>
      </x:c>
      <x:c r="D132" s="20" t="str">
        <x:f>IF(Reviewer_1!L132="","",Reviewer_1!L132)</x:f>
      </x:c>
      <x:c r="E132" s="20" t="str">
        <x:f>IF(Reviewer_2!L132="","",Reviewer_2!L132)</x:f>
      </x:c>
      <x:c r="F132" s="25"/>
      <x:c r="G132" s="20" t="str">
        <x:f>IF(Reviewer_1!M132="","",Reviewer_1!M132)</x:f>
      </x:c>
      <x:c r="H132" s="20" t="str">
        <x:f>IF(Reviewer_2!M132="","",Reviewer_2!M132)</x:f>
      </x:c>
      <x:c r="I132" s="25"/>
      <x:c r="J132" s="20" t="str">
        <x:f>IF(Reviewer_1!N132="","",Reviewer_1!N132)</x:f>
      </x:c>
      <x:c r="K132" s="20" t="str">
        <x:f>IF(Reviewer_2!N132="","",Reviewer_2!N132)</x:f>
      </x:c>
      <x:c r="L132" s="25"/>
      <x:c r="M132" s="25"/>
      <x:c r="N132" s="25"/>
      <x:c r="O132" s="20" t="str">
        <x:f>IF(OR(D132="",E132=""),"PENDING",IF(OR(D132&lt;&gt;E132,G132&lt;&gt;H132,J132&lt;&gt;K132),"CONFLICT","AGREE"))</x:f>
        <x:v>PENDING</x:v>
      </x:c>
    </x:row>
    <x:row r="133">
      <x:c r="A133" t="str">
        <x:v>ext-iqa-fail-022</x:v>
      </x:c>
      <x:c r="B133" s="20" t="str">
        <x:v>How Does Home Insurance Escrow Work?</x:v>
      </x:c>
      <x:c r="C133" s="20" t="str">
        <x:v>Buy home insurance from an agent that you can trust . If you havent an agent , get recommendations from friends , colleagues or neighbors . A good agent will listen to you , give sound advice , accurately record information and most importantly , answer your questions . A computer can do one of those functions . At the time of claim the critical issues will be , is the coverage in force , is it adequate to restore the loss and is there someone there to answer questions .</x:v>
      </x:c>
      <x:c r="D133" s="20" t="str">
        <x:f>IF(Reviewer_1!L133="","",Reviewer_1!L133)</x:f>
      </x:c>
      <x:c r="E133" s="20" t="str">
        <x:f>IF(Reviewer_2!L133="","",Reviewer_2!L133)</x:f>
      </x:c>
      <x:c r="F133" s="25"/>
      <x:c r="G133" s="20" t="str">
        <x:f>IF(Reviewer_1!M133="","",Reviewer_1!M133)</x:f>
      </x:c>
      <x:c r="H133" s="20" t="str">
        <x:f>IF(Reviewer_2!M133="","",Reviewer_2!M133)</x:f>
      </x:c>
      <x:c r="I133" s="25"/>
      <x:c r="J133" s="20" t="str">
        <x:f>IF(Reviewer_1!N133="","",Reviewer_1!N133)</x:f>
      </x:c>
      <x:c r="K133" s="20" t="str">
        <x:f>IF(Reviewer_2!N133="","",Reviewer_2!N133)</x:f>
      </x:c>
      <x:c r="L133" s="25"/>
      <x:c r="M133" s="25"/>
      <x:c r="N133" s="25"/>
      <x:c r="O133" s="20" t="str">
        <x:f>IF(OR(D133="",E133=""),"PENDING",IF(OR(D133&lt;&gt;E133,G133&lt;&gt;H133,J133&lt;&gt;K133),"CONFLICT","AGREE"))</x:f>
        <x:v>PENDING</x:v>
      </x:c>
    </x:row>
    <x:row r="134">
      <x:c r="A134" t="str">
        <x:v>ext-iqa-fail-023</x:v>
      </x:c>
      <x:c r="B134" s="20" t="str">
        <x:v>How Much Disability Insurance Is Enough?</x:v>
      </x:c>
      <x:c r="C134" s="20" t="str">
        <x:v>where do I get disability insurance ? In Washington State , you 'd get it from me ! ;-RRB- What you would want to do is meet with an agent and go over your options , with a great deal of time spent on understanding the definitions of disability . With disability coverage , the definition is everything . Without a good definition , the premium may be cheap , but collecting on a claim may be hard .</x:v>
      </x:c>
      <x:c r="D134" s="20" t="str">
        <x:f>IF(Reviewer_1!L134="","",Reviewer_1!L134)</x:f>
      </x:c>
      <x:c r="E134" s="20" t="str">
        <x:f>IF(Reviewer_2!L134="","",Reviewer_2!L134)</x:f>
      </x:c>
      <x:c r="F134" s="25"/>
      <x:c r="G134" s="20" t="str">
        <x:f>IF(Reviewer_1!M134="","",Reviewer_1!M134)</x:f>
      </x:c>
      <x:c r="H134" s="20" t="str">
        <x:f>IF(Reviewer_2!M134="","",Reviewer_2!M134)</x:f>
      </x:c>
      <x:c r="I134" s="25"/>
      <x:c r="J134" s="20" t="str">
        <x:f>IF(Reviewer_1!N134="","",Reviewer_1!N134)</x:f>
      </x:c>
      <x:c r="K134" s="20" t="str">
        <x:f>IF(Reviewer_2!N134="","",Reviewer_2!N134)</x:f>
      </x:c>
      <x:c r="L134" s="25"/>
      <x:c r="M134" s="25"/>
      <x:c r="N134" s="25"/>
      <x:c r="O134" s="20" t="str">
        <x:f>IF(OR(D134="",E134=""),"PENDING",IF(OR(D134&lt;&gt;E134,G134&lt;&gt;H134,J134&lt;&gt;K134),"CONFLICT","AGREE"))</x:f>
        <x:v>PENDING</x:v>
      </x:c>
    </x:row>
    <x:row r="135">
      <x:c r="A135" t="str">
        <x:v>ext-iqa-fail-024</x:v>
      </x:c>
      <x:c r="B135" s="20" t="str">
        <x:v>What Is Occupational Disability Insurance?</x:v>
      </x:c>
      <x:c r="C135" s="20" t="str">
        <x:v>where do I get disability insurance ? In Washington State , you 'd get it from me ! ;-RRB- What you would want to do is meet with an agent and go over your options , with a great deal of time spent on understanding the definitions of disability . With disability coverage , the definition is everything . Without a good definition , the premium may be cheap , but collecting on a claim may be hard .</x:v>
      </x:c>
      <x:c r="D135" s="20" t="str">
        <x:f>IF(Reviewer_1!L135="","",Reviewer_1!L135)</x:f>
      </x:c>
      <x:c r="E135" s="20" t="str">
        <x:f>IF(Reviewer_2!L135="","",Reviewer_2!L135)</x:f>
      </x:c>
      <x:c r="F135" s="25"/>
      <x:c r="G135" s="20" t="str">
        <x:f>IF(Reviewer_1!M135="","",Reviewer_1!M135)</x:f>
      </x:c>
      <x:c r="H135" s="20" t="str">
        <x:f>IF(Reviewer_2!M135="","",Reviewer_2!M135)</x:f>
      </x:c>
      <x:c r="I135" s="25"/>
      <x:c r="J135" s="20" t="str">
        <x:f>IF(Reviewer_1!N135="","",Reviewer_1!N135)</x:f>
      </x:c>
      <x:c r="K135" s="20" t="str">
        <x:f>IF(Reviewer_2!N135="","",Reviewer_2!N135)</x:f>
      </x:c>
      <x:c r="L135" s="25"/>
      <x:c r="M135" s="25"/>
      <x:c r="N135" s="25"/>
      <x:c r="O135" s="20" t="str">
        <x:f>IF(OR(D135="",E135=""),"PENDING",IF(OR(D135&lt;&gt;E135,G135&lt;&gt;H135,J135&lt;&gt;K135),"CONFLICT","AGREE"))</x:f>
        <x:v>PENDING</x:v>
      </x:c>
    </x:row>
    <x:row r="136">
      <x:c r="A136" t="str">
        <x:v>ext-iqa-fail-025</x:v>
      </x:c>
      <x:c r="B136" s="20" t="str">
        <x:v>Can You Get Car Insurance With A Suspended Drivers License?</x:v>
      </x:c>
      <x:c r="C136" s="20" t="str">
        <x:v>Everyone with a valid drivers license should be able to secure auto insurance with one carrier or another . Since auto insurance policies coverages are established on an individual basis the rates will vary from person to person . Contact a local agent to find out about coverage availability and pricing within your area .</x:v>
      </x:c>
      <x:c r="D136" s="20" t="str">
        <x:f>IF(Reviewer_1!L136="","",Reviewer_1!L136)</x:f>
      </x:c>
      <x:c r="E136" s="20" t="str">
        <x:f>IF(Reviewer_2!L136="","",Reviewer_2!L136)</x:f>
      </x:c>
      <x:c r="F136" s="25"/>
      <x:c r="G136" s="20" t="str">
        <x:f>IF(Reviewer_1!M136="","",Reviewer_1!M136)</x:f>
      </x:c>
      <x:c r="H136" s="20" t="str">
        <x:f>IF(Reviewer_2!M136="","",Reviewer_2!M136)</x:f>
      </x:c>
      <x:c r="I136" s="25"/>
      <x:c r="J136" s="20" t="str">
        <x:f>IF(Reviewer_1!N136="","",Reviewer_1!N136)</x:f>
      </x:c>
      <x:c r="K136" s="20" t="str">
        <x:f>IF(Reviewer_2!N136="","",Reviewer_2!N136)</x:f>
      </x:c>
      <x:c r="L136" s="25"/>
      <x:c r="M136" s="25"/>
      <x:c r="N136" s="25"/>
      <x:c r="O136" s="20" t="str">
        <x:f>IF(OR(D136="",E136=""),"PENDING",IF(OR(D136&lt;&gt;E136,G136&lt;&gt;H136,J136&lt;&gt;K136),"CONFLICT","AGREE"))</x:f>
        <x:v>PENDING</x:v>
      </x:c>
    </x:row>
    <x:row r="137">
      <x:c r="A137" t="str">
        <x:v>ext-iqa-fail-026</x:v>
      </x:c>
      <x:c r="B137" s="20" t="str">
        <x:v>How Long Does A Homeowners Insurance Claim Stay On Record?</x:v>
      </x:c>
      <x:c r="C137" s="20" t="str">
        <x:v>Great question . I believe everyone should have an agent they can all and discuss options on filling or not filling a claim the 1800 numbers will not discuss this with you . First if there is a large loss , a fire for instance there is no question a claim needs to be filled . If the damages for what your considering filling a claim are less than five thousand dollars you should contact your insurance agent and discuss your options . One aspect that will determine the amount your insurance will go up after a claim is how long you 've been with a company , if you 've been with them -LRB- loyal -RRB- five years or greater likely your rates will not go up much if at all , this of course is with the premium carriers . If you shop and hop insurance companies often I am afraid the rates will be very high . There are rewards to staying with a carrier .</x:v>
      </x:c>
      <x:c r="D137" s="20" t="str">
        <x:f>IF(Reviewer_1!L137="","",Reviewer_1!L137)</x:f>
      </x:c>
      <x:c r="E137" s="20" t="str">
        <x:f>IF(Reviewer_2!L137="","",Reviewer_2!L137)</x:f>
      </x:c>
      <x:c r="F137" s="25"/>
      <x:c r="G137" s="20" t="str">
        <x:f>IF(Reviewer_1!M137="","",Reviewer_1!M137)</x:f>
      </x:c>
      <x:c r="H137" s="20" t="str">
        <x:f>IF(Reviewer_2!M137="","",Reviewer_2!M137)</x:f>
      </x:c>
      <x:c r="I137" s="25"/>
      <x:c r="J137" s="20" t="str">
        <x:f>IF(Reviewer_1!N137="","",Reviewer_1!N137)</x:f>
      </x:c>
      <x:c r="K137" s="20" t="str">
        <x:f>IF(Reviewer_2!N137="","",Reviewer_2!N137)</x:f>
      </x:c>
      <x:c r="L137" s="25"/>
      <x:c r="M137" s="25"/>
      <x:c r="N137" s="25"/>
      <x:c r="O137" s="20" t="str">
        <x:f>IF(OR(D137="",E137=""),"PENDING",IF(OR(D137&lt;&gt;E137,G137&lt;&gt;H137,J137&lt;&gt;K137),"CONFLICT","AGREE"))</x:f>
        <x:v>PENDING</x:v>
      </x:c>
    </x:row>
    <x:row r="138">
      <x:c r="A138" t="str">
        <x:v>ext-iqa-fail-027</x:v>
      </x:c>
      <x:c r="B138" s="20" t="str">
        <x:v>What Services Does Medicare Part D Cover?</x:v>
      </x:c>
      <x:c r="C138" s="20" t="str">
        <x:v>Medicare does cover hospice care for terminally ill patients . Care must be given by a doctor , nurse or skilled attendant . Once you are in hospice , Medicare will not cover any treatment intended to cure your illness . This includes prescription drugs for your illness . Medicare will not cover room and board in a hospital or nursing home if you are under hospice care .</x:v>
      </x:c>
      <x:c r="D138" s="20" t="str">
        <x:f>IF(Reviewer_1!L138="","",Reviewer_1!L138)</x:f>
      </x:c>
      <x:c r="E138" s="20" t="str">
        <x:f>IF(Reviewer_2!L138="","",Reviewer_2!L138)</x:f>
      </x:c>
      <x:c r="F138" s="25"/>
      <x:c r="G138" s="20" t="str">
        <x:f>IF(Reviewer_1!M138="","",Reviewer_1!M138)</x:f>
      </x:c>
      <x:c r="H138" s="20" t="str">
        <x:f>IF(Reviewer_2!M138="","",Reviewer_2!M138)</x:f>
      </x:c>
      <x:c r="I138" s="25"/>
      <x:c r="J138" s="20" t="str">
        <x:f>IF(Reviewer_1!N138="","",Reviewer_1!N138)</x:f>
      </x:c>
      <x:c r="K138" s="20" t="str">
        <x:f>IF(Reviewer_2!N138="","",Reviewer_2!N138)</x:f>
      </x:c>
      <x:c r="L138" s="25"/>
      <x:c r="M138" s="25"/>
      <x:c r="N138" s="25"/>
      <x:c r="O138" s="20" t="str">
        <x:f>IF(OR(D138="",E138=""),"PENDING",IF(OR(D138&lt;&gt;E138,G138&lt;&gt;H138,J138&lt;&gt;K138),"CONFLICT","AGREE"))</x:f>
        <x:v>PENDING</x:v>
      </x:c>
    </x:row>
    <x:row r="139">
      <x:c r="A139" t="str">
        <x:v>ext-iqa-fail-028</x:v>
      </x:c>
      <x:c r="B139" s="20" t="str">
        <x:v>I Have A Qualified Variable Annuity. What Is That Exactly?</x:v>
      </x:c>
      <x:c r="C139" s="20" t="str">
        <x:v>Why would you want to `` pitch '' a Variable Annuity ? A VA is a useful product for those individuals who want to have upside performance , a basic death benefit , and other living benefits such as Guaranteed Minimum Income Benefits . But PRODUCT , and that includes any of the insurance based products , should be part of an overall consulting relationship where the client understand the risks and rewards of that product . The job of the financial advisor when selling a client a VA is to fact find , determine a client 's risk tolerance , and then provide choices commensurate with a client 's goals . If you do that , a Variable Annuity does n't get pitched , it becomes the product of choice by the client because of the features that it offers .</x:v>
      </x:c>
      <x:c r="D139" s="20" t="str">
        <x:f>IF(Reviewer_1!L139="","",Reviewer_1!L139)</x:f>
      </x:c>
      <x:c r="E139" s="20" t="str">
        <x:f>IF(Reviewer_2!L139="","",Reviewer_2!L139)</x:f>
      </x:c>
      <x:c r="F139" s="25"/>
      <x:c r="G139" s="20" t="str">
        <x:f>IF(Reviewer_1!M139="","",Reviewer_1!M139)</x:f>
      </x:c>
      <x:c r="H139" s="20" t="str">
        <x:f>IF(Reviewer_2!M139="","",Reviewer_2!M139)</x:f>
      </x:c>
      <x:c r="I139" s="25"/>
      <x:c r="J139" s="20" t="str">
        <x:f>IF(Reviewer_1!N139="","",Reviewer_1!N139)</x:f>
      </x:c>
      <x:c r="K139" s="20" t="str">
        <x:f>IF(Reviewer_2!N139="","",Reviewer_2!N139)</x:f>
      </x:c>
      <x:c r="L139" s="25"/>
      <x:c r="M139" s="25"/>
      <x:c r="N139" s="25"/>
      <x:c r="O139" s="20" t="str">
        <x:f>IF(OR(D139="",E139=""),"PENDING",IF(OR(D139&lt;&gt;E139,G139&lt;&gt;H139,J139&lt;&gt;K139),"CONFLICT","AGREE"))</x:f>
        <x:v>PENDING</x:v>
      </x:c>
    </x:row>
    <x:row r="140">
      <x:c r="A140" t="str">
        <x:v>ext-iqa-fail-029</x:v>
      </x:c>
      <x:c r="B140" s="20" t="str">
        <x:v>What Good Is Long Term Care Insurance?</x:v>
      </x:c>
      <x:c r="C140" s="20" t="str">
        <x:v>A good long term care policy should feel your specific needs in case of a long term illness or injury so severe that you are no longer able to work . Things to consider when shopping for long term disability plans are length of coverage , i.e. years benefits pay , plans can go to age 67 now . The elimination period which is the time length you can go without benefits , i.e. 30 days to 360 days . The benefits amount which is the amount paid to you on a monthly basis which can go up to 70 % of your current earnings . Riders to consider on your plan should be additional purchase option without proof of insurability , cost of living increases and return of premium in case you never use the coverage . I recommend using an experienced independent broker in order to navigate this maze of coverages in order to get the right plan at the best price .</x:v>
      </x:c>
      <x:c r="D140" s="20" t="str">
        <x:f>IF(Reviewer_1!L140="","",Reviewer_1!L140)</x:f>
      </x:c>
      <x:c r="E140" s="20" t="str">
        <x:f>IF(Reviewer_2!L140="","",Reviewer_2!L140)</x:f>
      </x:c>
      <x:c r="F140" s="25"/>
      <x:c r="G140" s="20" t="str">
        <x:f>IF(Reviewer_1!M140="","",Reviewer_1!M140)</x:f>
      </x:c>
      <x:c r="H140" s="20" t="str">
        <x:f>IF(Reviewer_2!M140="","",Reviewer_2!M140)</x:f>
      </x:c>
      <x:c r="I140" s="25"/>
      <x:c r="J140" s="20" t="str">
        <x:f>IF(Reviewer_1!N140="","",Reviewer_1!N140)</x:f>
      </x:c>
      <x:c r="K140" s="20" t="str">
        <x:f>IF(Reviewer_2!N140="","",Reviewer_2!N140)</x:f>
      </x:c>
      <x:c r="L140" s="25"/>
      <x:c r="M140" s="25"/>
      <x:c r="N140" s="25"/>
      <x:c r="O140" s="20" t="str">
        <x:f>IF(OR(D140="",E140=""),"PENDING",IF(OR(D140&lt;&gt;E140,G140&lt;&gt;H140,J140&lt;&gt;K140),"CONFLICT","AGREE"))</x:f>
        <x:v>PENDING</x:v>
      </x:c>
    </x:row>
    <x:row r="141">
      <x:c r="A141" t="str">
        <x:v>ext-iqa-fail-030</x:v>
      </x:c>
      <x:c r="B141" s="20" t="str">
        <x:v>Where Can I Buy Disability Insurance?</x:v>
      </x:c>
      <x:c r="C141" s="20" t="str">
        <x:v>where do I get disability insurance ? In Washington State , you 'd get it from me ! ;-RRB- What you would want to do is meet with an agent and go over your options , with a great deal of time spent on understanding the definitions of disability . With disability coverage , the definition is everything . Without a good definition , the premium may be cheap , but collecting on a claim may be hard .</x:v>
      </x:c>
      <x:c r="D141" s="20" t="str">
        <x:f>IF(Reviewer_1!L141="","",Reviewer_1!L141)</x:f>
      </x:c>
      <x:c r="E141" s="20" t="str">
        <x:f>IF(Reviewer_2!L141="","",Reviewer_2!L141)</x:f>
      </x:c>
      <x:c r="F141" s="25"/>
      <x:c r="G141" s="20" t="str">
        <x:f>IF(Reviewer_1!M141="","",Reviewer_1!M141)</x:f>
      </x:c>
      <x:c r="H141" s="20" t="str">
        <x:f>IF(Reviewer_2!M141="","",Reviewer_2!M141)</x:f>
      </x:c>
      <x:c r="I141" s="25"/>
      <x:c r="J141" s="20" t="str">
        <x:f>IF(Reviewer_1!N141="","",Reviewer_1!N141)</x:f>
      </x:c>
      <x:c r="K141" s="20" t="str">
        <x:f>IF(Reviewer_2!N141="","",Reviewer_2!N141)</x:f>
      </x:c>
      <x:c r="L141" s="25"/>
      <x:c r="M141" s="25"/>
      <x:c r="N141" s="25"/>
      <x:c r="O141" s="20" t="str">
        <x:f>IF(OR(D141="",E141=""),"PENDING",IF(OR(D141&lt;&gt;E141,G141&lt;&gt;H141,J141&lt;&gt;K141),"CONFLICT","AGREE"))</x:f>
        <x:v>PENDING</x:v>
      </x:c>
    </x:row>
    <x:row r="142">
      <x:c r="A142" t="str">
        <x:v>ext-iqa-fail-031</x:v>
      </x:c>
      <x:c r="B142" s="20" t="str">
        <x:v>What Feature Is Unique To Annuities?</x:v>
      </x:c>
      <x:c r="C142" s="20" t="str">
        <x:v>Assuming the interpretation of the question is correct , qualified retirement plans can purchase a variety of financial products and tax deferred annuities is an option . If a qualified pan purchase a tax deferred annuity , the basis is taxable because the basis or original contributions were deducted under the defined contribution plan .</x:v>
      </x:c>
      <x:c r="D142" s="20" t="str">
        <x:f>IF(Reviewer_1!L142="","",Reviewer_1!L142)</x:f>
      </x:c>
      <x:c r="E142" s="20" t="str">
        <x:f>IF(Reviewer_2!L142="","",Reviewer_2!L142)</x:f>
      </x:c>
      <x:c r="F142" s="25"/>
      <x:c r="G142" s="20" t="str">
        <x:f>IF(Reviewer_1!M142="","",Reviewer_1!M142)</x:f>
      </x:c>
      <x:c r="H142" s="20" t="str">
        <x:f>IF(Reviewer_2!M142="","",Reviewer_2!M142)</x:f>
      </x:c>
      <x:c r="I142" s="25"/>
      <x:c r="J142" s="20" t="str">
        <x:f>IF(Reviewer_1!N142="","",Reviewer_1!N142)</x:f>
      </x:c>
      <x:c r="K142" s="20" t="str">
        <x:f>IF(Reviewer_2!N142="","",Reviewer_2!N142)</x:f>
      </x:c>
      <x:c r="L142" s="25"/>
      <x:c r="M142" s="25"/>
      <x:c r="N142" s="25"/>
      <x:c r="O142" s="20" t="str">
        <x:f>IF(OR(D142="",E142=""),"PENDING",IF(OR(D142&lt;&gt;E142,G142&lt;&gt;H142,J142&lt;&gt;K142),"CONFLICT","AGREE"))</x:f>
        <x:v>PENDING</x:v>
      </x:c>
    </x:row>
    <x:row r="143">
      <x:c r="A143" t="str">
        <x:v>ext-iqa-fail-032</x:v>
      </x:c>
      <x:c r="B143" s="20" t="str">
        <x:v>What Is The Waiting Period For Disability Insurance?</x:v>
      </x:c>
      <x:c r="C143" s="20" t="str">
        <x:v>Long term care inusrance is a morbidity product like disability inusrance that offers diferring elimination periods or waiting periods from the triggering event that casues the policy owner to file a claim for benefits . Some long termcare inusrance policies offer nowaiting to 365 day elimination periods . 90 day elimination periods appear the most popular .</x:v>
      </x:c>
      <x:c r="D143" s="20" t="str">
        <x:f>IF(Reviewer_1!L143="","",Reviewer_1!L143)</x:f>
      </x:c>
      <x:c r="E143" s="20" t="str">
        <x:f>IF(Reviewer_2!L143="","",Reviewer_2!L143)</x:f>
      </x:c>
      <x:c r="F143" s="25"/>
      <x:c r="G143" s="20" t="str">
        <x:f>IF(Reviewer_1!M143="","",Reviewer_1!M143)</x:f>
      </x:c>
      <x:c r="H143" s="20" t="str">
        <x:f>IF(Reviewer_2!M143="","",Reviewer_2!M143)</x:f>
      </x:c>
      <x:c r="I143" s="25"/>
      <x:c r="J143" s="20" t="str">
        <x:f>IF(Reviewer_1!N143="","",Reviewer_1!N143)</x:f>
      </x:c>
      <x:c r="K143" s="20" t="str">
        <x:f>IF(Reviewer_2!N143="","",Reviewer_2!N143)</x:f>
      </x:c>
      <x:c r="L143" s="25"/>
      <x:c r="M143" s="25"/>
      <x:c r="N143" s="25"/>
      <x:c r="O143" s="20" t="str">
        <x:f>IF(OR(D143="",E143=""),"PENDING",IF(OR(D143&lt;&gt;E143,G143&lt;&gt;H143,J143&lt;&gt;K143),"CONFLICT","AGREE"))</x:f>
        <x:v>PENDING</x:v>
      </x:c>
    </x:row>
    <x:row r="144">
      <x:c r="A144" t="str">
        <x:v>ext-iqa-fail-033</x:v>
      </x:c>
      <x:c r="B144" s="20" t="str">
        <x:v>Can I Get Life Insurance After A Stroke?</x:v>
      </x:c>
      <x:c r="C144" s="20" t="str">
        <x:v>There are life insurance policies that do not require an exam for every age of applicant . There are options for every type of health . There are term policies , universal life policies , and whole life policies that do not require an exam . No Exam life insurance can be purchased in face amounts up to $ 500,000 . Some agents say that you will pay more if you buy nonmed life insurance , but that is not always the case . If your health is very poor , No Exam life insurance may be the only option available to you . If you think you are healthy but not sure , life insurance that does not require an exam might cost less than if you took an exam and found out your cholesterol was over 300 .</x:v>
      </x:c>
      <x:c r="D144" s="20" t="str">
        <x:f>IF(Reviewer_1!L144="","",Reviewer_1!L144)</x:f>
      </x:c>
      <x:c r="E144" s="20" t="str">
        <x:f>IF(Reviewer_2!L144="","",Reviewer_2!L144)</x:f>
      </x:c>
      <x:c r="F144" s="25"/>
      <x:c r="G144" s="20" t="str">
        <x:f>IF(Reviewer_1!M144="","",Reviewer_1!M144)</x:f>
      </x:c>
      <x:c r="H144" s="20" t="str">
        <x:f>IF(Reviewer_2!M144="","",Reviewer_2!M144)</x:f>
      </x:c>
      <x:c r="I144" s="25"/>
      <x:c r="J144" s="20" t="str">
        <x:f>IF(Reviewer_1!N144="","",Reviewer_1!N144)</x:f>
      </x:c>
      <x:c r="K144" s="20" t="str">
        <x:f>IF(Reviewer_2!N144="","",Reviewer_2!N144)</x:f>
      </x:c>
      <x:c r="L144" s="25"/>
      <x:c r="M144" s="25"/>
      <x:c r="N144" s="25"/>
      <x:c r="O144" s="20" t="str">
        <x:f>IF(OR(D144="",E144=""),"PENDING",IF(OR(D144&lt;&gt;E144,G144&lt;&gt;H144,J144&lt;&gt;K144),"CONFLICT","AGREE"))</x:f>
        <x:v>PENDING</x:v>
      </x:c>
    </x:row>
    <x:row r="145">
      <x:c r="A145" t="str">
        <x:v>ext-iqa-fail-034</x:v>
      </x:c>
      <x:c r="B145" s="20" t="str">
        <x:v>How Much Does It Cost For Level Term Life Insurance?</x:v>
      </x:c>
      <x:c r="C145" s="20" t="str">
        <x:v>Great question . Often clients are afraid to ask I think they believe is it expensive but actually its relatively inexpensive . Typically if you insure two vehicles with a company the discount you gain by having a second policy on your auto insurance will if not cover the cost of a renters policy it will be close ! So the average cost is 60-120 dollars a year . So for ten dollars or less you have coverage for your phone , computers , books , clothes , medications , cd 's , movies , art , guns or whatever else you own ! Ten dollars a month is very inexpensive , also these are covered anywhere in the world !</x:v>
      </x:c>
      <x:c r="D145" s="20" t="str">
        <x:f>IF(Reviewer_1!L145="","",Reviewer_1!L145)</x:f>
      </x:c>
      <x:c r="E145" s="20" t="str">
        <x:f>IF(Reviewer_2!L145="","",Reviewer_2!L145)</x:f>
      </x:c>
      <x:c r="F145" s="25"/>
      <x:c r="G145" s="20" t="str">
        <x:f>IF(Reviewer_1!M145="","",Reviewer_1!M145)</x:f>
      </x:c>
      <x:c r="H145" s="20" t="str">
        <x:f>IF(Reviewer_2!M145="","",Reviewer_2!M145)</x:f>
      </x:c>
      <x:c r="I145" s="25"/>
      <x:c r="J145" s="20" t="str">
        <x:f>IF(Reviewer_1!N145="","",Reviewer_1!N145)</x:f>
      </x:c>
      <x:c r="K145" s="20" t="str">
        <x:f>IF(Reviewer_2!N145="","",Reviewer_2!N145)</x:f>
      </x:c>
      <x:c r="L145" s="25"/>
      <x:c r="M145" s="25"/>
      <x:c r="N145" s="25"/>
      <x:c r="O145" s="20" t="str">
        <x:f>IF(OR(D145="",E145=""),"PENDING",IF(OR(D145&lt;&gt;E145,G145&lt;&gt;H145,J145&lt;&gt;K145),"CONFLICT","AGREE"))</x:f>
        <x:v>PENDING</x:v>
      </x:c>
    </x:row>
    <x:row r="146">
      <x:c r="A146" t="str">
        <x:v>ext-iqa-fail-035</x:v>
      </x:c>
      <x:c r="B146" s="20" t="str">
        <x:v>Will Medicare Pay For Hospice?</x:v>
      </x:c>
      <x:c r="C146" s="20" t="str">
        <x:v>Tax deferred fixed annuities pay a guaranteed interest rate for a guaranteed period of time . Interest rates are constantly changing so its important to check with a brokerage annuity companies that display several insurance companies . As of this posting : 5 year rate is 2.85 % , 7 year rate is 3.20 % and 10 year rate is 3.45 % . Also check the insurance company to see if they are filed in your state .</x:v>
      </x:c>
      <x:c r="D146" s="20" t="str">
        <x:f>IF(Reviewer_1!L146="","",Reviewer_1!L146)</x:f>
      </x:c>
      <x:c r="E146" s="20" t="str">
        <x:f>IF(Reviewer_2!L146="","",Reviewer_2!L146)</x:f>
      </x:c>
      <x:c r="F146" s="25"/>
      <x:c r="G146" s="20" t="str">
        <x:f>IF(Reviewer_1!M146="","",Reviewer_1!M146)</x:f>
      </x:c>
      <x:c r="H146" s="20" t="str">
        <x:f>IF(Reviewer_2!M146="","",Reviewer_2!M146)</x:f>
      </x:c>
      <x:c r="I146" s="25"/>
      <x:c r="J146" s="20" t="str">
        <x:f>IF(Reviewer_1!N146="","",Reviewer_1!N146)</x:f>
      </x:c>
      <x:c r="K146" s="20" t="str">
        <x:f>IF(Reviewer_2!N146="","",Reviewer_2!N146)</x:f>
      </x:c>
      <x:c r="L146" s="25"/>
      <x:c r="M146" s="25"/>
      <x:c r="N146" s="25"/>
      <x:c r="O146" s="20" t="str">
        <x:f>IF(OR(D146="",E146=""),"PENDING",IF(OR(D146&lt;&gt;E146,G146&lt;&gt;H146,J146&lt;&gt;K146),"CONFLICT","AGREE"))</x:f>
        <x:v>PENDING</x:v>
      </x:c>
    </x:row>
    <x:row r="147">
      <x:c r="A147" t="str">
        <x:v>ext-iqa-fail-036</x:v>
      </x:c>
      <x:c r="B147" s="20" t="str">
        <x:v>How Much Does Life Insurance Underwriters Make?</x:v>
      </x:c>
      <x:c r="C147" s="20" t="str">
        <x:v>Notwithstanding state peculiar legislation , a landlord can insist that a tenant have a renters policy . The landlord does this to clarify the relationship he has with the tenant . The landlord is not responsible for your property , even if it is destroyed along with his building . He is not responsible for personal injury and physical damage that comes from someone coming onto the property that you have rented . That is your responsibility and you would be the one sued . This problem goes away for a small premium .</x:v>
      </x:c>
      <x:c r="D147" s="20" t="str">
        <x:f>IF(Reviewer_1!L147="","",Reviewer_1!L147)</x:f>
      </x:c>
      <x:c r="E147" s="20" t="str">
        <x:f>IF(Reviewer_2!L147="","",Reviewer_2!L147)</x:f>
      </x:c>
      <x:c r="F147" s="25"/>
      <x:c r="G147" s="20" t="str">
        <x:f>IF(Reviewer_1!M147="","",Reviewer_1!M147)</x:f>
      </x:c>
      <x:c r="H147" s="20" t="str">
        <x:f>IF(Reviewer_2!M147="","",Reviewer_2!M147)</x:f>
      </x:c>
      <x:c r="I147" s="25"/>
      <x:c r="J147" s="20" t="str">
        <x:f>IF(Reviewer_1!N147="","",Reviewer_1!N147)</x:f>
      </x:c>
      <x:c r="K147" s="20" t="str">
        <x:f>IF(Reviewer_2!N147="","",Reviewer_2!N147)</x:f>
      </x:c>
      <x:c r="L147" s="25"/>
      <x:c r="M147" s="25"/>
      <x:c r="N147" s="25"/>
      <x:c r="O147" s="20" t="str">
        <x:f>IF(OR(D147="",E147=""),"PENDING",IF(OR(D147&lt;&gt;E147,G147&lt;&gt;H147,J147&lt;&gt;K147),"CONFLICT","AGREE"))</x:f>
        <x:v>PENDING</x:v>
      </x:c>
    </x:row>
    <x:row r="148">
      <x:c r="A148" t="str">
        <x:v>ext-iqa-fail-037</x:v>
      </x:c>
      <x:c r="B148" s="20" t="str">
        <x:v>What Is The Best Medicare Plan In California?</x:v>
      </x:c>
      <x:c r="C148" s="20" t="str">
        <x:v>In order to determine what is the best retirement plan , you first need to clarify what you are trying to accomplish . What does a successful retirement look like for you ? Once you have an idea what that means then you will be able to calculate what it will cost to fund it . The would will be able to determine what is best for you . Additional information on retirement planning is available on my website www.jpw.ca If you would like to work with a local Retirement Planner , you could start with a Google search . For example if you search for : retirement planner Halifax or retirement planning Halifax , my name along with several others will come up . You can use the same method to find Retirement Planners in your community . If you have further questions , or feel that I could be of assistance , please do not hesitate to contact me .</x:v>
      </x:c>
      <x:c r="D148" s="20" t="str">
        <x:f>IF(Reviewer_1!L148="","",Reviewer_1!L148)</x:f>
      </x:c>
      <x:c r="E148" s="20" t="str">
        <x:f>IF(Reviewer_2!L148="","",Reviewer_2!L148)</x:f>
      </x:c>
      <x:c r="F148" s="25"/>
      <x:c r="G148" s="20" t="str">
        <x:f>IF(Reviewer_1!M148="","",Reviewer_1!M148)</x:f>
      </x:c>
      <x:c r="H148" s="20" t="str">
        <x:f>IF(Reviewer_2!M148="","",Reviewer_2!M148)</x:f>
      </x:c>
      <x:c r="I148" s="25"/>
      <x:c r="J148" s="20" t="str">
        <x:f>IF(Reviewer_1!N148="","",Reviewer_1!N148)</x:f>
      </x:c>
      <x:c r="K148" s="20" t="str">
        <x:f>IF(Reviewer_2!N148="","",Reviewer_2!N148)</x:f>
      </x:c>
      <x:c r="L148" s="25"/>
      <x:c r="M148" s="25"/>
      <x:c r="N148" s="25"/>
      <x:c r="O148" s="20" t="str">
        <x:f>IF(OR(D148="",E148=""),"PENDING",IF(OR(D148&lt;&gt;E148,G148&lt;&gt;H148,J148&lt;&gt;K148),"CONFLICT","AGREE"))</x:f>
        <x:v>PENDING</x:v>
      </x:c>
    </x:row>
    <x:row r="149">
      <x:c r="A149" t="str">
        <x:v>ext-iqa-fail-038</x:v>
      </x:c>
      <x:c r="B149" s="20" t="str">
        <x:v>At What Age Can You Collect Medicare?</x:v>
      </x:c>
      <x:c r="C149" s="20" t="str">
        <x:v>Rates are typically know to adjust at ages 18 , 21 , and 25 . Rates are also known to adjust based on credit history and marital status . Please remember every carrier and every policy is different . Every carrier has its own level of risk willing to accept . This will set the premium levels based on the risk they are willing to take on .</x:v>
      </x:c>
      <x:c r="D149" s="20" t="str">
        <x:f>IF(Reviewer_1!L149="","",Reviewer_1!L149)</x:f>
      </x:c>
      <x:c r="E149" s="20" t="str">
        <x:f>IF(Reviewer_2!L149="","",Reviewer_2!L149)</x:f>
      </x:c>
      <x:c r="F149" s="25"/>
      <x:c r="G149" s="20" t="str">
        <x:f>IF(Reviewer_1!M149="","",Reviewer_1!M149)</x:f>
      </x:c>
      <x:c r="H149" s="20" t="str">
        <x:f>IF(Reviewer_2!M149="","",Reviewer_2!M149)</x:f>
      </x:c>
      <x:c r="I149" s="25"/>
      <x:c r="J149" s="20" t="str">
        <x:f>IF(Reviewer_1!N149="","",Reviewer_1!N149)</x:f>
      </x:c>
      <x:c r="K149" s="20" t="str">
        <x:f>IF(Reviewer_2!N149="","",Reviewer_2!N149)</x:f>
      </x:c>
      <x:c r="L149" s="25"/>
      <x:c r="M149" s="25"/>
      <x:c r="N149" s="25"/>
      <x:c r="O149" s="20" t="str">
        <x:f>IF(OR(D149="",E149=""),"PENDING",IF(OR(D149&lt;&gt;E149,G149&lt;&gt;H149,J149&lt;&gt;K149),"CONFLICT","AGREE"))</x:f>
        <x:v>PENDING</x:v>
      </x:c>
    </x:row>
    <x:row r="150">
      <x:c r="A150" t="str">
        <x:v>ext-iqa-fail-039</x:v>
      </x:c>
      <x:c r="B150" s="20" t="str">
        <x:v>How Would You Calculate The Expected Return On A Life Insurance Policy?</x:v>
      </x:c>
      <x:c r="C150" s="20" t="str">
        <x:v>Disability insurance is a morbidity product . Disability insurance is basically paycheck protection . And the price for that protection depends on your gender , age , smoking status , health history , current medical condition and vocation . It also depends on the length of coverage , the elimination period and owner occupation specialties .</x:v>
      </x:c>
      <x:c r="D150" s="20" t="str">
        <x:f>IF(Reviewer_1!L150="","",Reviewer_1!L150)</x:f>
      </x:c>
      <x:c r="E150" s="20" t="str">
        <x:f>IF(Reviewer_2!L150="","",Reviewer_2!L150)</x:f>
      </x:c>
      <x:c r="F150" s="25"/>
      <x:c r="G150" s="20" t="str">
        <x:f>IF(Reviewer_1!M150="","",Reviewer_1!M150)</x:f>
      </x:c>
      <x:c r="H150" s="20" t="str">
        <x:f>IF(Reviewer_2!M150="","",Reviewer_2!M150)</x:f>
      </x:c>
      <x:c r="I150" s="25"/>
      <x:c r="J150" s="20" t="str">
        <x:f>IF(Reviewer_1!N150="","",Reviewer_1!N150)</x:f>
      </x:c>
      <x:c r="K150" s="20" t="str">
        <x:f>IF(Reviewer_2!N150="","",Reviewer_2!N150)</x:f>
      </x:c>
      <x:c r="L150" s="25"/>
      <x:c r="M150" s="25"/>
      <x:c r="N150" s="25"/>
      <x:c r="O150" s="20" t="str">
        <x:f>IF(OR(D150="",E150=""),"PENDING",IF(OR(D150&lt;&gt;E150,G150&lt;&gt;H150,J150&lt;&gt;K150),"CONFLICT","AGREE"))</x:f>
        <x:v>PENDING</x:v>
      </x:c>
    </x:row>
    <x:row r="151">
      <x:c r="A151" t="str">
        <x:v>ext-iqa-fail-040</x:v>
      </x:c>
      <x:c r="B151" s="20" t="str">
        <x:v>Is Mutual Fund Better Than Stock?</x:v>
      </x:c>
      <x:c r="C151" s="20" t="str">
        <x:v>Term insurance is the best for most people because it provides the opportunity to purchase the most coverage for the least premium dollar and frees up more savings dollars or money to pay down debt . In the early years a family needs more protection while their debts are the highest , they have a mortgage , the kids are at home , and loss of income would be devastating . This is where the most life insurance coverage is needed for protection as the cash estate is growing . However , in the later years , when debts are lower or eliminated , the home mortgage is nearly gone , and the children are out of the home , less life insurance is needed and more retirement income is needed . Term insurance is the only type of insurance that will protect with the right amount of coverage without reducing the amount of money to invest . There is no mathematical reason to have cash value life insurance of any type .</x:v>
      </x:c>
      <x:c r="D151" s="20" t="str">
        <x:f>IF(Reviewer_1!L151="","",Reviewer_1!L151)</x:f>
      </x:c>
      <x:c r="E151" s="20" t="str">
        <x:f>IF(Reviewer_2!L151="","",Reviewer_2!L151)</x:f>
      </x:c>
      <x:c r="F151" s="25"/>
      <x:c r="G151" s="20" t="str">
        <x:f>IF(Reviewer_1!M151="","",Reviewer_1!M151)</x:f>
      </x:c>
      <x:c r="H151" s="20" t="str">
        <x:f>IF(Reviewer_2!M151="","",Reviewer_2!M151)</x:f>
      </x:c>
      <x:c r="I151" s="25"/>
      <x:c r="J151" s="20" t="str">
        <x:f>IF(Reviewer_1!N151="","",Reviewer_1!N151)</x:f>
      </x:c>
      <x:c r="K151" s="20" t="str">
        <x:f>IF(Reviewer_2!N151="","",Reviewer_2!N151)</x:f>
      </x:c>
      <x:c r="L151" s="25"/>
      <x:c r="M151" s="25"/>
      <x:c r="N151" s="25"/>
      <x:c r="O151" s="20" t="str">
        <x:f>IF(OR(D151="",E151=""),"PENDING",IF(OR(D151&lt;&gt;E151,G151&lt;&gt;H151,J151&lt;&gt;K151),"CONFLICT","AGREE"))</x:f>
        <x:v>PENDING</x:v>
      </x:c>
    </x:row>
    <x:row r="152">
      <x:c r="A152" t="str">
        <x:v>ext-iqa-fail-041</x:v>
      </x:c>
      <x:c r="B152" s="20" t="str">
        <x:v>Is Zostavax Covered By Medicare?</x:v>
      </x:c>
      <x:c r="C152" s="20" t="str">
        <x:v>It will depend on the prescription drug plan you are in . Most people on Medicare are beyond child bearing years .</x:v>
      </x:c>
      <x:c r="D152" s="20" t="str">
        <x:f>IF(Reviewer_1!L152="","",Reviewer_1!L152)</x:f>
      </x:c>
      <x:c r="E152" s="20" t="str">
        <x:f>IF(Reviewer_2!L152="","",Reviewer_2!L152)</x:f>
      </x:c>
      <x:c r="F152" s="25"/>
      <x:c r="G152" s="20" t="str">
        <x:f>IF(Reviewer_1!M152="","",Reviewer_1!M152)</x:f>
      </x:c>
      <x:c r="H152" s="20" t="str">
        <x:f>IF(Reviewer_2!M152="","",Reviewer_2!M152)</x:f>
      </x:c>
      <x:c r="I152" s="25"/>
      <x:c r="J152" s="20" t="str">
        <x:f>IF(Reviewer_1!N152="","",Reviewer_1!N152)</x:f>
      </x:c>
      <x:c r="K152" s="20" t="str">
        <x:f>IF(Reviewer_2!N152="","",Reviewer_2!N152)</x:f>
      </x:c>
      <x:c r="L152" s="25"/>
      <x:c r="M152" s="25"/>
      <x:c r="N152" s="25"/>
      <x:c r="O152" s="20" t="str">
        <x:f>IF(OR(D152="",E152=""),"PENDING",IF(OR(D152&lt;&gt;E152,G152&lt;&gt;H152,J152&lt;&gt;K152),"CONFLICT","AGREE"))</x:f>
        <x:v>PENDING</x:v>
      </x:c>
    </x:row>
    <x:row r="153">
      <x:c r="A153" t="str">
        <x:v>ext-iqa-fail-042</x:v>
      </x:c>
      <x:c r="B153" s="20" t="str">
        <x:v>Does Medicare Cover Viagra Cialis?</x:v>
      </x:c>
      <x:c r="C153" s="20" t="str">
        <x:v>Medicare does not pay for Viagra , Cialis , Levitra or other erectile dysfunction drugs . Unfortunately , Medicare does not cover Cialis for BPH -LRB- benign prostatic hyperplasia -RRB- .</x:v>
      </x:c>
      <x:c r="D153" s="20" t="str">
        <x:f>IF(Reviewer_1!L153="","",Reviewer_1!L153)</x:f>
      </x:c>
      <x:c r="E153" s="20" t="str">
        <x:f>IF(Reviewer_2!L153="","",Reviewer_2!L153)</x:f>
      </x:c>
      <x:c r="F153" s="25"/>
      <x:c r="G153" s="20" t="str">
        <x:f>IF(Reviewer_1!M153="","",Reviewer_1!M153)</x:f>
      </x:c>
      <x:c r="H153" s="20" t="str">
        <x:f>IF(Reviewer_2!M153="","",Reviewer_2!M153)</x:f>
      </x:c>
      <x:c r="I153" s="25"/>
      <x:c r="J153" s="20" t="str">
        <x:f>IF(Reviewer_1!N153="","",Reviewer_1!N153)</x:f>
      </x:c>
      <x:c r="K153" s="20" t="str">
        <x:f>IF(Reviewer_2!N153="","",Reviewer_2!N153)</x:f>
      </x:c>
      <x:c r="L153" s="25"/>
      <x:c r="M153" s="25"/>
      <x:c r="N153" s="25"/>
      <x:c r="O153" s="20" t="str">
        <x:f>IF(OR(D153="",E153=""),"PENDING",IF(OR(D153&lt;&gt;E153,G153&lt;&gt;H153,J153&lt;&gt;K153),"CONFLICT","AGREE"))</x:f>
        <x:v>PENDING</x:v>
      </x:c>
    </x:row>
    <x:row r="154">
      <x:c r="A154" t="str">
        <x:v>ext-iqa-fail-043</x:v>
      </x:c>
      <x:c r="B154" s="20" t="str">
        <x:v>Which Section Of Medicare Pays For Ambulatory Service?</x:v>
      </x:c>
      <x:c r="C154" s="20" t="str">
        <x:v>Medicare Part B will cover ambulance services that are medically necessary . You will receive Medicare Part A benefits automatically when you qualify .</x:v>
      </x:c>
      <x:c r="D154" s="20" t="str">
        <x:f>IF(Reviewer_1!L154="","",Reviewer_1!L154)</x:f>
      </x:c>
      <x:c r="E154" s="20" t="str">
        <x:f>IF(Reviewer_2!L154="","",Reviewer_2!L154)</x:f>
      </x:c>
      <x:c r="F154" s="25"/>
      <x:c r="G154" s="20" t="str">
        <x:f>IF(Reviewer_1!M154="","",Reviewer_1!M154)</x:f>
      </x:c>
      <x:c r="H154" s="20" t="str">
        <x:f>IF(Reviewer_2!M154="","",Reviewer_2!M154)</x:f>
      </x:c>
      <x:c r="I154" s="25"/>
      <x:c r="J154" s="20" t="str">
        <x:f>IF(Reviewer_1!N154="","",Reviewer_1!N154)</x:f>
      </x:c>
      <x:c r="K154" s="20" t="str">
        <x:f>IF(Reviewer_2!N154="","",Reviewer_2!N154)</x:f>
      </x:c>
      <x:c r="L154" s="25"/>
      <x:c r="M154" s="25"/>
      <x:c r="N154" s="25"/>
      <x:c r="O154" s="20" t="str">
        <x:f>IF(OR(D154="",E154=""),"PENDING",IF(OR(D154&lt;&gt;E154,G154&lt;&gt;H154,J154&lt;&gt;K154),"CONFLICT","AGREE"))</x:f>
        <x:v>PENDING</x:v>
      </x:c>
    </x:row>
    <x:row r="155">
      <x:c r="A155" t="str">
        <x:v>ext-iqa-fail-044</x:v>
      </x:c>
      <x:c r="B155" s="20" t="str">
        <x:v>What Is The Benefit Of Renters Insurance?</x:v>
      </x:c>
      <x:c r="C155" s="20" t="str">
        <x:v>Renters insurance is for renters of homes and apartments as house insurance is for those who own the house . You need a tenants policy if your landlord requires it .</x:v>
      </x:c>
      <x:c r="D155" s="20" t="str">
        <x:f>IF(Reviewer_1!L155="","",Reviewer_1!L155)</x:f>
      </x:c>
      <x:c r="E155" s="20" t="str">
        <x:f>IF(Reviewer_2!L155="","",Reviewer_2!L155)</x:f>
      </x:c>
      <x:c r="F155" s="25"/>
      <x:c r="G155" s="20" t="str">
        <x:f>IF(Reviewer_1!M155="","",Reviewer_1!M155)</x:f>
      </x:c>
      <x:c r="H155" s="20" t="str">
        <x:f>IF(Reviewer_2!M155="","",Reviewer_2!M155)</x:f>
      </x:c>
      <x:c r="I155" s="25"/>
      <x:c r="J155" s="20" t="str">
        <x:f>IF(Reviewer_1!N155="","",Reviewer_1!N155)</x:f>
      </x:c>
      <x:c r="K155" s="20" t="str">
        <x:f>IF(Reviewer_2!N155="","",Reviewer_2!N155)</x:f>
      </x:c>
      <x:c r="L155" s="25"/>
      <x:c r="M155" s="25"/>
      <x:c r="N155" s="25"/>
      <x:c r="O155" s="20" t="str">
        <x:f>IF(OR(D155="",E155=""),"PENDING",IF(OR(D155&lt;&gt;E155,G155&lt;&gt;H155,J155&lt;&gt;K155),"CONFLICT","AGREE"))</x:f>
        <x:v>PENDING</x:v>
      </x:c>
    </x:row>
    <x:row r="156">
      <x:c r="A156" t="str">
        <x:v>ext-iqa-fail-045</x:v>
      </x:c>
      <x:c r="B156" s="20" t="str">
        <x:v>Is travel insurance worth the money?</x:v>
      </x:c>
      <x:c r="C156" s="20" t="str">
        <x:v>To determine the value of a travel insurance policy review the coverage that you currently have . I believe so , as I both own one , and sell them to my clients .</x:v>
      </x:c>
      <x:c r="D156" s="20" t="str">
        <x:f>IF(Reviewer_1!L156="","",Reviewer_1!L156)</x:f>
      </x:c>
      <x:c r="E156" s="20" t="str">
        <x:f>IF(Reviewer_2!L156="","",Reviewer_2!L156)</x:f>
      </x:c>
      <x:c r="F156" s="25"/>
      <x:c r="G156" s="20" t="str">
        <x:f>IF(Reviewer_1!M156="","",Reviewer_1!M156)</x:f>
      </x:c>
      <x:c r="H156" s="20" t="str">
        <x:f>IF(Reviewer_2!M156="","",Reviewer_2!M156)</x:f>
      </x:c>
      <x:c r="I156" s="25"/>
      <x:c r="J156" s="20" t="str">
        <x:f>IF(Reviewer_1!N156="","",Reviewer_1!N156)</x:f>
      </x:c>
      <x:c r="K156" s="20" t="str">
        <x:f>IF(Reviewer_2!N156="","",Reviewer_2!N156)</x:f>
      </x:c>
      <x:c r="L156" s="25"/>
      <x:c r="M156" s="25"/>
      <x:c r="N156" s="25"/>
      <x:c r="O156" s="20" t="str">
        <x:f>IF(OR(D156="",E156=""),"PENDING",IF(OR(D156&lt;&gt;E156,G156&lt;&gt;H156,J156&lt;&gt;K156),"CONFLICT","AGREE"))</x:f>
        <x:v>PENDING</x:v>
      </x:c>
    </x:row>
    <x:row r="157">
      <x:c r="A157" t="str">
        <x:v>ext-iqa-fail-046</x:v>
      </x:c>
      <x:c r="B157" s="20" t="str">
        <x:v>Why Is An Equity Indexed Annuity Considered To Be A Fixed Annuity?</x:v>
      </x:c>
      <x:c r="C157" s="20" t="str">
        <x:v>You ca n't lose your principle and average GUARANTEED rates are around 2 % on the low end to 4 % on the high end . A fixed annuity is a way to give yourself an easily defined amount of money to provide a steady income stream from in retirement .</x:v>
      </x:c>
      <x:c r="D157" s="20" t="str">
        <x:f>IF(Reviewer_1!L157="","",Reviewer_1!L157)</x:f>
      </x:c>
      <x:c r="E157" s="20" t="str">
        <x:f>IF(Reviewer_2!L157="","",Reviewer_2!L157)</x:f>
      </x:c>
      <x:c r="F157" s="25"/>
      <x:c r="G157" s="20" t="str">
        <x:f>IF(Reviewer_1!M157="","",Reviewer_1!M157)</x:f>
      </x:c>
      <x:c r="H157" s="20" t="str">
        <x:f>IF(Reviewer_2!M157="","",Reviewer_2!M157)</x:f>
      </x:c>
      <x:c r="I157" s="25"/>
      <x:c r="J157" s="20" t="str">
        <x:f>IF(Reviewer_1!N157="","",Reviewer_1!N157)</x:f>
      </x:c>
      <x:c r="K157" s="20" t="str">
        <x:f>IF(Reviewer_2!N157="","",Reviewer_2!N157)</x:f>
      </x:c>
      <x:c r="L157" s="25"/>
      <x:c r="M157" s="25"/>
      <x:c r="N157" s="25"/>
      <x:c r="O157" s="20" t="str">
        <x:f>IF(OR(D157="",E157=""),"PENDING",IF(OR(D157&lt;&gt;E157,G157&lt;&gt;H157,J157&lt;&gt;K157),"CONFLICT","AGREE"))</x:f>
        <x:v>PENDING</x:v>
      </x:c>
    </x:row>
    <x:row r="158">
      <x:c r="A158" t="str">
        <x:v>ext-iqa-fail-047</x:v>
      </x:c>
      <x:c r="B158" s="20" t="str">
        <x:v>When Does Health Insurance End When Leaving A Job?</x:v>
      </x:c>
      <x:c r="C158" s="20" t="str">
        <x:v>If you leave your job or are terminated your health insurance usually ends at the end of the month you left your job . If you are talking about the open enrollment period then it ends on March 31st of this year for ACA plans unless there is a special circumstance like losing group coverage or coming off of COBRA .</x:v>
      </x:c>
      <x:c r="D158" s="20" t="str">
        <x:f>IF(Reviewer_1!L158="","",Reviewer_1!L158)</x:f>
      </x:c>
      <x:c r="E158" s="20" t="str">
        <x:f>IF(Reviewer_2!L158="","",Reviewer_2!L158)</x:f>
      </x:c>
      <x:c r="F158" s="25"/>
      <x:c r="G158" s="20" t="str">
        <x:f>IF(Reviewer_1!M158="","",Reviewer_1!M158)</x:f>
      </x:c>
      <x:c r="H158" s="20" t="str">
        <x:f>IF(Reviewer_2!M158="","",Reviewer_2!M158)</x:f>
      </x:c>
      <x:c r="I158" s="25"/>
      <x:c r="J158" s="20" t="str">
        <x:f>IF(Reviewer_1!N158="","",Reviewer_1!N158)</x:f>
      </x:c>
      <x:c r="K158" s="20" t="str">
        <x:f>IF(Reviewer_2!N158="","",Reviewer_2!N158)</x:f>
      </x:c>
      <x:c r="L158" s="25"/>
      <x:c r="M158" s="25"/>
      <x:c r="N158" s="25"/>
      <x:c r="O158" s="20" t="str">
        <x:f>IF(OR(D158="",E158=""),"PENDING",IF(OR(D158&lt;&gt;E158,G158&lt;&gt;H158,J158&lt;&gt;K158),"CONFLICT","AGREE"))</x:f>
        <x:v>PENDING</x:v>
      </x:c>
    </x:row>
    <x:row r="159">
      <x:c r="A159" t="str">
        <x:v>ext-iqa-fail-048</x:v>
      </x:c>
      <x:c r="B159" s="20" t="str">
        <x:v>How To Find Out What My Health Insurance Covers?</x:v>
      </x:c>
      <x:c r="C159" s="20" t="str">
        <x:v>Your best resource for information about a policy that is already in force is from the insurance carrier directly . Most health insurance plans do not cover In Vitro or any other infertility treatment .</x:v>
      </x:c>
      <x:c r="D159" s="20" t="str">
        <x:f>IF(Reviewer_1!L159="","",Reviewer_1!L159)</x:f>
      </x:c>
      <x:c r="E159" s="20" t="str">
        <x:f>IF(Reviewer_2!L159="","",Reviewer_2!L159)</x:f>
      </x:c>
      <x:c r="F159" s="25"/>
      <x:c r="G159" s="20" t="str">
        <x:f>IF(Reviewer_1!M159="","",Reviewer_1!M159)</x:f>
      </x:c>
      <x:c r="H159" s="20" t="str">
        <x:f>IF(Reviewer_2!M159="","",Reviewer_2!M159)</x:f>
      </x:c>
      <x:c r="I159" s="25"/>
      <x:c r="J159" s="20" t="str">
        <x:f>IF(Reviewer_1!N159="","",Reviewer_1!N159)</x:f>
      </x:c>
      <x:c r="K159" s="20" t="str">
        <x:f>IF(Reviewer_2!N159="","",Reviewer_2!N159)</x:f>
      </x:c>
      <x:c r="L159" s="25"/>
      <x:c r="M159" s="25"/>
      <x:c r="N159" s="25"/>
      <x:c r="O159" s="20" t="str">
        <x:f>IF(OR(D159="",E159=""),"PENDING",IF(OR(D159&lt;&gt;E159,G159&lt;&gt;H159,J159&lt;&gt;K159),"CONFLICT","AGREE"))</x:f>
        <x:v>PENDING</x:v>
      </x:c>
    </x:row>
    <x:row r="160">
      <x:c r="A160" t="str">
        <x:v>ext-iqa-fail-049</x:v>
      </x:c>
      <x:c r="B160" s="20" t="str">
        <x:v>How To Get Life Insurance On Ex Husband?</x:v>
      </x:c>
      <x:c r="C160" s="20" t="str">
        <x:v>The ex spouse may see the need to have life insurance to provide protection when kids are involved . Whether or not you can keep life insurance on your ex husband will be up to you , your ex husband , and the court .</x:v>
      </x:c>
      <x:c r="D160" s="20" t="str">
        <x:f>IF(Reviewer_1!L160="","",Reviewer_1!L160)</x:f>
      </x:c>
      <x:c r="E160" s="20" t="str">
        <x:f>IF(Reviewer_2!L160="","",Reviewer_2!L160)</x:f>
      </x:c>
      <x:c r="F160" s="25"/>
      <x:c r="G160" s="20" t="str">
        <x:f>IF(Reviewer_1!M160="","",Reviewer_1!M160)</x:f>
      </x:c>
      <x:c r="H160" s="20" t="str">
        <x:f>IF(Reviewer_2!M160="","",Reviewer_2!M160)</x:f>
      </x:c>
      <x:c r="I160" s="25"/>
      <x:c r="J160" s="20" t="str">
        <x:f>IF(Reviewer_1!N160="","",Reviewer_1!N160)</x:f>
      </x:c>
      <x:c r="K160" s="20" t="str">
        <x:f>IF(Reviewer_2!N160="","",Reviewer_2!N160)</x:f>
      </x:c>
      <x:c r="L160" s="25"/>
      <x:c r="M160" s="25"/>
      <x:c r="N160" s="25"/>
      <x:c r="O160" s="20" t="str">
        <x:f>IF(OR(D160="",E160=""),"PENDING",IF(OR(D160&lt;&gt;E160,G160&lt;&gt;H160,J160&lt;&gt;K160),"CONFLICT","AGREE"))</x:f>
        <x:v>PENDING</x:v>
      </x:c>
    </x:row>
    <x:row r="161">
      <x:c r="A161" t="str">
        <x:v>ext-iqa-fail-050</x:v>
      </x:c>
      <x:c r="B161" s="20" t="str">
        <x:v>Can An 88 Year Old Get Life Insurance?</x:v>
      </x:c>
      <x:c r="C161" s="20" t="str">
        <x:v>I actually had a case for an 88-year-old a couple of years ago . A 30 year old male nonsmoking with super preferred health covering $ 100,000 of ten year term life insurance is around $ 85 annually with one of the leading life insurance companies .</x:v>
      </x:c>
      <x:c r="D161" s="20" t="str">
        <x:f>IF(Reviewer_1!L161="","",Reviewer_1!L161)</x:f>
      </x:c>
      <x:c r="E161" s="20" t="str">
        <x:f>IF(Reviewer_2!L161="","",Reviewer_2!L161)</x:f>
      </x:c>
      <x:c r="F161" s="25"/>
      <x:c r="G161" s="20" t="str">
        <x:f>IF(Reviewer_1!M161="","",Reviewer_1!M161)</x:f>
      </x:c>
      <x:c r="H161" s="20" t="str">
        <x:f>IF(Reviewer_2!M161="","",Reviewer_2!M161)</x:f>
      </x:c>
      <x:c r="I161" s="25"/>
      <x:c r="J161" s="20" t="str">
        <x:f>IF(Reviewer_1!N161="","",Reviewer_1!N161)</x:f>
      </x:c>
      <x:c r="K161" s="20" t="str">
        <x:f>IF(Reviewer_2!N161="","",Reviewer_2!N161)</x:f>
      </x:c>
      <x:c r="L161" s="25"/>
      <x:c r="M161" s="25"/>
      <x:c r="N161" s="25"/>
      <x:c r="O161" s="20" t="str">
        <x:f>IF(OR(D161="",E161=""),"PENDING",IF(OR(D161&lt;&gt;E161,G161&lt;&gt;H161,J161&lt;&gt;K161),"CONFLICT","AGREE"))</x:f>
        <x:v>PENDING</x:v>
      </x:c>
    </x:row>
    <x:row r="162">
      <x:c r="A162" t="str">
        <x:v>ext-iqa-fail-051</x:v>
      </x:c>
      <x:c r="B162" s="20" t="str">
        <x:v>Why Do I Have To Have Homeowners Insurance?</x:v>
      </x:c>
      <x:c r="C162" s="20" t="str">
        <x:v>Technically you do not have to have homeowners insurance . Most homeowners need a homeowners policy all the time .</x:v>
      </x:c>
      <x:c r="D162" s="20" t="str">
        <x:f>IF(Reviewer_1!L162="","",Reviewer_1!L162)</x:f>
      </x:c>
      <x:c r="E162" s="20" t="str">
        <x:f>IF(Reviewer_2!L162="","",Reviewer_2!L162)</x:f>
      </x:c>
      <x:c r="F162" s="25"/>
      <x:c r="G162" s="20" t="str">
        <x:f>IF(Reviewer_1!M162="","",Reviewer_1!M162)</x:f>
      </x:c>
      <x:c r="H162" s="20" t="str">
        <x:f>IF(Reviewer_2!M162="","",Reviewer_2!M162)</x:f>
      </x:c>
      <x:c r="I162" s="25"/>
      <x:c r="J162" s="20" t="str">
        <x:f>IF(Reviewer_1!N162="","",Reviewer_1!N162)</x:f>
      </x:c>
      <x:c r="K162" s="20" t="str">
        <x:f>IF(Reviewer_2!N162="","",Reviewer_2!N162)</x:f>
      </x:c>
      <x:c r="L162" s="25"/>
      <x:c r="M162" s="25"/>
      <x:c r="N162" s="25"/>
      <x:c r="O162" s="20" t="str">
        <x:f>IF(OR(D162="",E162=""),"PENDING",IF(OR(D162&lt;&gt;E162,G162&lt;&gt;H162,J162&lt;&gt;K162),"CONFLICT","AGREE"))</x:f>
        <x:v>PENDING</x:v>
      </x:c>
    </x:row>
    <x:row r="163">
      <x:c r="A163" t="str">
        <x:v>ext-iqa-fail-052</x:v>
      </x:c>
      <x:c r="B163" s="20" t="str">
        <x:v>Does Renters Insurance Cover Sewage Backup?</x:v>
      </x:c>
      <x:c r="C163" s="20" t="str">
        <x:v>Renters insurance does not cover sewage backup on its own . I believe you will find that for the most part , property plicies will exclude any motor powered vehicles from coverage .</x:v>
      </x:c>
      <x:c r="D163" s="20" t="str">
        <x:f>IF(Reviewer_1!L163="","",Reviewer_1!L163)</x:f>
      </x:c>
      <x:c r="E163" s="20" t="str">
        <x:f>IF(Reviewer_2!L163="","",Reviewer_2!L163)</x:f>
      </x:c>
      <x:c r="F163" s="25"/>
      <x:c r="G163" s="20" t="str">
        <x:f>IF(Reviewer_1!M163="","",Reviewer_1!M163)</x:f>
      </x:c>
      <x:c r="H163" s="20" t="str">
        <x:f>IF(Reviewer_2!M163="","",Reviewer_2!M163)</x:f>
      </x:c>
      <x:c r="I163" s="25"/>
      <x:c r="J163" s="20" t="str">
        <x:f>IF(Reviewer_1!N163="","",Reviewer_1!N163)</x:f>
      </x:c>
      <x:c r="K163" s="20" t="str">
        <x:f>IF(Reviewer_2!N163="","",Reviewer_2!N163)</x:f>
      </x:c>
      <x:c r="L163" s="25"/>
      <x:c r="M163" s="25"/>
      <x:c r="N163" s="25"/>
      <x:c r="O163" s="20" t="str">
        <x:f>IF(OR(D163="",E163=""),"PENDING",IF(OR(D163&lt;&gt;E163,G163&lt;&gt;H163,J163&lt;&gt;K163),"CONFLICT","AGREE"))</x:f>
        <x:v>PENDING</x:v>
      </x:c>
    </x:row>
    <x:row r="164">
      <x:c r="A164" t="str">
        <x:v>ext-iqa-fail-053</x:v>
      </x:c>
      <x:c r="B164" s="20" t="str">
        <x:v>Will Annuity Rates Go Up?</x:v>
      </x:c>
      <x:c r="C164" s="20" t="str">
        <x:v>Annuity Rates are directly tied to the Fed Funds Rate &amp; to 10 Year Treasury Rates . You ca n't lose your principle and average GUARANTEED rates are around 2 % on the low end to 4 % on the high end .</x:v>
      </x:c>
      <x:c r="D164" s="20" t="str">
        <x:f>IF(Reviewer_1!L164="","",Reviewer_1!L164)</x:f>
      </x:c>
      <x:c r="E164" s="20" t="str">
        <x:f>IF(Reviewer_2!L164="","",Reviewer_2!L164)</x:f>
      </x:c>
      <x:c r="F164" s="25"/>
      <x:c r="G164" s="20" t="str">
        <x:f>IF(Reviewer_1!M164="","",Reviewer_1!M164)</x:f>
      </x:c>
      <x:c r="H164" s="20" t="str">
        <x:f>IF(Reviewer_2!M164="","",Reviewer_2!M164)</x:f>
      </x:c>
      <x:c r="I164" s="25"/>
      <x:c r="J164" s="20" t="str">
        <x:f>IF(Reviewer_1!N164="","",Reviewer_1!N164)</x:f>
      </x:c>
      <x:c r="K164" s="20" t="str">
        <x:f>IF(Reviewer_2!N164="","",Reviewer_2!N164)</x:f>
      </x:c>
      <x:c r="L164" s="25"/>
      <x:c r="M164" s="25"/>
      <x:c r="N164" s="25"/>
      <x:c r="O164" s="20" t="str">
        <x:f>IF(OR(D164="",E164=""),"PENDING",IF(OR(D164&lt;&gt;E164,G164&lt;&gt;H164,J164&lt;&gt;K164),"CONFLICT","AGREE"))</x:f>
        <x:v>PENDING</x:v>
      </x:c>
    </x:row>
    <x:row r="165">
      <x:c r="A165" t="str">
        <x:v>ext-iqa-fail-054</x:v>
      </x:c>
      <x:c r="B165" s="20" t="str">
        <x:v>What Is A Governmental 457 Retirement Plan?</x:v>
      </x:c>
      <x:c r="C165" s="20" t="str">
        <x:v>Assuming youre referring to 457 -LRB- b -RRB- retirement plans , 457 -LRB- b -RRB- deferred compensation plans that are available in government and non-government organizations under 501 -LRB- c -RRB- . Disciplined despots into a retirement plan from every paycheck , no matter how small can help you develop a habit that you 'll appreciate when you retire .</x:v>
      </x:c>
      <x:c r="D165" s="20" t="str">
        <x:f>IF(Reviewer_1!L165="","",Reviewer_1!L165)</x:f>
      </x:c>
      <x:c r="E165" s="20" t="str">
        <x:f>IF(Reviewer_2!L165="","",Reviewer_2!L165)</x:f>
      </x:c>
      <x:c r="F165" s="25"/>
      <x:c r="G165" s="20" t="str">
        <x:f>IF(Reviewer_1!M165="","",Reviewer_1!M165)</x:f>
      </x:c>
      <x:c r="H165" s="20" t="str">
        <x:f>IF(Reviewer_2!M165="","",Reviewer_2!M165)</x:f>
      </x:c>
      <x:c r="I165" s="25"/>
      <x:c r="J165" s="20" t="str">
        <x:f>IF(Reviewer_1!N165="","",Reviewer_1!N165)</x:f>
      </x:c>
      <x:c r="K165" s="20" t="str">
        <x:f>IF(Reviewer_2!N165="","",Reviewer_2!N165)</x:f>
      </x:c>
      <x:c r="L165" s="25"/>
      <x:c r="M165" s="25"/>
      <x:c r="N165" s="25"/>
      <x:c r="O165" s="20" t="str">
        <x:f>IF(OR(D165="",E165=""),"PENDING",IF(OR(D165&lt;&gt;E165,G165&lt;&gt;H165,J165&lt;&gt;K165),"CONFLICT","AGREE"))</x:f>
        <x:v>PENDING</x:v>
      </x:c>
    </x:row>
    <x:row r="166">
      <x:c r="A166" t="str">
        <x:v>ext-iqa-fail-055</x:v>
      </x:c>
      <x:c r="B166" s="20" t="str">
        <x:v>What Is Multiplan Health Insurance?</x:v>
      </x:c>
      <x:c r="C166" s="20" t="str">
        <x:v>Multiplan is a national PPO network that is used by some health insurance carriers either as a primary network or secondary . Starting in 2014 most all US citizens will be required to have an approved form of health insurance .</x:v>
      </x:c>
      <x:c r="D166" s="20" t="str">
        <x:f>IF(Reviewer_1!L166="","",Reviewer_1!L166)</x:f>
      </x:c>
      <x:c r="E166" s="20" t="str">
        <x:f>IF(Reviewer_2!L166="","",Reviewer_2!L166)</x:f>
      </x:c>
      <x:c r="F166" s="25"/>
      <x:c r="G166" s="20" t="str">
        <x:f>IF(Reviewer_1!M166="","",Reviewer_1!M166)</x:f>
      </x:c>
      <x:c r="H166" s="20" t="str">
        <x:f>IF(Reviewer_2!M166="","",Reviewer_2!M166)</x:f>
      </x:c>
      <x:c r="I166" s="25"/>
      <x:c r="J166" s="20" t="str">
        <x:f>IF(Reviewer_1!N166="","",Reviewer_1!N166)</x:f>
      </x:c>
      <x:c r="K166" s="20" t="str">
        <x:f>IF(Reviewer_2!N166="","",Reviewer_2!N166)</x:f>
      </x:c>
      <x:c r="L166" s="25"/>
      <x:c r="M166" s="25"/>
      <x:c r="N166" s="25"/>
      <x:c r="O166" s="20" t="str">
        <x:f>IF(OR(D166="",E166=""),"PENDING",IF(OR(D166&lt;&gt;E166,G166&lt;&gt;H166,J166&lt;&gt;K166),"CONFLICT","AGREE"))</x:f>
        <x:v>PENDING</x:v>
      </x:c>
    </x:row>
    <x:row r="167">
      <x:c r="A167" t="str">
        <x:v>ext-iqa-fail-056</x:v>
      </x:c>
      <x:c r="B167" s="20" t="str">
        <x:v>Does Subway Offer Health Insurance?</x:v>
      </x:c>
      <x:c r="C167" s="20" t="str">
        <x:v>With any Company , whether they provide employee health coverage or not will depend on many factors . It is possible for an employer to legally offer health insurance to some employees and not others using employment-based classifications .</x:v>
      </x:c>
      <x:c r="D167" s="20" t="str">
        <x:f>IF(Reviewer_1!L167="","",Reviewer_1!L167)</x:f>
      </x:c>
      <x:c r="E167" s="20" t="str">
        <x:f>IF(Reviewer_2!L167="","",Reviewer_2!L167)</x:f>
      </x:c>
      <x:c r="F167" s="25"/>
      <x:c r="G167" s="20" t="str">
        <x:f>IF(Reviewer_1!M167="","",Reviewer_1!M167)</x:f>
      </x:c>
      <x:c r="H167" s="20" t="str">
        <x:f>IF(Reviewer_2!M167="","",Reviewer_2!M167)</x:f>
      </x:c>
      <x:c r="I167" s="25"/>
      <x:c r="J167" s="20" t="str">
        <x:f>IF(Reviewer_1!N167="","",Reviewer_1!N167)</x:f>
      </x:c>
      <x:c r="K167" s="20" t="str">
        <x:f>IF(Reviewer_2!N167="","",Reviewer_2!N167)</x:f>
      </x:c>
      <x:c r="L167" s="25"/>
      <x:c r="M167" s="25"/>
      <x:c r="N167" s="25"/>
      <x:c r="O167" s="20" t="str">
        <x:f>IF(OR(D167="",E167=""),"PENDING",IF(OR(D167&lt;&gt;E167,G167&lt;&gt;H167,J167&lt;&gt;K167),"CONFLICT","AGREE"))</x:f>
        <x:v>PENDING</x:v>
      </x:c>
    </x:row>
    <x:row r="168">
      <x:c r="A168" t="str">
        <x:v>ext-iqa-fail-057</x:v>
      </x:c>
      <x:c r="B168" s="20" t="str">
        <x:v>How Does A Cash Balance Retirement Plan Work?</x:v>
      </x:c>
      <x:c r="C168" s="20" t="str">
        <x:v>Cash balance plans are qualified defined benefit plans under ERISA , the Employee Retirement Income Security Act of 1974 . Unfortunately the ability to cash out a retirement plan is very easy to do .</x:v>
      </x:c>
      <x:c r="D168" s="20" t="str">
        <x:f>IF(Reviewer_1!L168="","",Reviewer_1!L168)</x:f>
      </x:c>
      <x:c r="E168" s="20" t="str">
        <x:f>IF(Reviewer_2!L168="","",Reviewer_2!L168)</x:f>
      </x:c>
      <x:c r="F168" s="25"/>
      <x:c r="G168" s="20" t="str">
        <x:f>IF(Reviewer_1!M168="","",Reviewer_1!M168)</x:f>
      </x:c>
      <x:c r="H168" s="20" t="str">
        <x:f>IF(Reviewer_2!M168="","",Reviewer_2!M168)</x:f>
      </x:c>
      <x:c r="I168" s="25"/>
      <x:c r="J168" s="20" t="str">
        <x:f>IF(Reviewer_1!N168="","",Reviewer_1!N168)</x:f>
      </x:c>
      <x:c r="K168" s="20" t="str">
        <x:f>IF(Reviewer_2!N168="","",Reviewer_2!N168)</x:f>
      </x:c>
      <x:c r="L168" s="25"/>
      <x:c r="M168" s="25"/>
      <x:c r="N168" s="25"/>
      <x:c r="O168" s="20" t="str">
        <x:f>IF(OR(D168="",E168=""),"PENDING",IF(OR(D168&lt;&gt;E168,G168&lt;&gt;H168,J168&lt;&gt;K168),"CONFLICT","AGREE"))</x:f>
        <x:v>PENDING</x:v>
      </x:c>
    </x:row>
    <x:row r="169">
      <x:c r="A169" t="str">
        <x:v>ext-iqa-fail-058</x:v>
      </x:c>
      <x:c r="B169" s="20" t="str">
        <x:v>What Is The Best Critical Illness Insurance?</x:v>
      </x:c>
      <x:c r="C169" s="20" t="str">
        <x:v>The best critical illness insurance is that which has the best features . There is no one critical illness carrier or product that is the best option for all situations and all people .</x:v>
      </x:c>
      <x:c r="D169" s="20" t="str">
        <x:f>IF(Reviewer_1!L169="","",Reviewer_1!L169)</x:f>
      </x:c>
      <x:c r="E169" s="20" t="str">
        <x:f>IF(Reviewer_2!L169="","",Reviewer_2!L169)</x:f>
      </x:c>
      <x:c r="F169" s="25"/>
      <x:c r="G169" s="20" t="str">
        <x:f>IF(Reviewer_1!M169="","",Reviewer_1!M169)</x:f>
      </x:c>
      <x:c r="H169" s="20" t="str">
        <x:f>IF(Reviewer_2!M169="","",Reviewer_2!M169)</x:f>
      </x:c>
      <x:c r="I169" s="25"/>
      <x:c r="J169" s="20" t="str">
        <x:f>IF(Reviewer_1!N169="","",Reviewer_1!N169)</x:f>
      </x:c>
      <x:c r="K169" s="20" t="str">
        <x:f>IF(Reviewer_2!N169="","",Reviewer_2!N169)</x:f>
      </x:c>
      <x:c r="L169" s="25"/>
      <x:c r="M169" s="25"/>
      <x:c r="N169" s="25"/>
      <x:c r="O169" s="20" t="str">
        <x:f>IF(OR(D169="",E169=""),"PENDING",IF(OR(D169&lt;&gt;E169,G169&lt;&gt;H169,J169&lt;&gt;K169),"CONFLICT","AGREE"))</x:f>
        <x:v>PENDING</x:v>
      </x:c>
    </x:row>
    <x:row r="170">
      <x:c r="A170" t="str">
        <x:v>ext-iqa-fail-059</x:v>
      </x:c>
      <x:c r="B170" s="20" t="str">
        <x:v>What Is The Best Supplemental Insurance Plan For Medicare?</x:v>
      </x:c>
      <x:c r="C170" s="20" t="str">
        <x:v>You will define what is best based on your particular needs and budget . If you 're referring to Medicare Supplements , there is only one `` best '' ...</x:v>
      </x:c>
      <x:c r="D170" s="20" t="str">
        <x:f>IF(Reviewer_1!L170="","",Reviewer_1!L170)</x:f>
      </x:c>
      <x:c r="E170" s="20" t="str">
        <x:f>IF(Reviewer_2!L170="","",Reviewer_2!L170)</x:f>
      </x:c>
      <x:c r="F170" s="25"/>
      <x:c r="G170" s="20" t="str">
        <x:f>IF(Reviewer_1!M170="","",Reviewer_1!M170)</x:f>
      </x:c>
      <x:c r="H170" s="20" t="str">
        <x:f>IF(Reviewer_2!M170="","",Reviewer_2!M170)</x:f>
      </x:c>
      <x:c r="I170" s="25"/>
      <x:c r="J170" s="20" t="str">
        <x:f>IF(Reviewer_1!N170="","",Reviewer_1!N170)</x:f>
      </x:c>
      <x:c r="K170" s="20" t="str">
        <x:f>IF(Reviewer_2!N170="","",Reviewer_2!N170)</x:f>
      </x:c>
      <x:c r="L170" s="25"/>
      <x:c r="M170" s="25"/>
      <x:c r="N170" s="25"/>
      <x:c r="O170" s="20" t="str">
        <x:f>IF(OR(D170="",E170=""),"PENDING",IF(OR(D170&lt;&gt;E170,G170&lt;&gt;H170,J170&lt;&gt;K170),"CONFLICT","AGREE"))</x:f>
        <x:v>PENDING</x:v>
      </x:c>
    </x:row>
    <x:row r="171">
      <x:c r="A171" t="str">
        <x:v>ext-iqa-fail-060</x:v>
      </x:c>
      <x:c r="B171" s="20" t="str">
        <x:v>Why Is It So Hard To Sell Life Insurance?</x:v>
      </x:c>
      <x:c r="C171" s="20" t="str">
        <x:v>The vast majority of consumer centered advisers sell the appropriate life insurance product to meet the prospective purchasers personal suitability requirements . As an agent the best time to explain a whole life policy is when the person needs a permanent solution .</x:v>
      </x:c>
      <x:c r="D171" s="20" t="str">
        <x:f>IF(Reviewer_1!L171="","",Reviewer_1!L171)</x:f>
      </x:c>
      <x:c r="E171" s="20" t="str">
        <x:f>IF(Reviewer_2!L171="","",Reviewer_2!L171)</x:f>
      </x:c>
      <x:c r="F171" s="25"/>
      <x:c r="G171" s="20" t="str">
        <x:f>IF(Reviewer_1!M171="","",Reviewer_1!M171)</x:f>
      </x:c>
      <x:c r="H171" s="20" t="str">
        <x:f>IF(Reviewer_2!M171="","",Reviewer_2!M171)</x:f>
      </x:c>
      <x:c r="I171" s="25"/>
      <x:c r="J171" s="20" t="str">
        <x:f>IF(Reviewer_1!N171="","",Reviewer_1!N171)</x:f>
      </x:c>
      <x:c r="K171" s="20" t="str">
        <x:f>IF(Reviewer_2!N171="","",Reviewer_2!N171)</x:f>
      </x:c>
      <x:c r="L171" s="25"/>
      <x:c r="M171" s="25"/>
      <x:c r="N171" s="25"/>
      <x:c r="O171" s="20" t="str">
        <x:f>IF(OR(D171="",E171=""),"PENDING",IF(OR(D171&lt;&gt;E171,G171&lt;&gt;H171,J171&lt;&gt;K171),"CONFLICT","AGREE"))</x:f>
        <x:v>PENDING</x:v>
      </x:c>
    </x:row>
    <x:row r="172">
      <x:c r="A172" t="str">
        <x:v>ext-iqa-fail-061</x:v>
      </x:c>
      <x:c r="B172" s="20" t="str">
        <x:v>Does Nationwide Offer Renters Insurance?</x:v>
      </x:c>
      <x:c r="C172" s="20" t="str">
        <x:v>The supplied context does not contain enough information to answer this question.</x:v>
      </x:c>
      <x:c r="D172" s="20" t="str">
        <x:f>IF(Reviewer_1!L172="","",Reviewer_1!L172)</x:f>
      </x:c>
      <x:c r="E172" s="20" t="str">
        <x:f>IF(Reviewer_2!L172="","",Reviewer_2!L172)</x:f>
      </x:c>
      <x:c r="F172" s="25"/>
      <x:c r="G172" s="20" t="str">
        <x:f>IF(Reviewer_1!M172="","",Reviewer_1!M172)</x:f>
      </x:c>
      <x:c r="H172" s="20" t="str">
        <x:f>IF(Reviewer_2!M172="","",Reviewer_2!M172)</x:f>
      </x:c>
      <x:c r="I172" s="25"/>
      <x:c r="J172" s="20" t="str">
        <x:f>IF(Reviewer_1!N172="","",Reviewer_1!N172)</x:f>
      </x:c>
      <x:c r="K172" s="20" t="str">
        <x:f>IF(Reviewer_2!N172="","",Reviewer_2!N172)</x:f>
      </x:c>
      <x:c r="L172" s="25"/>
      <x:c r="M172" s="25"/>
      <x:c r="N172" s="25"/>
      <x:c r="O172" s="20" t="str">
        <x:f>IF(OR(D172="",E172=""),"PENDING",IF(OR(D172&lt;&gt;E172,G172&lt;&gt;H172,J172&lt;&gt;K172),"CONFLICT","AGREE"))</x:f>
        <x:v>PENDING</x:v>
      </x:c>
    </x:row>
    <x:row r="173">
      <x:c r="A173" t="str">
        <x:v>ext-iqa-fail-062</x:v>
      </x:c>
      <x:c r="B173" s="20" t="str">
        <x:v>Does Home Insurance Automatically Renew?</x:v>
      </x:c>
      <x:c r="C173" s="20" t="str">
        <x:v>The supplied context does not contain enough information to answer this question.</x:v>
      </x:c>
      <x:c r="D173" s="20" t="str">
        <x:f>IF(Reviewer_1!L173="","",Reviewer_1!L173)</x:f>
      </x:c>
      <x:c r="E173" s="20" t="str">
        <x:f>IF(Reviewer_2!L173="","",Reviewer_2!L173)</x:f>
      </x:c>
      <x:c r="F173" s="25"/>
      <x:c r="G173" s="20" t="str">
        <x:f>IF(Reviewer_1!M173="","",Reviewer_1!M173)</x:f>
      </x:c>
      <x:c r="H173" s="20" t="str">
        <x:f>IF(Reviewer_2!M173="","",Reviewer_2!M173)</x:f>
      </x:c>
      <x:c r="I173" s="25"/>
      <x:c r="J173" s="20" t="str">
        <x:f>IF(Reviewer_1!N173="","",Reviewer_1!N173)</x:f>
      </x:c>
      <x:c r="K173" s="20" t="str">
        <x:f>IF(Reviewer_2!N173="","",Reviewer_2!N173)</x:f>
      </x:c>
      <x:c r="L173" s="25"/>
      <x:c r="M173" s="25"/>
      <x:c r="N173" s="25"/>
      <x:c r="O173" s="20" t="str">
        <x:f>IF(OR(D173="",E173=""),"PENDING",IF(OR(D173&lt;&gt;E173,G173&lt;&gt;H173,J173&lt;&gt;K173),"CONFLICT","AGREE"))</x:f>
        <x:v>PENDING</x:v>
      </x:c>
    </x:row>
    <x:row r="174">
      <x:c r="A174" t="str">
        <x:v>ext-iqa-fail-063</x:v>
      </x:c>
      <x:c r="B174" s="20" t="str">
        <x:v>How Much Does Long Term Care Insurance Cover?</x:v>
      </x:c>
      <x:c r="C174" s="20" t="str">
        <x:v>The supplied context does not contain enough information to answer this question.</x:v>
      </x:c>
      <x:c r="D174" s="20" t="str">
        <x:f>IF(Reviewer_1!L174="","",Reviewer_1!L174)</x:f>
      </x:c>
      <x:c r="E174" s="20" t="str">
        <x:f>IF(Reviewer_2!L174="","",Reviewer_2!L174)</x:f>
      </x:c>
      <x:c r="F174" s="25"/>
      <x:c r="G174" s="20" t="str">
        <x:f>IF(Reviewer_1!M174="","",Reviewer_1!M174)</x:f>
      </x:c>
      <x:c r="H174" s="20" t="str">
        <x:f>IF(Reviewer_2!M174="","",Reviewer_2!M174)</x:f>
      </x:c>
      <x:c r="I174" s="25"/>
      <x:c r="J174" s="20" t="str">
        <x:f>IF(Reviewer_1!N174="","",Reviewer_1!N174)</x:f>
      </x:c>
      <x:c r="K174" s="20" t="str">
        <x:f>IF(Reviewer_2!N174="","",Reviewer_2!N174)</x:f>
      </x:c>
      <x:c r="L174" s="25"/>
      <x:c r="M174" s="25"/>
      <x:c r="N174" s="25"/>
      <x:c r="O174" s="20" t="str">
        <x:f>IF(OR(D174="",E174=""),"PENDING",IF(OR(D174&lt;&gt;E174,G174&lt;&gt;H174,J174&lt;&gt;K174),"CONFLICT","AGREE"))</x:f>
        <x:v>PENDING</x:v>
      </x:c>
    </x:row>
    <x:row r="175">
      <x:c r="A175" t="str">
        <x:v>ext-iqa-fail-064</x:v>
      </x:c>
      <x:c r="B175" s="20" t="str">
        <x:v>Why Get Critical Illness Insurance?</x:v>
      </x:c>
      <x:c r="C175" s="20" t="str">
        <x:v>The supplied context does not contain enough information to answer this question.</x:v>
      </x:c>
      <x:c r="D175" s="20" t="str">
        <x:f>IF(Reviewer_1!L175="","",Reviewer_1!L175)</x:f>
      </x:c>
      <x:c r="E175" s="20" t="str">
        <x:f>IF(Reviewer_2!L175="","",Reviewer_2!L175)</x:f>
      </x:c>
      <x:c r="F175" s="25"/>
      <x:c r="G175" s="20" t="str">
        <x:f>IF(Reviewer_1!M175="","",Reviewer_1!M175)</x:f>
      </x:c>
      <x:c r="H175" s="20" t="str">
        <x:f>IF(Reviewer_2!M175="","",Reviewer_2!M175)</x:f>
      </x:c>
      <x:c r="I175" s="25"/>
      <x:c r="J175" s="20" t="str">
        <x:f>IF(Reviewer_1!N175="","",Reviewer_1!N175)</x:f>
      </x:c>
      <x:c r="K175" s="20" t="str">
        <x:f>IF(Reviewer_2!N175="","",Reviewer_2!N175)</x:f>
      </x:c>
      <x:c r="L175" s="25"/>
      <x:c r="M175" s="25"/>
      <x:c r="N175" s="25"/>
      <x:c r="O175" s="20" t="str">
        <x:f>IF(OR(D175="",E175=""),"PENDING",IF(OR(D175&lt;&gt;E175,G175&lt;&gt;H175,J175&lt;&gt;K175),"CONFLICT","AGREE"))</x:f>
        <x:v>PENDING</x:v>
      </x:c>
    </x:row>
    <x:row r="176">
      <x:c r="A176" t="str">
        <x:v>ext-iqa-fail-065</x:v>
      </x:c>
      <x:c r="B176" s="20" t="str">
        <x:v>Can You Visit A Doctor Without Health Insurance?</x:v>
      </x:c>
      <x:c r="C176" s="20" t="str">
        <x:v>The supplied context does not contain enough information to answer this question.</x:v>
      </x:c>
      <x:c r="D176" s="20" t="str">
        <x:f>IF(Reviewer_1!L176="","",Reviewer_1!L176)</x:f>
      </x:c>
      <x:c r="E176" s="20" t="str">
        <x:f>IF(Reviewer_2!L176="","",Reviewer_2!L176)</x:f>
      </x:c>
      <x:c r="F176" s="25"/>
      <x:c r="G176" s="20" t="str">
        <x:f>IF(Reviewer_1!M176="","",Reviewer_1!M176)</x:f>
      </x:c>
      <x:c r="H176" s="20" t="str">
        <x:f>IF(Reviewer_2!M176="","",Reviewer_2!M176)</x:f>
      </x:c>
      <x:c r="I176" s="25"/>
      <x:c r="J176" s="20" t="str">
        <x:f>IF(Reviewer_1!N176="","",Reviewer_1!N176)</x:f>
      </x:c>
      <x:c r="K176" s="20" t="str">
        <x:f>IF(Reviewer_2!N176="","",Reviewer_2!N176)</x:f>
      </x:c>
      <x:c r="L176" s="25"/>
      <x:c r="M176" s="25"/>
      <x:c r="N176" s="25"/>
      <x:c r="O176" s="20" t="str">
        <x:f>IF(OR(D176="",E176=""),"PENDING",IF(OR(D176&lt;&gt;E176,G176&lt;&gt;H176,J176&lt;&gt;K176),"CONFLICT","AGREE"))</x:f>
        <x:v>PENDING</x:v>
      </x:c>
    </x:row>
    <x:row r="177">
      <x:c r="A177" t="str">
        <x:v>ext-iqa-fail-066</x:v>
      </x:c>
      <x:c r="B177" s="20" t="str">
        <x:v>What Are The Current Interest Rates On Annuities?</x:v>
      </x:c>
      <x:c r="C177" s="20" t="str">
        <x:v>The supplied context does not contain enough information to answer this question.</x:v>
      </x:c>
      <x:c r="D177" s="20" t="str">
        <x:f>IF(Reviewer_1!L177="","",Reviewer_1!L177)</x:f>
      </x:c>
      <x:c r="E177" s="20" t="str">
        <x:f>IF(Reviewer_2!L177="","",Reviewer_2!L177)</x:f>
      </x:c>
      <x:c r="F177" s="25"/>
      <x:c r="G177" s="20" t="str">
        <x:f>IF(Reviewer_1!M177="","",Reviewer_1!M177)</x:f>
      </x:c>
      <x:c r="H177" s="20" t="str">
        <x:f>IF(Reviewer_2!M177="","",Reviewer_2!M177)</x:f>
      </x:c>
      <x:c r="I177" s="25"/>
      <x:c r="J177" s="20" t="str">
        <x:f>IF(Reviewer_1!N177="","",Reviewer_1!N177)</x:f>
      </x:c>
      <x:c r="K177" s="20" t="str">
        <x:f>IF(Reviewer_2!N177="","",Reviewer_2!N177)</x:f>
      </x:c>
      <x:c r="L177" s="25"/>
      <x:c r="M177" s="25"/>
      <x:c r="N177" s="25"/>
      <x:c r="O177" s="20" t="str">
        <x:f>IF(OR(D177="",E177=""),"PENDING",IF(OR(D177&lt;&gt;E177,G177&lt;&gt;H177,J177&lt;&gt;K177),"CONFLICT","AGREE"))</x:f>
        <x:v>PENDING</x:v>
      </x:c>
    </x:row>
    <x:row r="178">
      <x:c r="A178" t="str">
        <x:v>ext-iqa-fail-067</x:v>
      </x:c>
      <x:c r="B178" s="20" t="str">
        <x:v>How Does Car Insurance Value Totaled Car?</x:v>
      </x:c>
      <x:c r="C178" s="20" t="str">
        <x:v>The supplied context does not contain enough information to answer this question.</x:v>
      </x:c>
      <x:c r="D178" s="20" t="str">
        <x:f>IF(Reviewer_1!L178="","",Reviewer_1!L178)</x:f>
      </x:c>
      <x:c r="E178" s="20" t="str">
        <x:f>IF(Reviewer_2!L178="","",Reviewer_2!L178)</x:f>
      </x:c>
      <x:c r="F178" s="25"/>
      <x:c r="G178" s="20" t="str">
        <x:f>IF(Reviewer_1!M178="","",Reviewer_1!M178)</x:f>
      </x:c>
      <x:c r="H178" s="20" t="str">
        <x:f>IF(Reviewer_2!M178="","",Reviewer_2!M178)</x:f>
      </x:c>
      <x:c r="I178" s="25"/>
      <x:c r="J178" s="20" t="str">
        <x:f>IF(Reviewer_1!N178="","",Reviewer_1!N178)</x:f>
      </x:c>
      <x:c r="K178" s="20" t="str">
        <x:f>IF(Reviewer_2!N178="","",Reviewer_2!N178)</x:f>
      </x:c>
      <x:c r="L178" s="25"/>
      <x:c r="M178" s="25"/>
      <x:c r="N178" s="25"/>
      <x:c r="O178" s="20" t="str">
        <x:f>IF(OR(D178="",E178=""),"PENDING",IF(OR(D178&lt;&gt;E178,G178&lt;&gt;H178,J178&lt;&gt;K178),"CONFLICT","AGREE"))</x:f>
        <x:v>PENDING</x:v>
      </x:c>
    </x:row>
    <x:row r="179">
      <x:c r="A179" t="str">
        <x:v>ext-iqa-fail-068</x:v>
      </x:c>
      <x:c r="B179" s="20" t="str">
        <x:v>What Is A Group Universal Life Insurance Policy?</x:v>
      </x:c>
      <x:c r="C179" s="20" t="str">
        <x:v>The supplied context does not contain enough information to answer this question.</x:v>
      </x:c>
      <x:c r="D179" s="20" t="str">
        <x:f>IF(Reviewer_1!L179="","",Reviewer_1!L179)</x:f>
      </x:c>
      <x:c r="E179" s="20" t="str">
        <x:f>IF(Reviewer_2!L179="","",Reviewer_2!L179)</x:f>
      </x:c>
      <x:c r="F179" s="25"/>
      <x:c r="G179" s="20" t="str">
        <x:f>IF(Reviewer_1!M179="","",Reviewer_1!M179)</x:f>
      </x:c>
      <x:c r="H179" s="20" t="str">
        <x:f>IF(Reviewer_2!M179="","",Reviewer_2!M179)</x:f>
      </x:c>
      <x:c r="I179" s="25"/>
      <x:c r="J179" s="20" t="str">
        <x:f>IF(Reviewer_1!N179="","",Reviewer_1!N179)</x:f>
      </x:c>
      <x:c r="K179" s="20" t="str">
        <x:f>IF(Reviewer_2!N179="","",Reviewer_2!N179)</x:f>
      </x:c>
      <x:c r="L179" s="25"/>
      <x:c r="M179" s="25"/>
      <x:c r="N179" s="25"/>
      <x:c r="O179" s="20" t="str">
        <x:f>IF(OR(D179="",E179=""),"PENDING",IF(OR(D179&lt;&gt;E179,G179&lt;&gt;H179,J179&lt;&gt;K179),"CONFLICT","AGREE"))</x:f>
        <x:v>PENDING</x:v>
      </x:c>
    </x:row>
    <x:row r="180">
      <x:c r="A180" t="str">
        <x:v>ext-iqa-fail-069</x:v>
      </x:c>
      <x:c r="B180" s="20" t="str">
        <x:v>Can Group Health Insurance Deny Pregnancy?</x:v>
      </x:c>
      <x:c r="C180" s="20" t="str">
        <x:v>The supplied context does not contain enough information to answer this question.</x:v>
      </x:c>
      <x:c r="D180" s="20" t="str">
        <x:f>IF(Reviewer_1!L180="","",Reviewer_1!L180)</x:f>
      </x:c>
      <x:c r="E180" s="20" t="str">
        <x:f>IF(Reviewer_2!L180="","",Reviewer_2!L180)</x:f>
      </x:c>
      <x:c r="F180" s="25"/>
      <x:c r="G180" s="20" t="str">
        <x:f>IF(Reviewer_1!M180="","",Reviewer_1!M180)</x:f>
      </x:c>
      <x:c r="H180" s="20" t="str">
        <x:f>IF(Reviewer_2!M180="","",Reviewer_2!M180)</x:f>
      </x:c>
      <x:c r="I180" s="25"/>
      <x:c r="J180" s="20" t="str">
        <x:f>IF(Reviewer_1!N180="","",Reviewer_1!N180)</x:f>
      </x:c>
      <x:c r="K180" s="20" t="str">
        <x:f>IF(Reviewer_2!N180="","",Reviewer_2!N180)</x:f>
      </x:c>
      <x:c r="L180" s="25"/>
      <x:c r="M180" s="25"/>
      <x:c r="N180" s="25"/>
      <x:c r="O180" s="20" t="str">
        <x:f>IF(OR(D180="",E180=""),"PENDING",IF(OR(D180&lt;&gt;E180,G180&lt;&gt;H180,J180&lt;&gt;K180),"CONFLICT","AGREE"))</x:f>
        <x:v>PENDING</x:v>
      </x:c>
    </x:row>
    <x:row r="181">
      <x:c r="A181" t="str">
        <x:v>ext-iqa-fail-070</x:v>
      </x:c>
      <x:c r="B181" s="20" t="str">
        <x:v>How Can I Cancel Medicare Part B?</x:v>
      </x:c>
      <x:c r="C181" s="20" t="str">
        <x:v>The supplied context does not contain enough information to answer this question.</x:v>
      </x:c>
      <x:c r="D181" s="20" t="str">
        <x:f>IF(Reviewer_1!L181="","",Reviewer_1!L181)</x:f>
      </x:c>
      <x:c r="E181" s="20" t="str">
        <x:f>IF(Reviewer_2!L181="","",Reviewer_2!L181)</x:f>
      </x:c>
      <x:c r="F181" s="25"/>
      <x:c r="G181" s="20" t="str">
        <x:f>IF(Reviewer_1!M181="","",Reviewer_1!M181)</x:f>
      </x:c>
      <x:c r="H181" s="20" t="str">
        <x:f>IF(Reviewer_2!M181="","",Reviewer_2!M181)</x:f>
      </x:c>
      <x:c r="I181" s="25"/>
      <x:c r="J181" s="20" t="str">
        <x:f>IF(Reviewer_1!N181="","",Reviewer_1!N181)</x:f>
      </x:c>
      <x:c r="K181" s="20" t="str">
        <x:f>IF(Reviewer_2!N181="","",Reviewer_2!N181)</x:f>
      </x:c>
      <x:c r="L181" s="25"/>
      <x:c r="M181" s="25"/>
      <x:c r="N181" s="25"/>
      <x:c r="O181" s="20" t="str">
        <x:f>IF(OR(D181="",E181=""),"PENDING",IF(OR(D181&lt;&gt;E181,G181&lt;&gt;H181,J181&lt;&gt;K181),"CONFLICT","AGREE"))</x:f>
        <x:v>PENDING</x:v>
      </x:c>
    </x:row>
    <x:row r="182">
      <x:c r="A182" t="str">
        <x:v>ext-iqa-fail-071</x:v>
      </x:c>
      <x:c r="B182" s="20" t="str">
        <x:v>How Much Should Health Insurance Cost?</x:v>
      </x:c>
      <x:c r="C182" s="20" t="str">
        <x:v>How much you should be paying is a hard figure to try and quantify . The average cost in the country for a health insurance plan is $ 328 per month - however , this is only reflective upon a silver level plan -LRB- not all 2014 state figure averages are available yet -RRB- . While you can try to come up with an `` average '' cost , there 's too many factors that go into premium pricing to say how in relation that compares to you . In short , an `` average '' premium is a rather useless figure to the individual . It 's only representative to a large group - you could have people paying a small nominal amount -LRB- after factoring in subsidies -RRB- per month to several thousand dollars per month . Even for that there 's a ton of information to sift through to get an accurate representation . Under the Affordable Care Act , you have the options for bronze , silver , gold , and platinum level plans -LRB- as you go up in metal , the price goes up , but provides better benefits -RRB- - some areas also have a catastrophic plan available . In addition , your age is a big factor as well . The younger you are , the cheaper your premium - the older you are , the higher your premium . Also , if you use tobacco products , your premium can be increased up to 60 % as well . You may be able to qualify for a subsidy that can be used to reduce the cost of your health insurance premiums . I always recommend consulting with an experienced broker . We can help you determine the plan that 's going to be most suitable for your needs and budget . Please feel free to contact me for further assistance . Thanks very much .</x:v>
      </x:c>
      <x:c r="D182" s="20" t="str">
        <x:f>IF(Reviewer_1!L182="","",Reviewer_1!L182)</x:f>
      </x:c>
      <x:c r="E182" s="20" t="str">
        <x:f>IF(Reviewer_2!L182="","",Reviewer_2!L182)</x:f>
      </x:c>
      <x:c r="F182" s="25"/>
      <x:c r="G182" s="20" t="str">
        <x:f>IF(Reviewer_1!M182="","",Reviewer_1!M182)</x:f>
      </x:c>
      <x:c r="H182" s="20" t="str">
        <x:f>IF(Reviewer_2!M182="","",Reviewer_2!M182)</x:f>
      </x:c>
      <x:c r="I182" s="25"/>
      <x:c r="J182" s="20" t="str">
        <x:f>IF(Reviewer_1!N182="","",Reviewer_1!N182)</x:f>
      </x:c>
      <x:c r="K182" s="20" t="str">
        <x:f>IF(Reviewer_2!N182="","",Reviewer_2!N182)</x:f>
      </x:c>
      <x:c r="L182" s="25"/>
      <x:c r="M182" s="25"/>
      <x:c r="N182" s="25"/>
      <x:c r="O182" s="20" t="str">
        <x:f>IF(OR(D182="",E182=""),"PENDING",IF(OR(D182&lt;&gt;E182,G182&lt;&gt;H182,J182&lt;&gt;K182),"CONFLICT","AGREE"))</x:f>
        <x:v>PENDING</x:v>
      </x:c>
    </x:row>
    <x:row r="183">
      <x:c r="A183" t="str">
        <x:v>ext-iqa-fail-072</x:v>
      </x:c>
      <x:c r="B183" s="20" t="str">
        <x:v>Does Medicare Cover Breast Ultrasounds?</x:v>
      </x:c>
      <x:c r="C183" s="20" t="str">
        <x:v>Ultrasounds are covered under Medicare . If they 're completed as an inpatient in a hospital , it would be covered by Part A . If they 're completed on an outpatient basis , it would be covered under Part B. Medicare typically pays for about 90 % of the expenses - you would be responsible for paying the other 20 % . A Medicare supplement policy can help pay the remaining 20 % .</x:v>
      </x:c>
      <x:c r="D183" s="20" t="str">
        <x:f>IF(Reviewer_1!L183="","",Reviewer_1!L183)</x:f>
      </x:c>
      <x:c r="E183" s="20" t="str">
        <x:f>IF(Reviewer_2!L183="","",Reviewer_2!L183)</x:f>
      </x:c>
      <x:c r="F183" s="25"/>
      <x:c r="G183" s="20" t="str">
        <x:f>IF(Reviewer_1!M183="","",Reviewer_1!M183)</x:f>
      </x:c>
      <x:c r="H183" s="20" t="str">
        <x:f>IF(Reviewer_2!M183="","",Reviewer_2!M183)</x:f>
      </x:c>
      <x:c r="I183" s="25"/>
      <x:c r="J183" s="20" t="str">
        <x:f>IF(Reviewer_1!N183="","",Reviewer_1!N183)</x:f>
      </x:c>
      <x:c r="K183" s="20" t="str">
        <x:f>IF(Reviewer_2!N183="","",Reviewer_2!N183)</x:f>
      </x:c>
      <x:c r="L183" s="25"/>
      <x:c r="M183" s="25"/>
      <x:c r="N183" s="25"/>
      <x:c r="O183" s="20" t="str">
        <x:f>IF(OR(D183="",E183=""),"PENDING",IF(OR(D183&lt;&gt;E183,G183&lt;&gt;H183,J183&lt;&gt;K183),"CONFLICT","AGREE"))</x:f>
        <x:v>PENDING</x:v>
      </x:c>
    </x:row>
    <x:row r="184">
      <x:c r="A184" t="str">
        <x:v>ext-iqa-fail-073</x:v>
      </x:c>
      <x:c r="B184" s="20" t="str">
        <x:v>How To Keep Health Insurance Between Jobs?</x:v>
      </x:c>
      <x:c r="C184" s="20" t="str">
        <x:v>How to keep health insurance between jobs ? if your employer is large enough -LRB- 20 people at work on a given day -RRB- you have an option for COBRA continuation which means you can continue your group coverage for up to 18 months or longer -LRB- depending on certain conditions -RRB- at your expense plus a small handling charge -LRB- 92 % of premium cost -RRB- . If you find that cost to be too much for your budget , you can look to both the individual market or temporary health insurance market for possible solutions . You may not get exactly the same coverage as offered by your former employer , but the cost might be considerably less .</x:v>
      </x:c>
      <x:c r="D184" s="20" t="str">
        <x:f>IF(Reviewer_1!L184="","",Reviewer_1!L184)</x:f>
      </x:c>
      <x:c r="E184" s="20" t="str">
        <x:f>IF(Reviewer_2!L184="","",Reviewer_2!L184)</x:f>
      </x:c>
      <x:c r="F184" s="25"/>
      <x:c r="G184" s="20" t="str">
        <x:f>IF(Reviewer_1!M184="","",Reviewer_1!M184)</x:f>
      </x:c>
      <x:c r="H184" s="20" t="str">
        <x:f>IF(Reviewer_2!M184="","",Reviewer_2!M184)</x:f>
      </x:c>
      <x:c r="I184" s="25"/>
      <x:c r="J184" s="20" t="str">
        <x:f>IF(Reviewer_1!N184="","",Reviewer_1!N184)</x:f>
      </x:c>
      <x:c r="K184" s="20" t="str">
        <x:f>IF(Reviewer_2!N184="","",Reviewer_2!N184)</x:f>
      </x:c>
      <x:c r="L184" s="25"/>
      <x:c r="M184" s="25"/>
      <x:c r="N184" s="25"/>
      <x:c r="O184" s="20" t="str">
        <x:f>IF(OR(D184="",E184=""),"PENDING",IF(OR(D184&lt;&gt;E184,G184&lt;&gt;H184,J184&lt;&gt;K184),"CONFLICT","AGREE"))</x:f>
        <x:v>PENDING</x:v>
      </x:c>
    </x:row>
    <x:row r="185">
      <x:c r="A185" t="str">
        <x:v>ext-iqa-fail-074</x:v>
      </x:c>
      <x:c r="B185" s="20" t="str">
        <x:v>Does Homeowners Insurance Cover Property During Move?</x:v>
      </x:c>
      <x:c r="C185" s="20" t="str">
        <x:v>The personal property covered under a homeowners policy is covered at full value in a new home for 30 days under most circumstances . However , the limit of coverage is only 20 % of the normal personal property limit while the property is outside the old residence and not in the new . If you are planning a move , contact your insurance agent for advice on how to minimize your exposure and provide adequate protection for your property .</x:v>
      </x:c>
      <x:c r="D185" s="20" t="str">
        <x:f>IF(Reviewer_1!L185="","",Reviewer_1!L185)</x:f>
      </x:c>
      <x:c r="E185" s="20" t="str">
        <x:f>IF(Reviewer_2!L185="","",Reviewer_2!L185)</x:f>
      </x:c>
      <x:c r="F185" s="25"/>
      <x:c r="G185" s="20" t="str">
        <x:f>IF(Reviewer_1!M185="","",Reviewer_1!M185)</x:f>
      </x:c>
      <x:c r="H185" s="20" t="str">
        <x:f>IF(Reviewer_2!M185="","",Reviewer_2!M185)</x:f>
      </x:c>
      <x:c r="I185" s="25"/>
      <x:c r="J185" s="20" t="str">
        <x:f>IF(Reviewer_1!N185="","",Reviewer_1!N185)</x:f>
      </x:c>
      <x:c r="K185" s="20" t="str">
        <x:f>IF(Reviewer_2!N185="","",Reviewer_2!N185)</x:f>
      </x:c>
      <x:c r="L185" s="25"/>
      <x:c r="M185" s="25"/>
      <x:c r="N185" s="25"/>
      <x:c r="O185" s="20" t="str">
        <x:f>IF(OR(D185="",E185=""),"PENDING",IF(OR(D185&lt;&gt;E185,G185&lt;&gt;H185,J185&lt;&gt;K185),"CONFLICT","AGREE"))</x:f>
        <x:v>PENDING</x:v>
      </x:c>
    </x:row>
    <x:row r="186">
      <x:c r="A186" t="str">
        <x:v>ext-iqa-fail-075</x:v>
      </x:c>
      <x:c r="B186" s="20" t="str">
        <x:v>What Is Extended Coverage Homeowners Insurance?</x:v>
      </x:c>
      <x:c r="C186" s="20" t="str">
        <x:v>Different companies and different states have different nomenclature for coverages . What this typically means is limit that coverage extends to another higher limit in the event of a total loss exceeding the Coverage A -LRB- homeowner Dwelling limit -RRB- . If you have a replacement value of say 400,000 on the house , then the maximum that would normally be paid for replacing the house would be $ 400,000 . But setting the value of replacement is not exact science and is also a moving target . If your home is destroyed by a fire it may be possible to rebuild within that 400,000 limit . But suppose the the city you live in is ripped apart by a tornado . Now there could be escalating costs of material and labor . What the extension does is give you an extension to another limit if needed . The extensions are usually sold in percentage increments such as 35 % ,50 % or even 100 % . So , back to the 400,000 coverage on the house . If 25 % extension then the limit of coverage is increased to a maximum of 500,000 -LRB- 400,000 X 1.25 -RRB- I hope that helps . If you live in one of the following states I would be glad to assist you : AZ , CA , MO , TX and GA. -LRB- call 1.866-933-4372 -RRB- otherwise seek out an Independent agent in your area who represents sever companies . Jack Heller , CPCU</x:v>
      </x:c>
      <x:c r="D186" s="20" t="str">
        <x:f>IF(Reviewer_1!L186="","",Reviewer_1!L186)</x:f>
      </x:c>
      <x:c r="E186" s="20" t="str">
        <x:f>IF(Reviewer_2!L186="","",Reviewer_2!L186)</x:f>
      </x:c>
      <x:c r="F186" s="25"/>
      <x:c r="G186" s="20" t="str">
        <x:f>IF(Reviewer_1!M186="","",Reviewer_1!M186)</x:f>
      </x:c>
      <x:c r="H186" s="20" t="str">
        <x:f>IF(Reviewer_2!M186="","",Reviewer_2!M186)</x:f>
      </x:c>
      <x:c r="I186" s="25"/>
      <x:c r="J186" s="20" t="str">
        <x:f>IF(Reviewer_1!N186="","",Reviewer_1!N186)</x:f>
      </x:c>
      <x:c r="K186" s="20" t="str">
        <x:f>IF(Reviewer_2!N186="","",Reviewer_2!N186)</x:f>
      </x:c>
      <x:c r="L186" s="25"/>
      <x:c r="M186" s="25"/>
      <x:c r="N186" s="25"/>
      <x:c r="O186" s="20" t="str">
        <x:f>IF(OR(D186="",E186=""),"PENDING",IF(OR(D186&lt;&gt;E186,G186&lt;&gt;H186,J186&lt;&gt;K186),"CONFLICT","AGREE"))</x:f>
        <x:v>PENDING</x:v>
      </x:c>
    </x:row>
    <x:row r="187">
      <x:c r="A187" t="str">
        <x:v>ext-iqa-fail-076</x:v>
      </x:c>
      <x:c r="B187" s="20" t="str">
        <x:v>Why Is A 401K Loan A Bad Idea?</x:v>
      </x:c>
      <x:c r="C187" s="20" t="str">
        <x:v>That is a great question ! There are some reasons why taking a loan out of your 401k might not be the best option . Before doing so , please consult your plan administrator and be certain to understand the rules for your particular plan . The first reason is that you may lose the ability to contribute to your fund while your loan is outstanding . Some companies will disallow contributions or matches until the loan is repaid . That can seriously derail your long term growth potential of your plan . Other companies will deduct the loan payments from your check , reducing your flexibility with other payments . The second reason is that you lose your tax sheltered advantage . The interest that you are paying yourself on the loan -LRB- you are both borrower and lender in the transaction -RRB- is considered a taxable income by the IRS , and reduces your returns . It 's also possible that the opportunity cost of having invested that repaid interest could be more than what you 'd make having used it in an investment . The third reason is that if you were to God forbid lose your job , the loan amount is repayable within 60 days . If that is n't done , you are subject to a 20 % penalty on the balance , -LRB- if you 're under 59 1/2 -RRB- and are due for whatever State and Federal taxes apply , as it is no longer considered a loan , but an early withdrawal . An alternative to consider might be a home equity line of credit , if the interest rates and your equity allow . Some things to consider . Again , I 'd advise you to speak with your plan administrator and see exactly what your plan rules are . Thanks for asking !</x:v>
      </x:c>
      <x:c r="D187" s="20" t="str">
        <x:f>IF(Reviewer_1!L187="","",Reviewer_1!L187)</x:f>
      </x:c>
      <x:c r="E187" s="20" t="str">
        <x:f>IF(Reviewer_2!L187="","",Reviewer_2!L187)</x:f>
      </x:c>
      <x:c r="F187" s="25"/>
      <x:c r="G187" s="20" t="str">
        <x:f>IF(Reviewer_1!M187="","",Reviewer_1!M187)</x:f>
      </x:c>
      <x:c r="H187" s="20" t="str">
        <x:f>IF(Reviewer_2!M187="","",Reviewer_2!M187)</x:f>
      </x:c>
      <x:c r="I187" s="25"/>
      <x:c r="J187" s="20" t="str">
        <x:f>IF(Reviewer_1!N187="","",Reviewer_1!N187)</x:f>
      </x:c>
      <x:c r="K187" s="20" t="str">
        <x:f>IF(Reviewer_2!N187="","",Reviewer_2!N187)</x:f>
      </x:c>
      <x:c r="L187" s="25"/>
      <x:c r="M187" s="25"/>
      <x:c r="N187" s="25"/>
      <x:c r="O187" s="20" t="str">
        <x:f>IF(OR(D187="",E187=""),"PENDING",IF(OR(D187&lt;&gt;E187,G187&lt;&gt;H187,J187&lt;&gt;K187),"CONFLICT","AGREE"))</x:f>
        <x:v>PENDING</x:v>
      </x:c>
    </x:row>
    <x:row r="188">
      <x:c r="A188" t="str">
        <x:v>ext-iqa-fail-077</x:v>
      </x:c>
      <x:c r="B188" s="20" t="str">
        <x:v>Where Do Health Insurance Companies Get Their Money?</x:v>
      </x:c>
      <x:c r="C188" s="20" t="str">
        <x:v>Health insurance companies earn their money in basically two ways . First , they collect premiums from people who buy health insurance with goal of paying out less in claims than they collect . For example under the new Affordable Care Act insurance carriers have to spend 80-95 % of their premiums in health care with the remaining 15-20 % for overhead anda small profit . The second way insruance compaies earnincome is from investing their reserves in marketable sercurities , bonds and real estate . Carriers need to maintain reserves for financial stability and based on government regulations .</x:v>
      </x:c>
      <x:c r="D188" s="20" t="str">
        <x:f>IF(Reviewer_1!L188="","",Reviewer_1!L188)</x:f>
      </x:c>
      <x:c r="E188" s="20" t="str">
        <x:f>IF(Reviewer_2!L188="","",Reviewer_2!L188)</x:f>
      </x:c>
      <x:c r="F188" s="25"/>
      <x:c r="G188" s="20" t="str">
        <x:f>IF(Reviewer_1!M188="","",Reviewer_1!M188)</x:f>
      </x:c>
      <x:c r="H188" s="20" t="str">
        <x:f>IF(Reviewer_2!M188="","",Reviewer_2!M188)</x:f>
      </x:c>
      <x:c r="I188" s="25"/>
      <x:c r="J188" s="20" t="str">
        <x:f>IF(Reviewer_1!N188="","",Reviewer_1!N188)</x:f>
      </x:c>
      <x:c r="K188" s="20" t="str">
        <x:f>IF(Reviewer_2!N188="","",Reviewer_2!N188)</x:f>
      </x:c>
      <x:c r="L188" s="25"/>
      <x:c r="M188" s="25"/>
      <x:c r="N188" s="25"/>
      <x:c r="O188" s="20" t="str">
        <x:f>IF(OR(D188="",E188=""),"PENDING",IF(OR(D188&lt;&gt;E188,G188&lt;&gt;H188,J188&lt;&gt;K188),"CONFLICT","AGREE"))</x:f>
        <x:v>PENDING</x:v>
      </x:c>
    </x:row>
    <x:row r="189">
      <x:c r="A189" t="str">
        <x:v>ext-iqa-fail-078</x:v>
      </x:c>
      <x:c r="B189" s="20" t="str">
        <x:v>What Is The Cost Of Medigap Insurance In 2013?</x:v>
      </x:c>
      <x:c r="C189" s="20" t="str">
        <x:v>Medigap rates vary considerably by zip code , age , tobacco use and plan . The older you are the higher your Medicare supplement rate will be . The exception is for those who are under age 65 and on disability and Medicare . In most states rates for under age 65 are astronomical . Many carriers offer competitive rates from age 65 to 74 . Above age 74 some plans -LRB- surprisingly -RRB- become more competitive while others less so . Tobacco use often adds 30 % to the rate but can be more , depending on the carrier . Plan F is the most expensive -LRB- and most popular -RRB- followed by D or G -LRB- depending on your state -RRB- , N then Hi F . You can generally find a site that offers `` instant Medigap quotes '' but keep in mind the most competitive rates are usually not illustrated online . #MedigapPlanFRates #MedicareSupplementPlanFRates #GeorgiaMedigapPlanFRates #GeorgiaMedicareSupplementPlanFRates #GeorgiaMedicarePlans #GaMedigapQuotes</x:v>
      </x:c>
      <x:c r="D189" s="20" t="str">
        <x:f>IF(Reviewer_1!L189="","",Reviewer_1!L189)</x:f>
      </x:c>
      <x:c r="E189" s="20" t="str">
        <x:f>IF(Reviewer_2!L189="","",Reviewer_2!L189)</x:f>
      </x:c>
      <x:c r="F189" s="25"/>
      <x:c r="G189" s="20" t="str">
        <x:f>IF(Reviewer_1!M189="","",Reviewer_1!M189)</x:f>
      </x:c>
      <x:c r="H189" s="20" t="str">
        <x:f>IF(Reviewer_2!M189="","",Reviewer_2!M189)</x:f>
      </x:c>
      <x:c r="I189" s="25"/>
      <x:c r="J189" s="20" t="str">
        <x:f>IF(Reviewer_1!N189="","",Reviewer_1!N189)</x:f>
      </x:c>
      <x:c r="K189" s="20" t="str">
        <x:f>IF(Reviewer_2!N189="","",Reviewer_2!N189)</x:f>
      </x:c>
      <x:c r="L189" s="25"/>
      <x:c r="M189" s="25"/>
      <x:c r="N189" s="25"/>
      <x:c r="O189" s="20" t="str">
        <x:f>IF(OR(D189="",E189=""),"PENDING",IF(OR(D189&lt;&gt;E189,G189&lt;&gt;H189,J189&lt;&gt;K189),"CONFLICT","AGREE"))</x:f>
        <x:v>PENDING</x:v>
      </x:c>
    </x:row>
    <x:row r="190">
      <x:c r="A190" t="str">
        <x:v>ext-iqa-fail-079</x:v>
      </x:c>
      <x:c r="B190" s="20" t="str">
        <x:v>Does Medicare Cover Circumcision?</x:v>
      </x:c>
      <x:c r="C190" s="20" t="str">
        <x:v>Since Medicare covers people over the age of 65 , and those with certain disabilities that have received Social Security benefits for 25 months , it would be very rare for Medicare to cover a circumcision . It would be possible , if someone with Medicare had a true medical need to be circumcisized later in the life , but very rare , as most circumcisions are done at birth . Given the fact that 50 % of births in American are covered by Medicaid , a better question may be `` Does Medicaid cover circumcisions ? '' That varies by state , as 18 states currently do not cover this procedure , primarily due to the fact that it is most often elective , or not necessary . the 18 states that do n't cover circumcisions , along with the year they stopped : Colorado 2011 South Carolina 2011 Louisiana 2005 Idaho 2005 Minnesota 2005 Maine 2004 Montana 2003 Utah 2003 Florida 2003 Missouri 2002 Arizona 2002 North Carolina 2002 California before 1999 North Dakota before 1999 Oregon before 1999 Mississippi before 1999 Nevada before 1999 Washington before 1999</x:v>
      </x:c>
      <x:c r="D190" s="20" t="str">
        <x:f>IF(Reviewer_1!L190="","",Reviewer_1!L190)</x:f>
      </x:c>
      <x:c r="E190" s="20" t="str">
        <x:f>IF(Reviewer_2!L190="","",Reviewer_2!L190)</x:f>
      </x:c>
      <x:c r="F190" s="25"/>
      <x:c r="G190" s="20" t="str">
        <x:f>IF(Reviewer_1!M190="","",Reviewer_1!M190)</x:f>
      </x:c>
      <x:c r="H190" s="20" t="str">
        <x:f>IF(Reviewer_2!M190="","",Reviewer_2!M190)</x:f>
      </x:c>
      <x:c r="I190" s="25"/>
      <x:c r="J190" s="20" t="str">
        <x:f>IF(Reviewer_1!N190="","",Reviewer_1!N190)</x:f>
      </x:c>
      <x:c r="K190" s="20" t="str">
        <x:f>IF(Reviewer_2!N190="","",Reviewer_2!N190)</x:f>
      </x:c>
      <x:c r="L190" s="25"/>
      <x:c r="M190" s="25"/>
      <x:c r="N190" s="25"/>
      <x:c r="O190" s="20" t="str">
        <x:f>IF(OR(D190="",E190=""),"PENDING",IF(OR(D190&lt;&gt;E190,G190&lt;&gt;H190,J190&lt;&gt;K190),"CONFLICT","AGREE"))</x:f>
        <x:v>PENDING</x:v>
      </x:c>
    </x:row>
    <x:row r="191">
      <x:c r="A191" t="str">
        <x:v>ext-iqa-fail-080</x:v>
      </x:c>
      <x:c r="B191" s="20" t="str">
        <x:v>Does Renters Insurance Cover Theft While Traveling?</x:v>
      </x:c>
      <x:c r="C191" s="20" t="str">
        <x:v>Talk to your insurance Professional about the coverage provided by your policy , but in general , personal property outside your home is usually covered , including while travelling . Now , most policies will cover your belongings up to a certain total percentage of your current Personal Property stated amount . So , for example , if you have $ 50,000 stated coverage in your policy , you may have coverage up to 20 % while travelling . Likewise there may be certain `` inside limits '' for categories of property such as camera equipment that may further limit the amount of coverage that you actually have .</x:v>
      </x:c>
      <x:c r="D191" s="20" t="str">
        <x:f>IF(Reviewer_1!L191="","",Reviewer_1!L191)</x:f>
      </x:c>
      <x:c r="E191" s="20" t="str">
        <x:f>IF(Reviewer_2!L191="","",Reviewer_2!L191)</x:f>
      </x:c>
      <x:c r="F191" s="25"/>
      <x:c r="G191" s="20" t="str">
        <x:f>IF(Reviewer_1!M191="","",Reviewer_1!M191)</x:f>
      </x:c>
      <x:c r="H191" s="20" t="str">
        <x:f>IF(Reviewer_2!M191="","",Reviewer_2!M191)</x:f>
      </x:c>
      <x:c r="I191" s="25"/>
      <x:c r="J191" s="20" t="str">
        <x:f>IF(Reviewer_1!N191="","",Reviewer_1!N191)</x:f>
      </x:c>
      <x:c r="K191" s="20" t="str">
        <x:f>IF(Reviewer_2!N191="","",Reviewer_2!N191)</x:f>
      </x:c>
      <x:c r="L191" s="25"/>
      <x:c r="M191" s="25"/>
      <x:c r="N191" s="25"/>
      <x:c r="O191" s="20" t="str">
        <x:f>IF(OR(D191="",E191=""),"PENDING",IF(OR(D191&lt;&gt;E191,G191&lt;&gt;H191,J191&lt;&gt;K191),"CONFLICT","AGREE"))</x:f>
        <x:v>PENDING</x:v>
      </x:c>
    </x:row>
    <x:row r="192">
      <x:c r="A192" t="str">
        <x:v>ext-helvetia-pass-001</x:v>
      </x:c>
      <x:c r="B192" s="20" t="str">
        <x:v>According to assistance-brochure.pdf, what provision is stated in the supplied policy context?</x:v>
      </x:c>
      <x:c r="C192" s="20" t="str">
        <x:v>Our Assistance insurance consists of four components you can combine individually.</x:v>
      </x:c>
      <x:c r="D192" s="20" t="str">
        <x:f>IF(Reviewer_1!L192="","",Reviewer_1!L192)</x:f>
      </x:c>
      <x:c r="E192" s="20" t="str">
        <x:f>IF(Reviewer_2!L192="","",Reviewer_2!L192)</x:f>
      </x:c>
      <x:c r="F192" s="25"/>
      <x:c r="G192" s="20" t="str">
        <x:f>IF(Reviewer_1!M192="","",Reviewer_1!M192)</x:f>
      </x:c>
      <x:c r="H192" s="20" t="str">
        <x:f>IF(Reviewer_2!M192="","",Reviewer_2!M192)</x:f>
      </x:c>
      <x:c r="I192" s="25"/>
      <x:c r="J192" s="20" t="str">
        <x:f>IF(Reviewer_1!N192="","",Reviewer_1!N192)</x:f>
      </x:c>
      <x:c r="K192" s="20" t="str">
        <x:f>IF(Reviewer_2!N192="","",Reviewer_2!N192)</x:f>
      </x:c>
      <x:c r="L192" s="25"/>
      <x:c r="M192" s="25"/>
      <x:c r="N192" s="25"/>
      <x:c r="O192" s="20" t="str">
        <x:f>IF(OR(D192="",E192=""),"PENDING",IF(OR(D192&lt;&gt;E192,G192&lt;&gt;H192,J192&lt;&gt;K192),"CONFLICT","AGREE"))</x:f>
        <x:v>PENDING</x:v>
      </x:c>
    </x:row>
    <x:row r="193">
      <x:c r="A193" t="str">
        <x:v>ext-helvetia-pass-002</x:v>
      </x:c>
      <x:c r="B193" s="20" t="str">
        <x:v>According to assistance-sti.pdf, what provision is stated in the supplied policy context?</x:v>
      </x:c>
      <x:c r="C193" s="20" t="str">
        <x:v>STI Helvetia private customers insurance, Assistance – September 2025 edition 5/18 | Helvetia Swiss Insurance Company Ltd.</x:v>
      </x:c>
      <x:c r="D193" s="20" t="str">
        <x:f>IF(Reviewer_1!L193="","",Reviewer_1!L193)</x:f>
      </x:c>
      <x:c r="E193" s="20" t="str">
        <x:f>IF(Reviewer_2!L193="","",Reviewer_2!L193)</x:f>
      </x:c>
      <x:c r="F193" s="25"/>
      <x:c r="G193" s="20" t="str">
        <x:f>IF(Reviewer_1!M193="","",Reviewer_1!M193)</x:f>
      </x:c>
      <x:c r="H193" s="20" t="str">
        <x:f>IF(Reviewer_2!M193="","",Reviewer_2!M193)</x:f>
      </x:c>
      <x:c r="I193" s="25"/>
      <x:c r="J193" s="20" t="str">
        <x:f>IF(Reviewer_1!N193="","",Reviewer_1!N193)</x:f>
      </x:c>
      <x:c r="K193" s="20" t="str">
        <x:f>IF(Reviewer_2!N193="","",Reviewer_2!N193)</x:f>
      </x:c>
      <x:c r="L193" s="25"/>
      <x:c r="M193" s="25"/>
      <x:c r="N193" s="25"/>
      <x:c r="O193" s="20" t="str">
        <x:f>IF(OR(D193="",E193=""),"PENDING",IF(OR(D193&lt;&gt;E193,G193&lt;&gt;H193,J193&lt;&gt;K193),"CONFLICT","AGREE"))</x:f>
        <x:v>PENDING</x:v>
      </x:c>
    </x:row>
    <x:row r="194">
      <x:c r="A194" t="str">
        <x:v>ext-helvetia-pass-003</x:v>
      </x:c>
      <x:c r="B194" s="20" t="str">
        <x:v>According to brochure-household-contents-and-private-liability.pdf, what provision is stated in the supplied policy context?</x:v>
      </x:c>
      <x:c r="C194" s="20" t="str">
        <x:v>Household contents insurance All-round protection for your personal possessions Household contents and private liability insurance 2/8</x:v>
      </x:c>
      <x:c r="D194" s="20" t="str">
        <x:f>IF(Reviewer_1!L194="","",Reviewer_1!L194)</x:f>
      </x:c>
      <x:c r="E194" s="20" t="str">
        <x:f>IF(Reviewer_2!L194="","",Reviewer_2!L194)</x:f>
      </x:c>
      <x:c r="F194" s="25"/>
      <x:c r="G194" s="20" t="str">
        <x:f>IF(Reviewer_1!M194="","",Reviewer_1!M194)</x:f>
      </x:c>
      <x:c r="H194" s="20" t="str">
        <x:f>IF(Reviewer_2!M194="","",Reviewer_2!M194)</x:f>
      </x:c>
      <x:c r="I194" s="25"/>
      <x:c r="J194" s="20" t="str">
        <x:f>IF(Reviewer_1!N194="","",Reviewer_1!N194)</x:f>
      </x:c>
      <x:c r="K194" s="20" t="str">
        <x:f>IF(Reviewer_2!N194="","",Reviewer_2!N194)</x:f>
      </x:c>
      <x:c r="L194" s="25"/>
      <x:c r="M194" s="25"/>
      <x:c r="N194" s="25"/>
      <x:c r="O194" s="20" t="str">
        <x:f>IF(OR(D194="",E194=""),"PENDING",IF(OR(D194&lt;&gt;E194,G194&lt;&gt;H194,J194&lt;&gt;K194),"CONFLICT","AGREE"))</x:f>
        <x:v>PENDING</x:v>
      </x:c>
    </x:row>
    <x:row r="195">
      <x:c r="A195" t="str">
        <x:v>ext-helvetia-pass-004</x:v>
      </x:c>
      <x:c r="B195" s="20" t="str">
        <x:v>According to brochure-services.pdf, what provision is stated in the supplied policy context?</x:v>
      </x:c>
      <x:c r="C195" s="20" t="str">
        <x:v>As a Swiss insurance company we stand for quality, friendliness and service.</x:v>
      </x:c>
      <x:c r="D195" s="20" t="str">
        <x:f>IF(Reviewer_1!L195="","",Reviewer_1!L195)</x:f>
      </x:c>
      <x:c r="E195" s="20" t="str">
        <x:f>IF(Reviewer_2!L195="","",Reviewer_2!L195)</x:f>
      </x:c>
      <x:c r="F195" s="25"/>
      <x:c r="G195" s="20" t="str">
        <x:f>IF(Reviewer_1!M195="","",Reviewer_1!M195)</x:f>
      </x:c>
      <x:c r="H195" s="20" t="str">
        <x:f>IF(Reviewer_2!M195="","",Reviewer_2!M195)</x:f>
      </x:c>
      <x:c r="I195" s="25"/>
      <x:c r="J195" s="20" t="str">
        <x:f>IF(Reviewer_1!N195="","",Reviewer_1!N195)</x:f>
      </x:c>
      <x:c r="K195" s="20" t="str">
        <x:f>IF(Reviewer_2!N195="","",Reviewer_2!N195)</x:f>
      </x:c>
      <x:c r="L195" s="25"/>
      <x:c r="M195" s="25"/>
      <x:c r="N195" s="25"/>
      <x:c r="O195" s="20" t="str">
        <x:f>IF(OR(D195="",E195=""),"PENDING",IF(OR(D195&lt;&gt;E195,G195&lt;&gt;H195,J195&lt;&gt;K195),"CONFLICT","AGREE"))</x:f>
        <x:v>PENDING</x:v>
      </x:c>
    </x:row>
    <x:row r="196">
      <x:c r="A196" t="str">
        <x:v>ext-helvetia-pass-005</x:v>
      </x:c>
      <x:c r="B196" s="20" t="str">
        <x:v>According to buildings-insurance-sti.pdf, what provision is stated in the supplied policy context?</x:v>
      </x:c>
      <x:c r="C196" s="2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x:v>
      </x:c>
      <x:c r="D196" s="20" t="str">
        <x:f>IF(Reviewer_1!L196="","",Reviewer_1!L196)</x:f>
      </x:c>
      <x:c r="E196" s="20" t="str">
        <x:f>IF(Reviewer_2!L196="","",Reviewer_2!L196)</x:f>
      </x:c>
      <x:c r="F196" s="25"/>
      <x:c r="G196" s="20" t="str">
        <x:f>IF(Reviewer_1!M196="","",Reviewer_1!M196)</x:f>
      </x:c>
      <x:c r="H196" s="20" t="str">
        <x:f>IF(Reviewer_2!M196="","",Reviewer_2!M196)</x:f>
      </x:c>
      <x:c r="I196" s="25"/>
      <x:c r="J196" s="20" t="str">
        <x:f>IF(Reviewer_1!N196="","",Reviewer_1!N196)</x:f>
      </x:c>
      <x:c r="K196" s="20" t="str">
        <x:f>IF(Reviewer_2!N196="","",Reviewer_2!N196)</x:f>
      </x:c>
      <x:c r="L196" s="25"/>
      <x:c r="M196" s="25"/>
      <x:c r="N196" s="25"/>
      <x:c r="O196" s="20" t="str">
        <x:f>IF(OR(D196="",E196=""),"PENDING",IF(OR(D196&lt;&gt;E196,G196&lt;&gt;H196,J196&lt;&gt;K196),"CONFLICT","AGREE"))</x:f>
        <x:v>PENDING</x:v>
      </x:c>
    </x:row>
    <x:row r="197">
      <x:c r="A197" t="str">
        <x:v>ext-helvetia-pass-006</x:v>
      </x:c>
      <x:c r="B197" s="20" t="str">
        <x:v>According to household-contents-private-liability-sti.pdf, what provision is stated in the supplied policy context?</x:v>
      </x:c>
      <x:c r="C197" s="20" t="str">
        <x:v>Standard Terms of Insurance (STI) Helvetia private customers insurance Household contents and private liability September 2025 edition</x:v>
      </x:c>
      <x:c r="D197" s="20" t="str">
        <x:f>IF(Reviewer_1!L197="","",Reviewer_1!L197)</x:f>
      </x:c>
      <x:c r="E197" s="20" t="str">
        <x:f>IF(Reviewer_2!L197="","",Reviewer_2!L197)</x:f>
      </x:c>
      <x:c r="F197" s="25"/>
      <x:c r="G197" s="20" t="str">
        <x:f>IF(Reviewer_1!M197="","",Reviewer_1!M197)</x:f>
      </x:c>
      <x:c r="H197" s="20" t="str">
        <x:f>IF(Reviewer_2!M197="","",Reviewer_2!M197)</x:f>
      </x:c>
      <x:c r="I197" s="25"/>
      <x:c r="J197" s="20" t="str">
        <x:f>IF(Reviewer_1!N197="","",Reviewer_1!N197)</x:f>
      </x:c>
      <x:c r="K197" s="20" t="str">
        <x:f>IF(Reviewer_2!N197="","",Reviewer_2!N197)</x:f>
      </x:c>
      <x:c r="L197" s="25"/>
      <x:c r="M197" s="25"/>
      <x:c r="N197" s="25"/>
      <x:c r="O197" s="20" t="str">
        <x:f>IF(OR(D197="",E197=""),"PENDING",IF(OR(D197&lt;&gt;E197,G197&lt;&gt;H197,J197&lt;&gt;K197),"CONFLICT","AGREE"))</x:f>
        <x:v>PENDING</x:v>
      </x:c>
    </x:row>
    <x:row r="198">
      <x:c r="A198" t="str">
        <x:v>ext-helvetia-pass-007</x:v>
      </x:c>
      <x:c r="B198" s="20" t="str">
        <x:v>According to legal-protection-sti.pdf, what provision is stated in the supplied policy context?</x:v>
      </x:c>
      <x:c r="C198" s="2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x:v>
      </x:c>
      <x:c r="D198" s="20" t="str">
        <x:f>IF(Reviewer_1!L198="","",Reviewer_1!L198)</x:f>
      </x:c>
      <x:c r="E198" s="20" t="str">
        <x:f>IF(Reviewer_2!L198="","",Reviewer_2!L198)</x:f>
      </x:c>
      <x:c r="F198" s="25"/>
      <x:c r="G198" s="20" t="str">
        <x:f>IF(Reviewer_1!M198="","",Reviewer_1!M198)</x:f>
      </x:c>
      <x:c r="H198" s="20" t="str">
        <x:f>IF(Reviewer_2!M198="","",Reviewer_2!M198)</x:f>
      </x:c>
      <x:c r="I198" s="25"/>
      <x:c r="J198" s="20" t="str">
        <x:f>IF(Reviewer_1!N198="","",Reviewer_1!N198)</x:f>
      </x:c>
      <x:c r="K198" s="20" t="str">
        <x:f>IF(Reviewer_2!N198="","",Reviewer_2!N198)</x:f>
      </x:c>
      <x:c r="L198" s="25"/>
      <x:c r="M198" s="25"/>
      <x:c r="N198" s="25"/>
      <x:c r="O198" s="20" t="str">
        <x:f>IF(OR(D198="",E198=""),"PENDING",IF(OR(D198&lt;&gt;E198,G198&lt;&gt;H198,J198&lt;&gt;K198),"CONFLICT","AGREE"))</x:f>
        <x:v>PENDING</x:v>
      </x:c>
    </x:row>
    <x:row r="199">
      <x:c r="A199" t="str">
        <x:v>ext-helvetia-pass-008</x:v>
      </x:c>
      <x:c r="B199" s="20" t="str">
        <x:v>According to motor-vehicle-insurance-product-sheet.pdf, what provision is stated in the supplied policy context?</x:v>
      </x:c>
      <x:c r="C199" s="20" t="str">
        <x:v>Helvetia’s liability insurance protects you against unexpected financial burdens arising from an accident you cause.</x:v>
      </x:c>
      <x:c r="D199" s="20" t="str">
        <x:f>IF(Reviewer_1!L199="","",Reviewer_1!L199)</x:f>
      </x:c>
      <x:c r="E199" s="20" t="str">
        <x:f>IF(Reviewer_2!L199="","",Reviewer_2!L199)</x:f>
      </x:c>
      <x:c r="F199" s="25"/>
      <x:c r="G199" s="20" t="str">
        <x:f>IF(Reviewer_1!M199="","",Reviewer_1!M199)</x:f>
      </x:c>
      <x:c r="H199" s="20" t="str">
        <x:f>IF(Reviewer_2!M199="","",Reviewer_2!M199)</x:f>
      </x:c>
      <x:c r="I199" s="25"/>
      <x:c r="J199" s="20" t="str">
        <x:f>IF(Reviewer_1!N199="","",Reviewer_1!N199)</x:f>
      </x:c>
      <x:c r="K199" s="20" t="str">
        <x:f>IF(Reviewer_2!N199="","",Reviewer_2!N199)</x:f>
      </x:c>
      <x:c r="L199" s="25"/>
      <x:c r="M199" s="25"/>
      <x:c r="N199" s="25"/>
      <x:c r="O199" s="20" t="str">
        <x:f>IF(OR(D199="",E199=""),"PENDING",IF(OR(D199&lt;&gt;E199,G199&lt;&gt;H199,J199&lt;&gt;K199),"CONFLICT","AGREE"))</x:f>
        <x:v>PENDING</x:v>
      </x:c>
    </x:row>
    <x:row r="200">
      <x:c r="A200" t="str">
        <x:v>ext-helvetia-pass-009</x:v>
      </x:c>
      <x:c r="B200" s="20" t="str">
        <x:v>According to motor-vehicle-insurance-sti.pdf, what provision is stated in the supplied policy context?</x:v>
      </x:c>
      <x:c r="C200" s="2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x:v>
      </x:c>
      <x:c r="D200" s="20" t="str">
        <x:f>IF(Reviewer_1!L200="","",Reviewer_1!L200)</x:f>
      </x:c>
      <x:c r="E200" s="20" t="str">
        <x:f>IF(Reviewer_2!L200="","",Reviewer_2!L200)</x:f>
      </x:c>
      <x:c r="F200" s="25"/>
      <x:c r="G200" s="20" t="str">
        <x:f>IF(Reviewer_1!M200="","",Reviewer_1!M200)</x:f>
      </x:c>
      <x:c r="H200" s="20" t="str">
        <x:f>IF(Reviewer_2!M200="","",Reviewer_2!M200)</x:f>
      </x:c>
      <x:c r="I200" s="25"/>
      <x:c r="J200" s="20" t="str">
        <x:f>IF(Reviewer_1!N200="","",Reviewer_1!N200)</x:f>
      </x:c>
      <x:c r="K200" s="20" t="str">
        <x:f>IF(Reviewer_2!N200="","",Reviewer_2!N200)</x:f>
      </x:c>
      <x:c r="L200" s="25"/>
      <x:c r="M200" s="25"/>
      <x:c r="N200" s="25"/>
      <x:c r="O200" s="20" t="str">
        <x:f>IF(OR(D200="",E200=""),"PENDING",IF(OR(D200&lt;&gt;E200,G200&lt;&gt;H200,J200&lt;&gt;K200),"CONFLICT","AGREE"))</x:f>
        <x:v>PENDING</x:v>
      </x:c>
    </x:row>
    <x:row r="201">
      <x:c r="A201" t="str">
        <x:v>ext-helvetia-pass-010</x:v>
      </x:c>
      <x:c r="B201" s="20" t="str">
        <x:v>According to mutual-provisions-pkv.pdf, what provision is stated in the supplied policy context?</x:v>
      </x:c>
      <x:c r="C201" s="2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x:v>
      </x:c>
      <x:c r="D201" s="20" t="str">
        <x:f>IF(Reviewer_1!L201="","",Reviewer_1!L201)</x:f>
      </x:c>
      <x:c r="E201" s="20" t="str">
        <x:f>IF(Reviewer_2!L201="","",Reviewer_2!L201)</x:f>
      </x:c>
      <x:c r="F201" s="25"/>
      <x:c r="G201" s="20" t="str">
        <x:f>IF(Reviewer_1!M201="","",Reviewer_1!M201)</x:f>
      </x:c>
      <x:c r="H201" s="20" t="str">
        <x:f>IF(Reviewer_2!M201="","",Reviewer_2!M201)</x:f>
      </x:c>
      <x:c r="I201" s="25"/>
      <x:c r="J201" s="20" t="str">
        <x:f>IF(Reviewer_1!N201="","",Reviewer_1!N201)</x:f>
      </x:c>
      <x:c r="K201" s="20" t="str">
        <x:f>IF(Reviewer_2!N201="","",Reviewer_2!N201)</x:f>
      </x:c>
      <x:c r="L201" s="25"/>
      <x:c r="M201" s="25"/>
      <x:c r="N201" s="25"/>
      <x:c r="O201" s="20" t="str">
        <x:f>IF(OR(D201="",E201=""),"PENDING",IF(OR(D201&lt;&gt;E201,G201&lt;&gt;H201,J201&lt;&gt;K201),"CONFLICT","AGREE"))</x:f>
        <x:v>PENDING</x:v>
      </x:c>
    </x:row>
    <x:row r="202">
      <x:c r="A202" t="str">
        <x:v>ext-helvetia-pass-011</x:v>
      </x:c>
      <x:c r="B202" s="20" t="str">
        <x:v>According to rental-guarantee-insurance-sti.pdf, what provision is stated in the supplied policy context?</x:v>
      </x:c>
      <x:c r="C202" s="20" t="str">
        <x:v>3/7 | Helvetia Swiss Insurance Company Ltd STI Helvetia private rental guarantee insurance – September 2025 edition 1 Contracting party Your contracting party is: Helvetia Swiss Insurance Company Ltd Dufourstrasse 40 9001 St.</x:v>
      </x:c>
      <x:c r="D202" s="20" t="str">
        <x:f>IF(Reviewer_1!L202="","",Reviewer_1!L202)</x:f>
      </x:c>
      <x:c r="E202" s="20" t="str">
        <x:f>IF(Reviewer_2!L202="","",Reviewer_2!L202)</x:f>
      </x:c>
      <x:c r="F202" s="25"/>
      <x:c r="G202" s="20" t="str">
        <x:f>IF(Reviewer_1!M202="","",Reviewer_1!M202)</x:f>
      </x:c>
      <x:c r="H202" s="20" t="str">
        <x:f>IF(Reviewer_2!M202="","",Reviewer_2!M202)</x:f>
      </x:c>
      <x:c r="I202" s="25"/>
      <x:c r="J202" s="20" t="str">
        <x:f>IF(Reviewer_1!N202="","",Reviewer_1!N202)</x:f>
      </x:c>
      <x:c r="K202" s="20" t="str">
        <x:f>IF(Reviewer_2!N202="","",Reviewer_2!N202)</x:f>
      </x:c>
      <x:c r="L202" s="25"/>
      <x:c r="M202" s="25"/>
      <x:c r="N202" s="25"/>
      <x:c r="O202" s="20" t="str">
        <x:f>IF(OR(D202="",E202=""),"PENDING",IF(OR(D202&lt;&gt;E202,G202&lt;&gt;H202,J202&lt;&gt;K202),"CONFLICT","AGREE"))</x:f>
        <x:v>PENDING</x:v>
      </x:c>
    </x:row>
    <x:row r="203">
      <x:c r="A203" t="str">
        <x:v>ext-helvetia-pass-012</x:v>
      </x:c>
      <x:c r="B203" s="20" t="str">
        <x:v>According to assistance-brochure.pdf, what provision is stated in the supplied policy context?</x:v>
      </x:c>
      <x:c r="C203" s="20" t="str">
        <x:v>Cancellation cost insurance Cancellation cost insurance covers you for unforeseen events occurring before your departure that make it impossible for you to set off on your journey.</x:v>
      </x:c>
      <x:c r="D203" s="20" t="str">
        <x:f>IF(Reviewer_1!L203="","",Reviewer_1!L203)</x:f>
      </x:c>
      <x:c r="E203" s="20" t="str">
        <x:f>IF(Reviewer_2!L203="","",Reviewer_2!L203)</x:f>
      </x:c>
      <x:c r="F203" s="25"/>
      <x:c r="G203" s="20" t="str">
        <x:f>IF(Reviewer_1!M203="","",Reviewer_1!M203)</x:f>
      </x:c>
      <x:c r="H203" s="20" t="str">
        <x:f>IF(Reviewer_2!M203="","",Reviewer_2!M203)</x:f>
      </x:c>
      <x:c r="I203" s="25"/>
      <x:c r="J203" s="20" t="str">
        <x:f>IF(Reviewer_1!N203="","",Reviewer_1!N203)</x:f>
      </x:c>
      <x:c r="K203" s="20" t="str">
        <x:f>IF(Reviewer_2!N203="","",Reviewer_2!N203)</x:f>
      </x:c>
      <x:c r="L203" s="25"/>
      <x:c r="M203" s="25"/>
      <x:c r="N203" s="25"/>
      <x:c r="O203" s="20" t="str">
        <x:f>IF(OR(D203="",E203=""),"PENDING",IF(OR(D203&lt;&gt;E203,G203&lt;&gt;H203,J203&lt;&gt;K203),"CONFLICT","AGREE"))</x:f>
        <x:v>PENDING</x:v>
      </x:c>
    </x:row>
    <x:row r="204">
      <x:c r="A204" t="str">
        <x:v>ext-helvetia-pass-013</x:v>
      </x:c>
      <x:c r="B204" s="20" t="str">
        <x:v>According to assistance-sti.pdf, what provision is stated in the supplied policy context?</x:v>
      </x:c>
      <x:c r="C204" s="20" t="str">
        <x:v>STI Helvetia private customers insurance, Assistance – September 2025 edition Cancellation costs Insured events Do you want to know how you are insured?</x:v>
      </x:c>
      <x:c r="D204" s="20" t="str">
        <x:f>IF(Reviewer_1!L204="","",Reviewer_1!L204)</x:f>
      </x:c>
      <x:c r="E204" s="20" t="str">
        <x:f>IF(Reviewer_2!L204="","",Reviewer_2!L204)</x:f>
      </x:c>
      <x:c r="F204" s="25"/>
      <x:c r="G204" s="20" t="str">
        <x:f>IF(Reviewer_1!M204="","",Reviewer_1!M204)</x:f>
      </x:c>
      <x:c r="H204" s="20" t="str">
        <x:f>IF(Reviewer_2!M204="","",Reviewer_2!M204)</x:f>
      </x:c>
      <x:c r="I204" s="25"/>
      <x:c r="J204" s="20" t="str">
        <x:f>IF(Reviewer_1!N204="","",Reviewer_1!N204)</x:f>
      </x:c>
      <x:c r="K204" s="20" t="str">
        <x:f>IF(Reviewer_2!N204="","",Reviewer_2!N204)</x:f>
      </x:c>
      <x:c r="L204" s="25"/>
      <x:c r="M204" s="25"/>
      <x:c r="N204" s="25"/>
      <x:c r="O204" s="20" t="str">
        <x:f>IF(OR(D204="",E204=""),"PENDING",IF(OR(D204&lt;&gt;E204,G204&lt;&gt;H204,J204&lt;&gt;K204),"CONFLICT","AGREE"))</x:f>
        <x:v>PENDING</x:v>
      </x:c>
    </x:row>
    <x:row r="205">
      <x:c r="A205" t="str">
        <x:v>ext-helvetia-pass-014</x:v>
      </x:c>
      <x:c r="B205" s="20" t="str">
        <x:v>According to brochure-household-contents-and-private-liability.pdf, what provision is stated in the supplied policy context?</x:v>
      </x:c>
      <x:c r="C205" s="20" t="str">
        <x:v>Scope of the insurance cover Household contents includes all movables (such as clothes, furniture, consumer electronics, pets, etc.) required for living and recreation.</x:v>
      </x:c>
      <x:c r="D205" s="20" t="str">
        <x:f>IF(Reviewer_1!L205="","",Reviewer_1!L205)</x:f>
      </x:c>
      <x:c r="E205" s="20" t="str">
        <x:f>IF(Reviewer_2!L205="","",Reviewer_2!L205)</x:f>
      </x:c>
      <x:c r="F205" s="25"/>
      <x:c r="G205" s="20" t="str">
        <x:f>IF(Reviewer_1!M205="","",Reviewer_1!M205)</x:f>
      </x:c>
      <x:c r="H205" s="20" t="str">
        <x:f>IF(Reviewer_2!M205="","",Reviewer_2!M205)</x:f>
      </x:c>
      <x:c r="I205" s="25"/>
      <x:c r="J205" s="20" t="str">
        <x:f>IF(Reviewer_1!N205="","",Reviewer_1!N205)</x:f>
      </x:c>
      <x:c r="K205" s="20" t="str">
        <x:f>IF(Reviewer_2!N205="","",Reviewer_2!N205)</x:f>
      </x:c>
      <x:c r="L205" s="25"/>
      <x:c r="M205" s="25"/>
      <x:c r="N205" s="25"/>
      <x:c r="O205" s="20" t="str">
        <x:f>IF(OR(D205="",E205=""),"PENDING",IF(OR(D205&lt;&gt;E205,G205&lt;&gt;H205,J205&lt;&gt;K205),"CONFLICT","AGREE"))</x:f>
        <x:v>PENDING</x:v>
      </x:c>
    </x:row>
    <x:row r="206">
      <x:c r="A206" t="str">
        <x:v>ext-helvetia-pass-015</x:v>
      </x:c>
      <x:c r="B206" s="20" t="str">
        <x:v>According to brochure-services.pdf, what provision is stated in the supplied policy context?</x:v>
      </x:c>
      <x:c r="C206" s="20" t="str">
        <x:v>Scope of insurance cover The service product provides you with the following benefits:</x:v>
      </x:c>
      <x:c r="D206" s="20" t="str">
        <x:f>IF(Reviewer_1!L206="","",Reviewer_1!L206)</x:f>
      </x:c>
      <x:c r="E206" s="20" t="str">
        <x:f>IF(Reviewer_2!L206="","",Reviewer_2!L206)</x:f>
      </x:c>
      <x:c r="F206" s="25"/>
      <x:c r="G206" s="20" t="str">
        <x:f>IF(Reviewer_1!M206="","",Reviewer_1!M206)</x:f>
      </x:c>
      <x:c r="H206" s="20" t="str">
        <x:f>IF(Reviewer_2!M206="","",Reviewer_2!M206)</x:f>
      </x:c>
      <x:c r="I206" s="25"/>
      <x:c r="J206" s="20" t="str">
        <x:f>IF(Reviewer_1!N206="","",Reviewer_1!N206)</x:f>
      </x:c>
      <x:c r="K206" s="20" t="str">
        <x:f>IF(Reviewer_2!N206="","",Reviewer_2!N206)</x:f>
      </x:c>
      <x:c r="L206" s="25"/>
      <x:c r="M206" s="25"/>
      <x:c r="N206" s="25"/>
      <x:c r="O206" s="20" t="str">
        <x:f>IF(OR(D206="",E206=""),"PENDING",IF(OR(D206&lt;&gt;E206,G206&lt;&gt;H206,J206&lt;&gt;K206),"CONFLICT","AGREE"))</x:f>
        <x:v>PENDING</x:v>
      </x:c>
    </x:row>
    <x:row r="207">
      <x:c r="A207" t="str">
        <x:v>ext-helvetia-pass-016</x:v>
      </x:c>
      <x:c r="B207" s="20" t="str">
        <x:v>According to buildings-insurance-sti.pdf, what provision is stated in the supplied policy context?</x:v>
      </x:c>
      <x:c r="C207" s="20" t="str">
        <x:v>Damage conclusively proven by physical traces, witnesses or circumstances to have been caused by: D1 Theft or attempted theft.</x:v>
      </x:c>
      <x:c r="D207" s="20" t="str">
        <x:f>IF(Reviewer_1!L207="","",Reviewer_1!L207)</x:f>
      </x:c>
      <x:c r="E207" s="20" t="str">
        <x:f>IF(Reviewer_2!L207="","",Reviewer_2!L207)</x:f>
      </x:c>
      <x:c r="F207" s="25"/>
      <x:c r="G207" s="20" t="str">
        <x:f>IF(Reviewer_1!M207="","",Reviewer_1!M207)</x:f>
      </x:c>
      <x:c r="H207" s="20" t="str">
        <x:f>IF(Reviewer_2!M207="","",Reviewer_2!M207)</x:f>
      </x:c>
      <x:c r="I207" s="25"/>
      <x:c r="J207" s="20" t="str">
        <x:f>IF(Reviewer_1!N207="","",Reviewer_1!N207)</x:f>
      </x:c>
      <x:c r="K207" s="20" t="str">
        <x:f>IF(Reviewer_2!N207="","",Reviewer_2!N207)</x:f>
      </x:c>
      <x:c r="L207" s="25"/>
      <x:c r="M207" s="25"/>
      <x:c r="N207" s="25"/>
      <x:c r="O207" s="20" t="str">
        <x:f>IF(OR(D207="",E207=""),"PENDING",IF(OR(D207&lt;&gt;E207,G207&lt;&gt;H207,J207&lt;&gt;K207),"CONFLICT","AGREE"))</x:f>
        <x:v>PENDING</x:v>
      </x:c>
    </x:row>
    <x:row r="208">
      <x:c r="A208" t="str">
        <x:v>ext-helvetia-pass-017</x:v>
      </x:c>
      <x:c r="B208" s="20" t="str">
        <x:v>According to household-contents-private-liability-sti.pdf, what provision is stated in the supplied policy context?</x:v>
      </x:c>
      <x:c r="C208" s="20" t="str">
        <x:v>STI Helvetia private customers insurance, Household contents and private liability – September 2025 edition</x:v>
      </x:c>
      <x:c r="D208" s="20" t="str">
        <x:f>IF(Reviewer_1!L208="","",Reviewer_1!L208)</x:f>
      </x:c>
      <x:c r="E208" s="20" t="str">
        <x:f>IF(Reviewer_2!L208="","",Reviewer_2!L208)</x:f>
      </x:c>
      <x:c r="F208" s="25"/>
      <x:c r="G208" s="20" t="str">
        <x:f>IF(Reviewer_1!M208="","",Reviewer_1!M208)</x:f>
      </x:c>
      <x:c r="H208" s="20" t="str">
        <x:f>IF(Reviewer_2!M208="","",Reviewer_2!M208)</x:f>
      </x:c>
      <x:c r="I208" s="25"/>
      <x:c r="J208" s="20" t="str">
        <x:f>IF(Reviewer_1!N208="","",Reviewer_1!N208)</x:f>
      </x:c>
      <x:c r="K208" s="20" t="str">
        <x:f>IF(Reviewer_2!N208="","",Reviewer_2!N208)</x:f>
      </x:c>
      <x:c r="L208" s="25"/>
      <x:c r="M208" s="25"/>
      <x:c r="N208" s="25"/>
      <x:c r="O208" s="20" t="str">
        <x:f>IF(OR(D208="",E208=""),"PENDING",IF(OR(D208&lt;&gt;E208,G208&lt;&gt;H208,J208&lt;&gt;K208),"CONFLICT","AGREE"))</x:f>
        <x:v>PENDING</x:v>
      </x:c>
    </x:row>
    <x:row r="209">
      <x:c r="A209" t="str">
        <x:v>ext-helvetia-pass-018</x:v>
      </x:c>
      <x:c r="B209" s="20" t="str">
        <x:v>According to legal-protection-sti.pdf, what provision is stated in the supplied policy context?</x:v>
      </x:c>
      <x:c r="C209" s="20" t="str">
        <x:v>STI Helvetia private customers insurance, Legal protection – September 2021 edition</x:v>
      </x:c>
      <x:c r="D209" s="20" t="str">
        <x:f>IF(Reviewer_1!L209="","",Reviewer_1!L209)</x:f>
      </x:c>
      <x:c r="E209" s="20" t="str">
        <x:f>IF(Reviewer_2!L209="","",Reviewer_2!L209)</x:f>
      </x:c>
      <x:c r="F209" s="25"/>
      <x:c r="G209" s="20" t="str">
        <x:f>IF(Reviewer_1!M209="","",Reviewer_1!M209)</x:f>
      </x:c>
      <x:c r="H209" s="20" t="str">
        <x:f>IF(Reviewer_2!M209="","",Reviewer_2!M209)</x:f>
      </x:c>
      <x:c r="I209" s="25"/>
      <x:c r="J209" s="20" t="str">
        <x:f>IF(Reviewer_1!N209="","",Reviewer_1!N209)</x:f>
      </x:c>
      <x:c r="K209" s="20" t="str">
        <x:f>IF(Reviewer_2!N209="","",Reviewer_2!N209)</x:f>
      </x:c>
      <x:c r="L209" s="25"/>
      <x:c r="M209" s="25"/>
      <x:c r="N209" s="25"/>
      <x:c r="O209" s="20" t="str">
        <x:f>IF(OR(D209="",E209=""),"PENDING",IF(OR(D209&lt;&gt;E209,G209&lt;&gt;H209,J209&lt;&gt;K209),"CONFLICT","AGREE"))</x:f>
        <x:v>PENDING</x:v>
      </x:c>
    </x:row>
    <x:row r="210">
      <x:c r="A210" t="str">
        <x:v>ext-helvetia-pass-019</x:v>
      </x:c>
      <x:c r="B210" s="20" t="str">
        <x:v>According to motor-vehicle-insurance-product-sheet.pdf, what provision is stated in the supplied policy context?</x:v>
      </x:c>
      <x:c r="C210" s="20" t="str">
        <x:v>Cover for property damage and personal injury caused by you</x:v>
      </x:c>
      <x:c r="D210" s="20" t="str">
        <x:f>IF(Reviewer_1!L210="","",Reviewer_1!L210)</x:f>
      </x:c>
      <x:c r="E210" s="20" t="str">
        <x:f>IF(Reviewer_2!L210="","",Reviewer_2!L210)</x:f>
      </x:c>
      <x:c r="F210" s="25"/>
      <x:c r="G210" s="20" t="str">
        <x:f>IF(Reviewer_1!M210="","",Reviewer_1!M210)</x:f>
      </x:c>
      <x:c r="H210" s="20" t="str">
        <x:f>IF(Reviewer_2!M210="","",Reviewer_2!M210)</x:f>
      </x:c>
      <x:c r="I210" s="25"/>
      <x:c r="J210" s="20" t="str">
        <x:f>IF(Reviewer_1!N210="","",Reviewer_1!N210)</x:f>
      </x:c>
      <x:c r="K210" s="20" t="str">
        <x:f>IF(Reviewer_2!N210="","",Reviewer_2!N210)</x:f>
      </x:c>
      <x:c r="L210" s="25"/>
      <x:c r="M210" s="25"/>
      <x:c r="N210" s="25"/>
      <x:c r="O210" s="20" t="str">
        <x:f>IF(OR(D210="",E210=""),"PENDING",IF(OR(D210&lt;&gt;E210,G210&lt;&gt;H210,J210&lt;&gt;K210),"CONFLICT","AGREE"))</x:f>
        <x:v>PENDING</x:v>
      </x:c>
    </x:row>
    <x:row r="211">
      <x:c r="A211" t="str">
        <x:v>ext-helvetia-pass-020</x:v>
      </x:c>
      <x:c r="B211" s="20" t="str">
        <x:v>According to motor-vehicle-insurance-sti.pdf, what provision is stated in the supplied policy context?</x:v>
      </x:c>
      <x:c r="C211" s="20" t="str">
        <x:v>4/31 | Helvetia Swiss Insurance Company Ltd STI Helvetia Motor Vehicle Insurance – Edition March 2026 Motor Vehicle Customer information 1 Contracting parties The contracting parties are as follows Helvetia Swiss Insurance Company Ltd.</x:v>
      </x:c>
      <x:c r="D211" s="20" t="str">
        <x:f>IF(Reviewer_1!L211="","",Reviewer_1!L211)</x:f>
      </x:c>
      <x:c r="E211" s="20" t="str">
        <x:f>IF(Reviewer_2!L211="","",Reviewer_2!L211)</x:f>
      </x:c>
      <x:c r="F211" s="25"/>
      <x:c r="G211" s="20" t="str">
        <x:f>IF(Reviewer_1!M211="","",Reviewer_1!M211)</x:f>
      </x:c>
      <x:c r="H211" s="20" t="str">
        <x:f>IF(Reviewer_2!M211="","",Reviewer_2!M211)</x:f>
      </x:c>
      <x:c r="I211" s="25"/>
      <x:c r="J211" s="20" t="str">
        <x:f>IF(Reviewer_1!N211="","",Reviewer_1!N211)</x:f>
      </x:c>
      <x:c r="K211" s="20" t="str">
        <x:f>IF(Reviewer_2!N211="","",Reviewer_2!N211)</x:f>
      </x:c>
      <x:c r="L211" s="25"/>
      <x:c r="M211" s="25"/>
      <x:c r="N211" s="25"/>
      <x:c r="O211" s="20" t="str">
        <x:f>IF(OR(D211="",E211=""),"PENDING",IF(OR(D211&lt;&gt;E211,G211&lt;&gt;H211,J211&lt;&gt;K211),"CONFLICT","AGREE"))</x:f>
        <x:v>PENDING</x:v>
      </x:c>
    </x:row>
    <x:row r="212">
      <x:c r="A212" t="str">
        <x:v>ext-helvetia-pass-021</x:v>
      </x:c>
      <x:c r="B212" s="20" t="str">
        <x:v>According to mutual-provisions-pkv.pdf, what provision is stated in the supplied policy context?</x:v>
      </x:c>
      <x:c r="C212" s="20" t="str">
        <x:v>We place great value in ensuring that you can quickly and dependably obtain information about your insurance contract.</x:v>
      </x:c>
      <x:c r="D212" s="20" t="str">
        <x:f>IF(Reviewer_1!L212="","",Reviewer_1!L212)</x:f>
      </x:c>
      <x:c r="E212" s="20" t="str">
        <x:f>IF(Reviewer_2!L212="","",Reviewer_2!L212)</x:f>
      </x:c>
      <x:c r="F212" s="25"/>
      <x:c r="G212" s="20" t="str">
        <x:f>IF(Reviewer_1!M212="","",Reviewer_1!M212)</x:f>
      </x:c>
      <x:c r="H212" s="20" t="str">
        <x:f>IF(Reviewer_2!M212="","",Reviewer_2!M212)</x:f>
      </x:c>
      <x:c r="I212" s="25"/>
      <x:c r="J212" s="20" t="str">
        <x:f>IF(Reviewer_1!N212="","",Reviewer_1!N212)</x:f>
      </x:c>
      <x:c r="K212" s="20" t="str">
        <x:f>IF(Reviewer_2!N212="","",Reviewer_2!N212)</x:f>
      </x:c>
      <x:c r="L212" s="25"/>
      <x:c r="M212" s="25"/>
      <x:c r="N212" s="25"/>
      <x:c r="O212" s="20" t="str">
        <x:f>IF(OR(D212="",E212=""),"PENDING",IF(OR(D212&lt;&gt;E212,G212&lt;&gt;H212,J212&lt;&gt;K212),"CONFLICT","AGREE"))</x:f>
        <x:v>PENDING</x:v>
      </x:c>
    </x:row>
    <x:row r="213">
      <x:c r="A213" t="str">
        <x:v>ext-helvetia-pass-022</x:v>
      </x:c>
      <x:c r="B213" s="20" t="str">
        <x:v>According to rental-guarantee-insurance-sti.pdf, what provision is stated in the supplied policy context?</x:v>
      </x:c>
      <x:c r="C213" s="20" t="str">
        <x:v>Gallen In the course of concluding and executing the contract, Helvetia Swiss Insurance Company Ltd is entitled to act on behalf of the other contracting parties (e.</x:v>
      </x:c>
      <x:c r="D213" s="20" t="str">
        <x:f>IF(Reviewer_1!L213="","",Reviewer_1!L213)</x:f>
      </x:c>
      <x:c r="E213" s="20" t="str">
        <x:f>IF(Reviewer_2!L213="","",Reviewer_2!L213)</x:f>
      </x:c>
      <x:c r="F213" s="25"/>
      <x:c r="G213" s="20" t="str">
        <x:f>IF(Reviewer_1!M213="","",Reviewer_1!M213)</x:f>
      </x:c>
      <x:c r="H213" s="20" t="str">
        <x:f>IF(Reviewer_2!M213="","",Reviewer_2!M213)</x:f>
      </x:c>
      <x:c r="I213" s="25"/>
      <x:c r="J213" s="20" t="str">
        <x:f>IF(Reviewer_1!N213="","",Reviewer_1!N213)</x:f>
      </x:c>
      <x:c r="K213" s="20" t="str">
        <x:f>IF(Reviewer_2!N213="","",Reviewer_2!N213)</x:f>
      </x:c>
      <x:c r="L213" s="25"/>
      <x:c r="M213" s="25"/>
      <x:c r="N213" s="25"/>
      <x:c r="O213" s="20" t="str">
        <x:f>IF(OR(D213="",E213=""),"PENDING",IF(OR(D213&lt;&gt;E213,G213&lt;&gt;H213,J213&lt;&gt;K213),"CONFLICT","AGREE"))</x:f>
        <x:v>PENDING</x:v>
      </x:c>
    </x:row>
    <x:row r="214">
      <x:c r="A214" t="str">
        <x:v>ext-helvetia-pass-023</x:v>
      </x:c>
      <x:c r="B214" s="20" t="str">
        <x:v>According to assistance-brochure.pdf, what provision is stated in the supplied policy context?</x:v>
      </x:c>
      <x:c r="C214" s="20" t="str">
        <x:v>Assistance for persons Assistance for persons provides insurance to cover you if anything happens while you're travelling.</x:v>
      </x:c>
      <x:c r="D214" s="20" t="str">
        <x:f>IF(Reviewer_1!L214="","",Reviewer_1!L214)</x:f>
      </x:c>
      <x:c r="E214" s="20" t="str">
        <x:f>IF(Reviewer_2!L214="","",Reviewer_2!L214)</x:f>
      </x:c>
      <x:c r="F214" s="25"/>
      <x:c r="G214" s="20" t="str">
        <x:f>IF(Reviewer_1!M214="","",Reviewer_1!M214)</x:f>
      </x:c>
      <x:c r="H214" s="20" t="str">
        <x:f>IF(Reviewer_2!M214="","",Reviewer_2!M214)</x:f>
      </x:c>
      <x:c r="I214" s="25"/>
      <x:c r="J214" s="20" t="str">
        <x:f>IF(Reviewer_1!N214="","",Reviewer_1!N214)</x:f>
      </x:c>
      <x:c r="K214" s="20" t="str">
        <x:f>IF(Reviewer_2!N214="","",Reviewer_2!N214)</x:f>
      </x:c>
      <x:c r="L214" s="25"/>
      <x:c r="M214" s="25"/>
      <x:c r="N214" s="25"/>
      <x:c r="O214" s="20" t="str">
        <x:f>IF(OR(D214="",E214=""),"PENDING",IF(OR(D214&lt;&gt;E214,G214&lt;&gt;H214,J214&lt;&gt;K214),"CONFLICT","AGREE"))</x:f>
        <x:v>PENDING</x:v>
      </x:c>
    </x:row>
    <x:row r="215">
      <x:c r="A215" t="str">
        <x:v>ext-helvetia-pass-024</x:v>
      </x:c>
      <x:c r="B215" s="20" t="str">
        <x:v>According to assistance-sti.pdf, what provision is stated in the supplied policy context?</x:v>
      </x:c>
      <x:c r="C215" s="20" t="str">
        <x:v>Your insurance coverage is listed in your policy as you requested and applies solely to private individuals.</x:v>
      </x:c>
      <x:c r="D215" s="20" t="str">
        <x:f>IF(Reviewer_1!L215="","",Reviewer_1!L215)</x:f>
      </x:c>
      <x:c r="E215" s="20" t="str">
        <x:f>IF(Reviewer_2!L215="","",Reviewer_2!L215)</x:f>
      </x:c>
      <x:c r="F215" s="25"/>
      <x:c r="G215" s="20" t="str">
        <x:f>IF(Reviewer_1!M215="","",Reviewer_1!M215)</x:f>
      </x:c>
      <x:c r="H215" s="20" t="str">
        <x:f>IF(Reviewer_2!M215="","",Reviewer_2!M215)</x:f>
      </x:c>
      <x:c r="I215" s="25"/>
      <x:c r="J215" s="20" t="str">
        <x:f>IF(Reviewer_1!N215="","",Reviewer_1!N215)</x:f>
      </x:c>
      <x:c r="K215" s="20" t="str">
        <x:f>IF(Reviewer_2!N215="","",Reviewer_2!N215)</x:f>
      </x:c>
      <x:c r="L215" s="25"/>
      <x:c r="M215" s="25"/>
      <x:c r="N215" s="25"/>
      <x:c r="O215" s="20" t="str">
        <x:f>IF(OR(D215="",E215=""),"PENDING",IF(OR(D215&lt;&gt;E215,G215&lt;&gt;H215,J215&lt;&gt;K215),"CONFLICT","AGREE"))</x:f>
        <x:v>PENDING</x:v>
      </x:c>
    </x:row>
    <x:row r="216">
      <x:c r="A216" t="str">
        <x:v>ext-helvetia-pass-025</x:v>
      </x:c>
      <x:c r="B216" s="20" t="str">
        <x:v>According to brochure-household-contents-and-private-liability.pdf, what provision is stated in the supplied policy context?</x:v>
      </x:c>
      <x:c r="C216" s="20" t="str">
        <x:v>Insured persons All persons permanently residing in the same household as the policyholder.</x:v>
      </x:c>
      <x:c r="D216" s="20" t="str">
        <x:f>IF(Reviewer_1!L216="","",Reviewer_1!L216)</x:f>
      </x:c>
      <x:c r="E216" s="20" t="str">
        <x:f>IF(Reviewer_2!L216="","",Reviewer_2!L216)</x:f>
      </x:c>
      <x:c r="F216" s="25"/>
      <x:c r="G216" s="20" t="str">
        <x:f>IF(Reviewer_1!M216="","",Reviewer_1!M216)</x:f>
      </x:c>
      <x:c r="H216" s="20" t="str">
        <x:f>IF(Reviewer_2!M216="","",Reviewer_2!M216)</x:f>
      </x:c>
      <x:c r="I216" s="25"/>
      <x:c r="J216" s="20" t="str">
        <x:f>IF(Reviewer_1!N216="","",Reviewer_1!N216)</x:f>
      </x:c>
      <x:c r="K216" s="20" t="str">
        <x:f>IF(Reviewer_2!N216="","",Reviewer_2!N216)</x:f>
      </x:c>
      <x:c r="L216" s="25"/>
      <x:c r="M216" s="25"/>
      <x:c r="N216" s="25"/>
      <x:c r="O216" s="20" t="str">
        <x:f>IF(OR(D216="",E216=""),"PENDING",IF(OR(D216&lt;&gt;E216,G216&lt;&gt;H216,J216&lt;&gt;K216),"CONFLICT","AGREE"))</x:f>
        <x:v>PENDING</x:v>
      </x:c>
    </x:row>
    <x:row r="217">
      <x:c r="A217" t="str">
        <x:v>ext-helvetia-pass-026</x:v>
      </x:c>
      <x:c r="B217" s="20" t="str">
        <x:v>According to brochure-services.pdf, what provision is stated in the supplied policy context?</x:v>
      </x:c>
      <x:c r="C217" s="20" t="str">
        <x:v>helvetia.ch/kundenportal “Helvetia guarantees claims payment within 48h following a successful claims review.” 2/4 | Helvetia services – product information sheet</x:v>
      </x:c>
      <x:c r="D217" s="20" t="str">
        <x:f>IF(Reviewer_1!L217="","",Reviewer_1!L217)</x:f>
      </x:c>
      <x:c r="E217" s="20" t="str">
        <x:f>IF(Reviewer_2!L217="","",Reviewer_2!L217)</x:f>
      </x:c>
      <x:c r="F217" s="25"/>
      <x:c r="G217" s="20" t="str">
        <x:f>IF(Reviewer_1!M217="","",Reviewer_1!M217)</x:f>
      </x:c>
      <x:c r="H217" s="20" t="str">
        <x:f>IF(Reviewer_2!M217="","",Reviewer_2!M217)</x:f>
      </x:c>
      <x:c r="I217" s="25"/>
      <x:c r="J217" s="20" t="str">
        <x:f>IF(Reviewer_1!N217="","",Reviewer_1!N217)</x:f>
      </x:c>
      <x:c r="K217" s="20" t="str">
        <x:f>IF(Reviewer_2!N217="","",Reviewer_2!N217)</x:f>
      </x:c>
      <x:c r="L217" s="25"/>
      <x:c r="M217" s="25"/>
      <x:c r="N217" s="25"/>
      <x:c r="O217" s="20" t="str">
        <x:f>IF(OR(D217="",E217=""),"PENDING",IF(OR(D217&lt;&gt;E217,G217&lt;&gt;H217,J217&lt;&gt;K217),"CONFLICT","AGREE"))</x:f>
        <x:v>PENDING</x:v>
      </x:c>
    </x:row>
    <x:row r="218">
      <x:c r="A218" t="str">
        <x:v>ext-helvetia-pass-027</x:v>
      </x:c>
      <x:c r="B218" s="20" t="str">
        <x:v>According to buildings-insurance-sti.pdf, what provision is stated in the supplied policy context?</x:v>
      </x:c>
      <x:c r="C218" s="20" t="str">
        <x:v>Costs for the thawing of frozen pipelines are covered; E6 Fungal or pest infestation of any kind if proven to have been caused by insured water damage, if reported to Helvetia immediately, and provided that the construction has not been modified or extended in any way in the meantime.</x:v>
      </x:c>
      <x:c r="D218" s="20" t="str">
        <x:f>IF(Reviewer_1!L218="","",Reviewer_1!L218)</x:f>
      </x:c>
      <x:c r="E218" s="20" t="str">
        <x:f>IF(Reviewer_2!L218="","",Reviewer_2!L218)</x:f>
      </x:c>
      <x:c r="F218" s="25"/>
      <x:c r="G218" s="20" t="str">
        <x:f>IF(Reviewer_1!M218="","",Reviewer_1!M218)</x:f>
      </x:c>
      <x:c r="H218" s="20" t="str">
        <x:f>IF(Reviewer_2!M218="","",Reviewer_2!M218)</x:f>
      </x:c>
      <x:c r="I218" s="25"/>
      <x:c r="J218" s="20" t="str">
        <x:f>IF(Reviewer_1!N218="","",Reviewer_1!N218)</x:f>
      </x:c>
      <x:c r="K218" s="20" t="str">
        <x:f>IF(Reviewer_2!N218="","",Reviewer_2!N218)</x:f>
      </x:c>
      <x:c r="L218" s="25"/>
      <x:c r="M218" s="25"/>
      <x:c r="N218" s="25"/>
      <x:c r="O218" s="20" t="str">
        <x:f>IF(OR(D218="",E218=""),"PENDING",IF(OR(D218&lt;&gt;E218,G218&lt;&gt;H218,J218&lt;&gt;K218),"CONFLICT","AGREE"))</x:f>
        <x:v>PENDING</x:v>
      </x:c>
    </x:row>
    <x:row r="219">
      <x:c r="A219" t="str">
        <x:v>ext-helvetia-pass-028</x:v>
      </x:c>
      <x:c r="B219" s="20" t="str">
        <x:v>According to household-contents-private-liability-sti.pdf, what provision is stated in the supplied policy context?</x:v>
      </x:c>
      <x:c r="C219" s="20" t="str">
        <x:v>Natural forces Theft Liquids and gas Household contents all risks Destruction, damage or loss as a result of C1 flooding and inundation; C2 storms (wind of 75 km / h or more that uproots trees or takes the roofs of f buildings in the vicinity of the insured property); C3 hail; C4 avalanches; C5 snow pressure; C6 rockslides and rock impacts; C7 land slides.</x:v>
      </x:c>
      <x:c r="D219" s="20" t="str">
        <x:f>IF(Reviewer_1!L219="","",Reviewer_1!L219)</x:f>
      </x:c>
      <x:c r="E219" s="20" t="str">
        <x:f>IF(Reviewer_2!L219="","",Reviewer_2!L219)</x:f>
      </x:c>
      <x:c r="F219" s="25"/>
      <x:c r="G219" s="20" t="str">
        <x:f>IF(Reviewer_1!M219="","",Reviewer_1!M219)</x:f>
      </x:c>
      <x:c r="H219" s="20" t="str">
        <x:f>IF(Reviewer_2!M219="","",Reviewer_2!M219)</x:f>
      </x:c>
      <x:c r="I219" s="25"/>
      <x:c r="J219" s="20" t="str">
        <x:f>IF(Reviewer_1!N219="","",Reviewer_1!N219)</x:f>
      </x:c>
      <x:c r="K219" s="20" t="str">
        <x:f>IF(Reviewer_2!N219="","",Reviewer_2!N219)</x:f>
      </x:c>
      <x:c r="L219" s="25"/>
      <x:c r="M219" s="25"/>
      <x:c r="N219" s="25"/>
      <x:c r="O219" s="20" t="str">
        <x:f>IF(OR(D219="",E219=""),"PENDING",IF(OR(D219&lt;&gt;E219,G219&lt;&gt;H219,J219&lt;&gt;K219),"CONFLICT","AGREE"))</x:f>
        <x:v>PENDING</x:v>
      </x:c>
    </x:row>
    <x:row r="220">
      <x:c r="A220" t="str">
        <x:v>ext-helvetia-pass-029</x:v>
      </x:c>
      <x:c r="B220" s="20" t="str">
        <x:v>According to legal-protection-sti.pdf, what provision is stated in the supplied policy context?</x:v>
      </x:c>
      <x:c r="C220" s="20" t="str">
        <x:v>Personal legal protection Traffic legal protection Unless listed separately in the STI, the policy does not cover claims B1 The protection of the legal interests of the insured person by the insurer; B2 Payment of: ■ the cost of lawyers engaged on the insured person’s behalf; ■ the cost of mediators engaged on the insured person’s behalf; ■ the cost of experts; ■ procedural and court costs to be borne by the insured person, incl.</x:v>
      </x:c>
      <x:c r="D220" s="20" t="str">
        <x:f>IF(Reviewer_1!L220="","",Reviewer_1!L220)</x:f>
      </x:c>
      <x:c r="E220" s="20" t="str">
        <x:f>IF(Reviewer_2!L220="","",Reviewer_2!L220)</x:f>
      </x:c>
      <x:c r="F220" s="25"/>
      <x:c r="G220" s="20" t="str">
        <x:f>IF(Reviewer_1!M220="","",Reviewer_1!M220)</x:f>
      </x:c>
      <x:c r="H220" s="20" t="str">
        <x:f>IF(Reviewer_2!M220="","",Reviewer_2!M220)</x:f>
      </x:c>
      <x:c r="I220" s="25"/>
      <x:c r="J220" s="20" t="str">
        <x:f>IF(Reviewer_1!N220="","",Reviewer_1!N220)</x:f>
      </x:c>
      <x:c r="K220" s="20" t="str">
        <x:f>IF(Reviewer_2!N220="","",Reviewer_2!N220)</x:f>
      </x:c>
      <x:c r="L220" s="25"/>
      <x:c r="M220" s="25"/>
      <x:c r="N220" s="25"/>
      <x:c r="O220" s="20" t="str">
        <x:f>IF(OR(D220="",E220=""),"PENDING",IF(OR(D220&lt;&gt;E220,G220&lt;&gt;H220,J220&lt;&gt;K220),"CONFLICT","AGREE"))</x:f>
        <x:v>PENDING</x:v>
      </x:c>
    </x:row>
    <x:row r="221">
      <x:c r="A221" t="str">
        <x:v>ext-helvetia-pass-030</x:v>
      </x:c>
      <x:c r="B221" s="20" t="str">
        <x:v>According to motor-vehicle-insurance-product-sheet.pdf, what provision is stated in the supplied policy context?</x:v>
      </x:c>
      <x:c r="C221" s="20" t="str">
        <x:v>Owner and driver of the insured vehicle Insured benefits</x:v>
      </x:c>
      <x:c r="D221" s="20" t="str">
        <x:f>IF(Reviewer_1!L221="","",Reviewer_1!L221)</x:f>
      </x:c>
      <x:c r="E221" s="20" t="str">
        <x:f>IF(Reviewer_2!L221="","",Reviewer_2!L221)</x:f>
      </x:c>
      <x:c r="F221" s="25"/>
      <x:c r="G221" s="20" t="str">
        <x:f>IF(Reviewer_1!M221="","",Reviewer_1!M221)</x:f>
      </x:c>
      <x:c r="H221" s="20" t="str">
        <x:f>IF(Reviewer_2!M221="","",Reviewer_2!M221)</x:f>
      </x:c>
      <x:c r="I221" s="25"/>
      <x:c r="J221" s="20" t="str">
        <x:f>IF(Reviewer_1!N221="","",Reviewer_1!N221)</x:f>
      </x:c>
      <x:c r="K221" s="20" t="str">
        <x:f>IF(Reviewer_2!N221="","",Reviewer_2!N221)</x:f>
      </x:c>
      <x:c r="L221" s="25"/>
      <x:c r="M221" s="25"/>
      <x:c r="N221" s="25"/>
      <x:c r="O221" s="20" t="str">
        <x:f>IF(OR(D221="",E221=""),"PENDING",IF(OR(D221&lt;&gt;E221,G221&lt;&gt;H221,J221&lt;&gt;K221),"CONFLICT","AGREE"))</x:f>
        <x:v>PENDING</x:v>
      </x:c>
    </x:row>
    <x:row r="222">
      <x:c r="A222" t="str">
        <x:v>ext-helvetia-pass-031</x:v>
      </x:c>
      <x:c r="B222" s="20" t="str">
        <x:v>According to motor-vehicle-insurance-sti.pdf, what provision is stated in the supplied policy context?</x:v>
      </x:c>
      <x:c r="C222" s="20" t="str">
        <x:v>Gallen or Helvetia Swiss Life Insurance Company Ltd St.</x:v>
      </x:c>
      <x:c r="D222" s="20" t="str">
        <x:f>IF(Reviewer_1!L222="","",Reviewer_1!L222)</x:f>
      </x:c>
      <x:c r="E222" s="20" t="str">
        <x:f>IF(Reviewer_2!L222="","",Reviewer_2!L222)</x:f>
      </x:c>
      <x:c r="F222" s="25"/>
      <x:c r="G222" s="20" t="str">
        <x:f>IF(Reviewer_1!M222="","",Reviewer_1!M222)</x:f>
      </x:c>
      <x:c r="H222" s="20" t="str">
        <x:f>IF(Reviewer_2!M222="","",Reviewer_2!M222)</x:f>
      </x:c>
      <x:c r="I222" s="25"/>
      <x:c r="J222" s="20" t="str">
        <x:f>IF(Reviewer_1!N222="","",Reviewer_1!N222)</x:f>
      </x:c>
      <x:c r="K222" s="20" t="str">
        <x:f>IF(Reviewer_2!N222="","",Reviewer_2!N222)</x:f>
      </x:c>
      <x:c r="L222" s="25"/>
      <x:c r="M222" s="25"/>
      <x:c r="N222" s="25"/>
      <x:c r="O222" s="20" t="str">
        <x:f>IF(OR(D222="",E222=""),"PENDING",IF(OR(D222&lt;&gt;E222,G222&lt;&gt;H222,J222&lt;&gt;K222),"CONFLICT","AGREE"))</x:f>
        <x:v>PENDING</x:v>
      </x:c>
    </x:row>
    <x:row r="223">
      <x:c r="A223" t="str">
        <x:v>ext-helvetia-pass-032</x:v>
      </x:c>
      <x:c r="B223" s="20" t="str">
        <x:v>According to mutual-provisions-pkv.pdf, what provision is stated in the supplied policy context?</x:v>
      </x:c>
      <x:c r="C223" s="20" t="str">
        <x:v>This is why the Standard Terms of Insurance (STIs) are structured like a reference document.</x:v>
      </x:c>
      <x:c r="D223" s="20" t="str">
        <x:f>IF(Reviewer_1!L223="","",Reviewer_1!L223)</x:f>
      </x:c>
      <x:c r="E223" s="20" t="str">
        <x:f>IF(Reviewer_2!L223="","",Reviewer_2!L223)</x:f>
      </x:c>
      <x:c r="F223" s="25"/>
      <x:c r="G223" s="20" t="str">
        <x:f>IF(Reviewer_1!M223="","",Reviewer_1!M223)</x:f>
      </x:c>
      <x:c r="H223" s="20" t="str">
        <x:f>IF(Reviewer_2!M223="","",Reviewer_2!M223)</x:f>
      </x:c>
      <x:c r="I223" s="25"/>
      <x:c r="J223" s="20" t="str">
        <x:f>IF(Reviewer_1!N223="","",Reviewer_1!N223)</x:f>
      </x:c>
      <x:c r="K223" s="20" t="str">
        <x:f>IF(Reviewer_2!N223="","",Reviewer_2!N223)</x:f>
      </x:c>
      <x:c r="L223" s="25"/>
      <x:c r="M223" s="25"/>
      <x:c r="N223" s="25"/>
      <x:c r="O223" s="20" t="str">
        <x:f>IF(OR(D223="",E223=""),"PENDING",IF(OR(D223&lt;&gt;E223,G223&lt;&gt;H223,J223&lt;&gt;K223),"CONFLICT","AGREE"))</x:f>
        <x:v>PENDING</x:v>
      </x:c>
    </x:row>
    <x:row r="224">
      <x:c r="A224" t="str">
        <x:v>ext-helvetia-pass-033</x:v>
      </x:c>
      <x:c r="B224" s="20" t="str">
        <x:v>According to rental-guarantee-insurance-sti.pdf, what provision is stated in the supplied policy context?</x:v>
      </x:c>
      <x:c r="C224" s="20" t="str">
        <x:v>The contractual basis comprises the application, the customer information, the Standard Terms of Insurance and, further special conditions or supplemen - tary provisions, and also the policy.</x:v>
      </x:c>
      <x:c r="D224" s="20" t="str">
        <x:f>IF(Reviewer_1!L224="","",Reviewer_1!L224)</x:f>
      </x:c>
      <x:c r="E224" s="20" t="str">
        <x:f>IF(Reviewer_2!L224="","",Reviewer_2!L224)</x:f>
      </x:c>
      <x:c r="F224" s="25"/>
      <x:c r="G224" s="20" t="str">
        <x:f>IF(Reviewer_1!M224="","",Reviewer_1!M224)</x:f>
      </x:c>
      <x:c r="H224" s="20" t="str">
        <x:f>IF(Reviewer_2!M224="","",Reviewer_2!M224)</x:f>
      </x:c>
      <x:c r="I224" s="25"/>
      <x:c r="J224" s="20" t="str">
        <x:f>IF(Reviewer_1!N224="","",Reviewer_1!N224)</x:f>
      </x:c>
      <x:c r="K224" s="20" t="str">
        <x:f>IF(Reviewer_2!N224="","",Reviewer_2!N224)</x:f>
      </x:c>
      <x:c r="L224" s="25"/>
      <x:c r="M224" s="25"/>
      <x:c r="N224" s="25"/>
      <x:c r="O224" s="20" t="str">
        <x:f>IF(OR(D224="",E224=""),"PENDING",IF(OR(D224&lt;&gt;E224,G224&lt;&gt;H224,J224&lt;&gt;K224),"CONFLICT","AGREE"))</x:f>
        <x:v>PENDING</x:v>
      </x:c>
    </x:row>
    <x:row r="225">
      <x:c r="A225" t="str">
        <x:v>ext-helvetia-pass-034</x:v>
      </x:c>
      <x:c r="B225" s="20" t="str">
        <x:v>According to assistance-brochure.pdf, what provision is stated in the supplied policy context?</x:v>
      </x:c>
      <x:c r="C225" s="20" t="str">
        <x:v>“All-round insurance: in your leisure time, while travelling, worldwide.” Good to know With Assistance for persons insurance, all booked holidays, trips, events and concerts are insured throughout the year.</x:v>
      </x:c>
      <x:c r="D225" s="20" t="str">
        <x:f>IF(Reviewer_1!L225="","",Reviewer_1!L225)</x:f>
      </x:c>
      <x:c r="E225" s="20" t="str">
        <x:f>IF(Reviewer_2!L225="","",Reviewer_2!L225)</x:f>
      </x:c>
      <x:c r="F225" s="25"/>
      <x:c r="G225" s="20" t="str">
        <x:f>IF(Reviewer_1!M225="","",Reviewer_1!M225)</x:f>
      </x:c>
      <x:c r="H225" s="20" t="str">
        <x:f>IF(Reviewer_2!M225="","",Reviewer_2!M225)</x:f>
      </x:c>
      <x:c r="I225" s="25"/>
      <x:c r="J225" s="20" t="str">
        <x:f>IF(Reviewer_1!N225="","",Reviewer_1!N225)</x:f>
      </x:c>
      <x:c r="K225" s="20" t="str">
        <x:f>IF(Reviewer_2!N225="","",Reviewer_2!N225)</x:f>
      </x:c>
      <x:c r="L225" s="25"/>
      <x:c r="M225" s="25"/>
      <x:c r="N225" s="25"/>
      <x:c r="O225" s="20" t="str">
        <x:f>IF(OR(D225="",E225=""),"PENDING",IF(OR(D225&lt;&gt;E225,G225&lt;&gt;H225,J225&lt;&gt;K225),"CONFLICT","AGREE"))</x:f>
        <x:v>PENDING</x:v>
      </x:c>
    </x:row>
    <x:row r="226">
      <x:c r="A226" t="str">
        <x:v>ext-helvetia-pass-035</x:v>
      </x:c>
      <x:c r="B226" s="20" t="str">
        <x:v>According to assistance-sti.pdf, what provision is stated in the supplied policy context?</x:v>
      </x:c>
      <x:c r="C226" s="20" t="str">
        <x:v>A2 Loss of employment If, following the booking of the holiday or travel service, the employ ment contract of the insured person or the simultaneously booked accompanying traveller is unexpectedly terminated.</x:v>
      </x:c>
      <x:c r="D226" s="20" t="str">
        <x:f>IF(Reviewer_1!L226="","",Reviewer_1!L226)</x:f>
      </x:c>
      <x:c r="E226" s="20" t="str">
        <x:f>IF(Reviewer_2!L226="","",Reviewer_2!L226)</x:f>
      </x:c>
      <x:c r="F226" s="25"/>
      <x:c r="G226" s="20" t="str">
        <x:f>IF(Reviewer_1!M226="","",Reviewer_1!M226)</x:f>
      </x:c>
      <x:c r="H226" s="20" t="str">
        <x:f>IF(Reviewer_2!M226="","",Reviewer_2!M226)</x:f>
      </x:c>
      <x:c r="I226" s="25"/>
      <x:c r="J226" s="20" t="str">
        <x:f>IF(Reviewer_1!N226="","",Reviewer_1!N226)</x:f>
      </x:c>
      <x:c r="K226" s="20" t="str">
        <x:f>IF(Reviewer_2!N226="","",Reviewer_2!N226)</x:f>
      </x:c>
      <x:c r="L226" s="25"/>
      <x:c r="M226" s="25"/>
      <x:c r="N226" s="25"/>
      <x:c r="O226" s="20" t="str">
        <x:f>IF(OR(D226="",E226=""),"PENDING",IF(OR(D226&lt;&gt;E226,G226&lt;&gt;H226,J226&lt;&gt;K226),"CONFLICT","AGREE"))</x:f>
        <x:v>PENDING</x:v>
      </x:c>
    </x:row>
    <x:row r="227">
      <x:c r="A227" t="str">
        <x:v>ext-helvetia-pass-036</x:v>
      </x:c>
      <x:c r="B227" s="20" t="str">
        <x:v>According to brochure-household-contents-and-private-liability.pdf, what provision is stated in the supplied policy context?</x:v>
      </x:c>
      <x:c r="C227" s="20" t="str">
        <x:v>Damage and destruction of all kinds due to external causes Insured benefit New for old replacement price for an identical or equivalent household item at the time of the damage.</x:v>
      </x:c>
      <x:c r="D227" s="20" t="str">
        <x:f>IF(Reviewer_1!L227="","",Reviewer_1!L227)</x:f>
      </x:c>
      <x:c r="E227" s="20" t="str">
        <x:f>IF(Reviewer_2!L227="","",Reviewer_2!L227)</x:f>
      </x:c>
      <x:c r="F227" s="25"/>
      <x:c r="G227" s="20" t="str">
        <x:f>IF(Reviewer_1!M227="","",Reviewer_1!M227)</x:f>
      </x:c>
      <x:c r="H227" s="20" t="str">
        <x:f>IF(Reviewer_2!M227="","",Reviewer_2!M227)</x:f>
      </x:c>
      <x:c r="I227" s="25"/>
      <x:c r="J227" s="20" t="str">
        <x:f>IF(Reviewer_1!N227="","",Reviewer_1!N227)</x:f>
      </x:c>
      <x:c r="K227" s="20" t="str">
        <x:f>IF(Reviewer_2!N227="","",Reviewer_2!N227)</x:f>
      </x:c>
      <x:c r="L227" s="25"/>
      <x:c r="M227" s="25"/>
      <x:c r="N227" s="25"/>
      <x:c r="O227" s="20" t="str">
        <x:f>IF(OR(D227="",E227=""),"PENDING",IF(OR(D227&lt;&gt;E227,G227&lt;&gt;H227,J227&lt;&gt;K227),"CONFLICT","AGREE"))</x:f>
        <x:v>PENDING</x:v>
      </x:c>
    </x:row>
    <x:row r="228">
      <x:c r="A228" t="str">
        <x:v>ext-helvetia-pass-037</x:v>
      </x:c>
      <x:c r="B228" s="20" t="str">
        <x:v>According to brochure-services.pdf, what provision is stated in the supplied policy context?</x:v>
      </x:c>
      <x:c r="C228" s="20" t="str">
        <x:v>Waiver of premiums In the event of earning disability, you will benefit from a waiver of insurance premiums until the agreed end of the contract.</x:v>
      </x:c>
      <x:c r="D228" s="20" t="str">
        <x:f>IF(Reviewer_1!L228="","",Reviewer_1!L228)</x:f>
      </x:c>
      <x:c r="E228" s="20" t="str">
        <x:f>IF(Reviewer_2!L228="","",Reviewer_2!L228)</x:f>
      </x:c>
      <x:c r="F228" s="25"/>
      <x:c r="G228" s="20" t="str">
        <x:f>IF(Reviewer_1!M228="","",Reviewer_1!M228)</x:f>
      </x:c>
      <x:c r="H228" s="20" t="str">
        <x:f>IF(Reviewer_2!M228="","",Reviewer_2!M228)</x:f>
      </x:c>
      <x:c r="I228" s="25"/>
      <x:c r="J228" s="20" t="str">
        <x:f>IF(Reviewer_1!N228="","",Reviewer_1!N228)</x:f>
      </x:c>
      <x:c r="K228" s="20" t="str">
        <x:f>IF(Reviewer_2!N228="","",Reviewer_2!N228)</x:f>
      </x:c>
      <x:c r="L228" s="25"/>
      <x:c r="M228" s="25"/>
      <x:c r="N228" s="25"/>
      <x:c r="O228" s="20" t="str">
        <x:f>IF(OR(D228="",E228=""),"PENDING",IF(OR(D228&lt;&gt;E228,G228&lt;&gt;H228,J228&lt;&gt;K228),"CONFLICT","AGREE"))</x:f>
        <x:v>PENDING</x:v>
      </x:c>
    </x:row>
    <x:row r="229">
      <x:c r="A229" t="str">
        <x:v>ext-helvetia-pass-038</x:v>
      </x:c>
      <x:c r="B229" s="20" t="str">
        <x:v>According to buildings-insurance-sti.pdf, what provision is stated in the supplied policy context?</x:v>
      </x:c>
      <x:c r="C229" s="20" t="str">
        <x:v>The coverage and sums insured of the insurance you required are listed in your policy.</x:v>
      </x:c>
      <x:c r="D229" s="20" t="str">
        <x:f>IF(Reviewer_1!L229="","",Reviewer_1!L229)</x:f>
      </x:c>
      <x:c r="E229" s="20" t="str">
        <x:f>IF(Reviewer_2!L229="","",Reviewer_2!L229)</x:f>
      </x:c>
      <x:c r="F229" s="25"/>
      <x:c r="G229" s="20" t="str">
        <x:f>IF(Reviewer_1!M229="","",Reviewer_1!M229)</x:f>
      </x:c>
      <x:c r="H229" s="20" t="str">
        <x:f>IF(Reviewer_2!M229="","",Reviewer_2!M229)</x:f>
      </x:c>
      <x:c r="I229" s="25"/>
      <x:c r="J229" s="20" t="str">
        <x:f>IF(Reviewer_1!N229="","",Reviewer_1!N229)</x:f>
      </x:c>
      <x:c r="K229" s="20" t="str">
        <x:f>IF(Reviewer_2!N229="","",Reviewer_2!N229)</x:f>
      </x:c>
      <x:c r="L229" s="25"/>
      <x:c r="M229" s="25"/>
      <x:c r="N229" s="25"/>
      <x:c r="O229" s="20" t="str">
        <x:f>IF(OR(D229="",E229=""),"PENDING",IF(OR(D229&lt;&gt;E229,G229&lt;&gt;H229,J229&lt;&gt;K229),"CONFLICT","AGREE"))</x:f>
        <x:v>PENDING</x:v>
      </x:c>
    </x:row>
    <x:row r="230">
      <x:c r="A230" t="str">
        <x:v>ext-helvetia-pass-039</x:v>
      </x:c>
      <x:c r="B230" s="20" t="str">
        <x:v>According to household-contents-private-liability-sti.pdf, what provision is stated in the supplied policy context?</x:v>
      </x:c>
      <x:c r="C230" s="20" t="str">
        <x:v>Damage conclusively proven by physical traces, witnesses or circumstances to have been caused by D1 burglary: theft by criminals who enter a building or a room of a building by force or break into a container in the room.</x:v>
      </x:c>
      <x:c r="D230" s="20" t="str">
        <x:f>IF(Reviewer_1!L230="","",Reviewer_1!L230)</x:f>
      </x:c>
      <x:c r="E230" s="20" t="str">
        <x:f>IF(Reviewer_2!L230="","",Reviewer_2!L230)</x:f>
      </x:c>
      <x:c r="F230" s="25"/>
      <x:c r="G230" s="20" t="str">
        <x:f>IF(Reviewer_1!M230="","",Reviewer_1!M230)</x:f>
      </x:c>
      <x:c r="H230" s="20" t="str">
        <x:f>IF(Reviewer_2!M230="","",Reviewer_2!M230)</x:f>
      </x:c>
      <x:c r="I230" s="25"/>
      <x:c r="J230" s="20" t="str">
        <x:f>IF(Reviewer_1!N230="","",Reviewer_1!N230)</x:f>
      </x:c>
      <x:c r="K230" s="20" t="str">
        <x:f>IF(Reviewer_2!N230="","",Reviewer_2!N230)</x:f>
      </x:c>
      <x:c r="L230" s="25"/>
      <x:c r="M230" s="25"/>
      <x:c r="N230" s="25"/>
      <x:c r="O230" s="20" t="str">
        <x:f>IF(OR(D230="",E230=""),"PENDING",IF(OR(D230&lt;&gt;E230,G230&lt;&gt;H230,J230&lt;&gt;K230),"CONFLICT","AGREE"))</x:f>
        <x:v>PENDING</x:v>
      </x:c>
    </x:row>
    <x:row r="231">
      <x:c r="A231" t="str">
        <x:v>ext-helvetia-pass-040</x:v>
      </x:c>
      <x:c r="B231" s="20" t="str">
        <x:v>According to legal-protection-sti.pdf, what provision is stated in the supplied policy context?</x:v>
      </x:c>
      <x:c r="C231" s="20" t="str">
        <x:v>clerical and judgement fees; ■ any compensation awarded to the counterparty; ■ any bail paid in order to avoid detention while awaiting trial.</x:v>
      </x:c>
      <x:c r="D231" s="20" t="str">
        <x:f>IF(Reviewer_1!L231="","",Reviewer_1!L231)</x:f>
      </x:c>
      <x:c r="E231" s="20" t="str">
        <x:f>IF(Reviewer_2!L231="","",Reviewer_2!L231)</x:f>
      </x:c>
      <x:c r="F231" s="25"/>
      <x:c r="G231" s="20" t="str">
        <x:f>IF(Reviewer_1!M231="","",Reviewer_1!M231)</x:f>
      </x:c>
      <x:c r="H231" s="20" t="str">
        <x:f>IF(Reviewer_2!M231="","",Reviewer_2!M231)</x:f>
      </x:c>
      <x:c r="I231" s="25"/>
      <x:c r="J231" s="20" t="str">
        <x:f>IF(Reviewer_1!N231="","",Reviewer_1!N231)</x:f>
      </x:c>
      <x:c r="K231" s="20" t="str">
        <x:f>IF(Reviewer_2!N231="","",Reviewer_2!N231)</x:f>
      </x:c>
      <x:c r="L231" s="25"/>
      <x:c r="M231" s="25"/>
      <x:c r="N231" s="25"/>
      <x:c r="O231" s="20" t="str">
        <x:f>IF(OR(D231="",E231=""),"PENDING",IF(OR(D231&lt;&gt;E231,G231&lt;&gt;H231,J231&lt;&gt;K231),"CONFLICT","AGREE"))</x:f>
        <x:v>PENDING</x:v>
      </x:c>
    </x:row>
    <x:row r="232">
      <x:c r="A232" t="str">
        <x:v>ext-helvetia-pass-041</x:v>
      </x:c>
      <x:c r="B232" s="20" t="str">
        <x:v>According to motor-vehicle-insurance-product-sheet.pdf, what provision is stated in the supplied policy context?</x:v>
      </x:c>
      <x:c r="C232" s="20" t="str">
        <x:v>Injury or death of persons and animals Helvetia customer portal Your insurance at a glance. [motor-vehicle-insurance-product-sheet.pdf, page 2]</x:v>
      </x:c>
      <x:c r="D232" s="20" t="str">
        <x:f>IF(Reviewer_1!L232="","",Reviewer_1!L232)</x:f>
      </x:c>
      <x:c r="E232" s="20" t="str">
        <x:f>IF(Reviewer_2!L232="","",Reviewer_2!L232)</x:f>
      </x:c>
      <x:c r="F232" s="25"/>
      <x:c r="G232" s="20" t="str">
        <x:f>IF(Reviewer_1!M232="","",Reviewer_1!M232)</x:f>
      </x:c>
      <x:c r="H232" s="20" t="str">
        <x:f>IF(Reviewer_2!M232="","",Reviewer_2!M232)</x:f>
      </x:c>
      <x:c r="I232" s="25"/>
      <x:c r="J232" s="20" t="str">
        <x:f>IF(Reviewer_1!N232="","",Reviewer_1!N232)</x:f>
      </x:c>
      <x:c r="K232" s="20" t="str">
        <x:f>IF(Reviewer_2!N232="","",Reviewer_2!N232)</x:f>
      </x:c>
      <x:c r="L232" s="25"/>
      <x:c r="M232" s="25"/>
      <x:c r="N232" s="25"/>
      <x:c r="O232" s="20" t="str">
        <x:f>IF(OR(D232="",E232=""),"PENDING",IF(OR(D232&lt;&gt;E232,G232&lt;&gt;H232,J232&lt;&gt;K232),"CONFLICT","AGREE"))</x:f>
        <x:v>PENDING</x:v>
      </x:c>
    </x:row>
    <x:row r="233">
      <x:c r="A233" t="str">
        <x:v>ext-helvetia-pass-042</x:v>
      </x:c>
      <x:c r="B233" s="20" t="str">
        <x:v>According to motor-vehicle-insurance-sti.pdf, what provision is stated in the supplied policy context?</x:v>
      </x:c>
      <x:c r="C233" s="20" t="str">
        <x:v>Alban-Anlage 26 CH-4002 Basel or Coop Rechtsschutz AG Entfelderstrasse 2 CH-5000 Aarau In the course of concluding and executing the contract, Helvetia Swiss Insurance Company Ltd is entitled to act on behalf of the other contracting parties (e. [motor-vehicle-insurance-sti.pdf, page 4]</x:v>
      </x:c>
      <x:c r="D233" s="20" t="str">
        <x:f>IF(Reviewer_1!L233="","",Reviewer_1!L233)</x:f>
      </x:c>
      <x:c r="E233" s="20" t="str">
        <x:f>IF(Reviewer_2!L233="","",Reviewer_2!L233)</x:f>
      </x:c>
      <x:c r="F233" s="25"/>
      <x:c r="G233" s="20" t="str">
        <x:f>IF(Reviewer_1!M233="","",Reviewer_1!M233)</x:f>
      </x:c>
      <x:c r="H233" s="20" t="str">
        <x:f>IF(Reviewer_2!M233="","",Reviewer_2!M233)</x:f>
      </x:c>
      <x:c r="I233" s="25"/>
      <x:c r="J233" s="20" t="str">
        <x:f>IF(Reviewer_1!N233="","",Reviewer_1!N233)</x:f>
      </x:c>
      <x:c r="K233" s="20" t="str">
        <x:f>IF(Reviewer_2!N233="","",Reviewer_2!N233)</x:f>
      </x:c>
      <x:c r="L233" s="25"/>
      <x:c r="M233" s="25"/>
      <x:c r="N233" s="25"/>
      <x:c r="O233" s="20" t="str">
        <x:f>IF(OR(D233="",E233=""),"PENDING",IF(OR(D233&lt;&gt;E233,G233&lt;&gt;H233,J233&lt;&gt;K233),"CONFLICT","AGREE"))</x:f>
        <x:v>PENDING</x:v>
      </x:c>
    </x:row>
    <x:row r="234">
      <x:c r="A234" t="str">
        <x:v>ext-helvetia-pass-043</x:v>
      </x:c>
      <x:c r="B234" s="20" t="str">
        <x:v>According to mutual-provisions-pkv.pdf, what provision is stated in the supplied policy context?</x:v>
      </x:c>
      <x:c r="C234" s="20" t="str">
        <x:v>Your insurance contract comprises the text in your policy, the Standard Terms of Insurance and the mutual provisions that apply. [mutual-provisions-pkv.pdf, page 2]</x:v>
      </x:c>
      <x:c r="D234" s="20" t="str">
        <x:f>IF(Reviewer_1!L234="","",Reviewer_1!L234)</x:f>
      </x:c>
      <x:c r="E234" s="20" t="str">
        <x:f>IF(Reviewer_2!L234="","",Reviewer_2!L234)</x:f>
      </x:c>
      <x:c r="F234" s="25"/>
      <x:c r="G234" s="20" t="str">
        <x:f>IF(Reviewer_1!M234="","",Reviewer_1!M234)</x:f>
      </x:c>
      <x:c r="H234" s="20" t="str">
        <x:f>IF(Reviewer_2!M234="","",Reviewer_2!M234)</x:f>
      </x:c>
      <x:c r="I234" s="25"/>
      <x:c r="J234" s="20" t="str">
        <x:f>IF(Reviewer_1!N234="","",Reviewer_1!N234)</x:f>
      </x:c>
      <x:c r="K234" s="20" t="str">
        <x:f>IF(Reviewer_2!N234="","",Reviewer_2!N234)</x:f>
      </x:c>
      <x:c r="L234" s="25"/>
      <x:c r="M234" s="25"/>
      <x:c r="N234" s="25"/>
      <x:c r="O234" s="20" t="str">
        <x:f>IF(OR(D234="",E234=""),"PENDING",IF(OR(D234&lt;&gt;E234,G234&lt;&gt;H234,J234&lt;&gt;K234),"CONFLICT","AGREE"))</x:f>
        <x:v>PENDING</x:v>
      </x:c>
    </x:row>
    <x:row r="235">
      <x:c r="A235" t="str">
        <x:v>ext-helvetia-pass-044</x:v>
      </x:c>
      <x:c r="B235" s="20" t="str">
        <x:v>According to rental-guarantee-insurance-sti.pdf, what provision is stated in the supplied policy context?</x:v>
      </x:c>
      <x:c r="C235" s="20" t="str">
        <x:v>The Swiss Federal Law on Insurance Contracts also applies. [rental-guarantee-insurance-sti.pdf, page 3]</x:v>
      </x:c>
      <x:c r="D235" s="20" t="str">
        <x:f>IF(Reviewer_1!L235="","",Reviewer_1!L235)</x:f>
      </x:c>
      <x:c r="E235" s="20" t="str">
        <x:f>IF(Reviewer_2!L235="","",Reviewer_2!L235)</x:f>
      </x:c>
      <x:c r="F235" s="25"/>
      <x:c r="G235" s="20" t="str">
        <x:f>IF(Reviewer_1!M235="","",Reviewer_1!M235)</x:f>
      </x:c>
      <x:c r="H235" s="20" t="str">
        <x:f>IF(Reviewer_2!M235="","",Reviewer_2!M235)</x:f>
      </x:c>
      <x:c r="I235" s="25"/>
      <x:c r="J235" s="20" t="str">
        <x:f>IF(Reviewer_1!N235="","",Reviewer_1!N235)</x:f>
      </x:c>
      <x:c r="K235" s="20" t="str">
        <x:f>IF(Reviewer_2!N235="","",Reviewer_2!N235)</x:f>
      </x:c>
      <x:c r="L235" s="25"/>
      <x:c r="M235" s="25"/>
      <x:c r="N235" s="25"/>
      <x:c r="O235" s="20" t="str">
        <x:f>IF(OR(D235="",E235=""),"PENDING",IF(OR(D235&lt;&gt;E235,G235&lt;&gt;H235,J235&lt;&gt;K235),"CONFLICT","AGREE"))</x:f>
        <x:v>PENDING</x:v>
      </x:c>
    </x:row>
    <x:row r="236">
      <x:c r="A236" t="str">
        <x:v>ext-helvetia-pass-045</x:v>
      </x:c>
      <x:c r="B236" s="20" t="str">
        <x:v>According to assistance-brochure.pdf, what provision is stated in the supplied policy context?</x:v>
      </x:c>
      <x:c r="C236" s="20" t="str">
        <x:v>Cancellation cost insurance and Assistance for persons. [assistance-brochure.pdf, page 4]</x:v>
      </x:c>
      <x:c r="D236" s="20" t="str">
        <x:f>IF(Reviewer_1!L236="","",Reviewer_1!L236)</x:f>
      </x:c>
      <x:c r="E236" s="20" t="str">
        <x:f>IF(Reviewer_2!L236="","",Reviewer_2!L236)</x:f>
      </x:c>
      <x:c r="F236" s="25"/>
      <x:c r="G236" s="20" t="str">
        <x:f>IF(Reviewer_1!M236="","",Reviewer_1!M236)</x:f>
      </x:c>
      <x:c r="H236" s="20" t="str">
        <x:f>IF(Reviewer_2!M236="","",Reviewer_2!M236)</x:f>
      </x:c>
      <x:c r="I236" s="25"/>
      <x:c r="J236" s="20" t="str">
        <x:f>IF(Reviewer_1!N236="","",Reviewer_1!N236)</x:f>
      </x:c>
      <x:c r="K236" s="20" t="str">
        <x:f>IF(Reviewer_2!N236="","",Reviewer_2!N236)</x:f>
      </x:c>
      <x:c r="L236" s="25"/>
      <x:c r="M236" s="25"/>
      <x:c r="N236" s="25"/>
      <x:c r="O236" s="20" t="str">
        <x:f>IF(OR(D236="",E236=""),"PENDING",IF(OR(D236&lt;&gt;E236,G236&lt;&gt;H236,J236&lt;&gt;K236),"CONFLICT","AGREE"))</x:f>
        <x:v>PENDING</x:v>
      </x:c>
    </x:row>
    <x:row r="237">
      <x:c r="A237" t="str">
        <x:v>ext-helvetia-pass-046</x:v>
      </x:c>
      <x:c r="B237" s="20" t="str">
        <x:v>According to assistance-sti.pdf, what provision is stated in the supplied policy context?</x:v>
      </x:c>
      <x:c r="C237" s="20" t="str">
        <x:v>A3 Failure and delays If, either before beginning a journey or while en route to the point of departure of a booked trip, the insured person experiences one of the following events: a) failure or delay of public transport or means of transportation; b) the vehicle or taxi used for transportation cannot be driven (is unroadworthy) due to breakdown, accident, theft, fire or natural forces. [assistance-sti.pdf, page 3]</x:v>
      </x:c>
      <x:c r="D237" s="20" t="str">
        <x:f>IF(Reviewer_1!L237="","",Reviewer_1!L237)</x:f>
      </x:c>
      <x:c r="E237" s="20" t="str">
        <x:f>IF(Reviewer_2!L237="","",Reviewer_2!L237)</x:f>
      </x:c>
      <x:c r="F237" s="25"/>
      <x:c r="G237" s="20" t="str">
        <x:f>IF(Reviewer_1!M237="","",Reviewer_1!M237)</x:f>
      </x:c>
      <x:c r="H237" s="20" t="str">
        <x:f>IF(Reviewer_2!M237="","",Reviewer_2!M237)</x:f>
      </x:c>
      <x:c r="I237" s="25"/>
      <x:c r="J237" s="20" t="str">
        <x:f>IF(Reviewer_1!N237="","",Reviewer_1!N237)</x:f>
      </x:c>
      <x:c r="K237" s="20" t="str">
        <x:f>IF(Reviewer_2!N237="","",Reviewer_2!N237)</x:f>
      </x:c>
      <x:c r="L237" s="25"/>
      <x:c r="M237" s="25"/>
      <x:c r="N237" s="25"/>
      <x:c r="O237" s="20" t="str">
        <x:f>IF(OR(D237="",E237=""),"PENDING",IF(OR(D237&lt;&gt;E237,G237&lt;&gt;H237,J237&lt;&gt;K237),"CONFLICT","AGREE"))</x:f>
        <x:v>PENDING</x:v>
      </x:c>
    </x:row>
    <x:row r="238">
      <x:c r="A238" t="str">
        <x:v>ext-helvetia-pass-047</x:v>
      </x:c>
      <x:c r="B238" s="20" t="str">
        <x:v>According to brochure-household-contents-and-private-liability.pdf, what provision is stated in the supplied policy context?</x:v>
      </x:c>
      <x:c r="C238" s="20" t="str">
        <x:v>Cover for losses resulting from Internet use (cyber risks) [brochure-household-contents-and-private-liability.pdf, page 3]</x:v>
      </x:c>
      <x:c r="D238" s="20" t="str">
        <x:f>IF(Reviewer_1!L238="","",Reviewer_1!L238)</x:f>
      </x:c>
      <x:c r="E238" s="20" t="str">
        <x:f>IF(Reviewer_2!L238="","",Reviewer_2!L238)</x:f>
      </x:c>
      <x:c r="F238" s="25"/>
      <x:c r="G238" s="20" t="str">
        <x:f>IF(Reviewer_1!M238="","",Reviewer_1!M238)</x:f>
      </x:c>
      <x:c r="H238" s="20" t="str">
        <x:f>IF(Reviewer_2!M238="","",Reviewer_2!M238)</x:f>
      </x:c>
      <x:c r="I238" s="25"/>
      <x:c r="J238" s="20" t="str">
        <x:f>IF(Reviewer_1!N238="","",Reviewer_1!N238)</x:f>
      </x:c>
      <x:c r="K238" s="20" t="str">
        <x:f>IF(Reviewer_2!N238="","",Reviewer_2!N238)</x:f>
      </x:c>
      <x:c r="L238" s="25"/>
      <x:c r="M238" s="25"/>
      <x:c r="N238" s="25"/>
      <x:c r="O238" s="20" t="str">
        <x:f>IF(OR(D238="",E238=""),"PENDING",IF(OR(D238&lt;&gt;E238,G238&lt;&gt;H238,J238&lt;&gt;K238),"CONFLICT","AGREE"))</x:f>
        <x:v>PENDING</x:v>
      </x:c>
    </x:row>
    <x:row r="239">
      <x:c r="A239" t="str">
        <x:v>ext-helvetia-pass-048</x:v>
      </x:c>
      <x:c r="B239" s="20" t="str">
        <x:v>According to brochure-services.pdf, what provision is stated in the supplied policy context?</x:v>
      </x:c>
      <x:c r="C239" s="20" t="str">
        <x:v>However, you will continue to benefit from insurance cover. [brochure-services.pdf, page 3]</x:v>
      </x:c>
      <x:c r="D239" s="20" t="str">
        <x:f>IF(Reviewer_1!L239="","",Reviewer_1!L239)</x:f>
      </x:c>
      <x:c r="E239" s="20" t="str">
        <x:f>IF(Reviewer_2!L239="","",Reviewer_2!L239)</x:f>
      </x:c>
      <x:c r="F239" s="25"/>
      <x:c r="G239" s="20" t="str">
        <x:f>IF(Reviewer_1!M239="","",Reviewer_1!M239)</x:f>
      </x:c>
      <x:c r="H239" s="20" t="str">
        <x:f>IF(Reviewer_2!M239="","",Reviewer_2!M239)</x:f>
      </x:c>
      <x:c r="I239" s="25"/>
      <x:c r="J239" s="20" t="str">
        <x:f>IF(Reviewer_1!N239="","",Reviewer_1!N239)</x:f>
      </x:c>
      <x:c r="K239" s="20" t="str">
        <x:f>IF(Reviewer_2!N239="","",Reviewer_2!N239)</x:f>
      </x:c>
      <x:c r="L239" s="25"/>
      <x:c r="M239" s="25"/>
      <x:c r="N239" s="25"/>
      <x:c r="O239" s="20" t="str">
        <x:f>IF(OR(D239="",E239=""),"PENDING",IF(OR(D239&lt;&gt;E239,G239&lt;&gt;H239,J239&lt;&gt;K239),"CONFLICT","AGREE"))</x:f>
        <x:v>PENDING</x:v>
      </x:c>
    </x:row>
    <x:row r="240">
      <x:c r="A240" t="str">
        <x:v>ext-helvetia-pass-049</x:v>
      </x:c>
      <x:c r="B240" s="20" t="str">
        <x:v>According to buildings-insurance-sti.pdf, what provision is stated in the supplied policy context?</x:v>
      </x:c>
      <x:c r="C240" s="20" t="str">
        <x:v>The explanation of terms must be used additionally to determine the insurance coverage. [buildings-insurance-sti.pdf, page 3]</x:v>
      </x:c>
      <x:c r="D240" s="20" t="str">
        <x:f>IF(Reviewer_1!L240="","",Reviewer_1!L240)</x:f>
      </x:c>
      <x:c r="E240" s="20" t="str">
        <x:f>IF(Reviewer_2!L240="","",Reviewer_2!L240)</x:f>
      </x:c>
      <x:c r="F240" s="25"/>
      <x:c r="G240" s="20" t="str">
        <x:f>IF(Reviewer_1!M240="","",Reviewer_1!M240)</x:f>
      </x:c>
      <x:c r="H240" s="20" t="str">
        <x:f>IF(Reviewer_2!M240="","",Reviewer_2!M240)</x:f>
      </x:c>
      <x:c r="I240" s="25"/>
      <x:c r="J240" s="20" t="str">
        <x:f>IF(Reviewer_1!N240="","",Reviewer_1!N240)</x:f>
      </x:c>
      <x:c r="K240" s="20" t="str">
        <x:f>IF(Reviewer_2!N240="","",Reviewer_2!N240)</x:f>
      </x:c>
      <x:c r="L240" s="25"/>
      <x:c r="M240" s="25"/>
      <x:c r="N240" s="25"/>
      <x:c r="O240" s="20" t="str">
        <x:f>IF(OR(D240="",E240=""),"PENDING",IF(OR(D240&lt;&gt;E240,G240&lt;&gt;H240,J240&lt;&gt;K240),"CONFLICT","AGREE"))</x:f>
        <x:v>PENDING</x:v>
      </x:c>
    </x:row>
    <x:row r="241">
      <x:c r="A241" t="str">
        <x:v>ext-helvetia-pass-050</x:v>
      </x:c>
      <x:c r="B241" s="20" t="str">
        <x:v>According to household-contents-private-liability-sti.pdf, what provision is stated in the supplied policy context?</x:v>
      </x:c>
      <x:c r="C241" s="20" t="str">
        <x:v>In the case of attempted burglary and burglary on the owner-inhabited premises at the insured location, compensation will also be paid for the resultant building damage within the scope of the insured sum for household contents; D2 robbery: theft under threat or use of violence against persons as well as theft from persons unable to resist as a result of death, unconsciousness or accident. [household-contents-private-liability-sti.pdf, page 3]</x:v>
      </x:c>
      <x:c r="D241" s="20" t="str">
        <x:f>IF(Reviewer_1!L241="","",Reviewer_1!L241)</x:f>
      </x:c>
      <x:c r="E241" s="20" t="str">
        <x:f>IF(Reviewer_2!L241="","",Reviewer_2!L241)</x:f>
      </x:c>
      <x:c r="F241" s="25"/>
      <x:c r="G241" s="20" t="str">
        <x:f>IF(Reviewer_1!M241="","",Reviewer_1!M241)</x:f>
      </x:c>
      <x:c r="H241" s="20" t="str">
        <x:f>IF(Reviewer_2!M241="","",Reviewer_2!M241)</x:f>
      </x:c>
      <x:c r="I241" s="25"/>
      <x:c r="J241" s="20" t="str">
        <x:f>IF(Reviewer_1!N241="","",Reviewer_1!N241)</x:f>
      </x:c>
      <x:c r="K241" s="20" t="str">
        <x:f>IF(Reviewer_2!N241="","",Reviewer_2!N241)</x:f>
      </x:c>
      <x:c r="L241" s="25"/>
      <x:c r="M241" s="25"/>
      <x:c r="N241" s="25"/>
      <x:c r="O241" s="20" t="str">
        <x:f>IF(OR(D241="",E241=""),"PENDING",IF(OR(D241&lt;&gt;E241,G241&lt;&gt;H241,J241&lt;&gt;K241),"CONFLICT","AGREE"))</x:f>
        <x:v>PENDING</x:v>
      </x:c>
    </x:row>
    <x:row r="242">
      <x:c r="A242" t="str">
        <x:v>ext-helvetia-pass-051</x:v>
      </x:c>
      <x:c r="B242" s="20" t="str">
        <x:v>According to legal-protection-sti.pdf, what provision is stated in the supplied policy context?</x:v>
      </x:c>
      <x:c r="C242" s="20" t="str">
        <x:v>This benefit is paid in the form of an advance only and must be repaid to the insurer by the insured person; ■ travel expenses incurred as a result of being required to appear before a foreign court of law; ■ translation costs; B3 The insured person must return any court or prevailingparty costs awarded to him/ her to Coop Rechtsschutz up to the amount of the benefits paid. [legal-protection-sti.pdf, page 3]</x:v>
      </x:c>
      <x:c r="D242" s="20" t="str">
        <x:f>IF(Reviewer_1!L242="","",Reviewer_1!L242)</x:f>
      </x:c>
      <x:c r="E242" s="20" t="str">
        <x:f>IF(Reviewer_2!L242="","",Reviewer_2!L242)</x:f>
      </x:c>
      <x:c r="F242" s="25"/>
      <x:c r="G242" s="20" t="str">
        <x:f>IF(Reviewer_1!M242="","",Reviewer_1!M242)</x:f>
      </x:c>
      <x:c r="H242" s="20" t="str">
        <x:f>IF(Reviewer_2!M242="","",Reviewer_2!M242)</x:f>
      </x:c>
      <x:c r="I242" s="25"/>
      <x:c r="J242" s="20" t="str">
        <x:f>IF(Reviewer_1!N242="","",Reviewer_1!N242)</x:f>
      </x:c>
      <x:c r="K242" s="20" t="str">
        <x:f>IF(Reviewer_2!N242="","",Reviewer_2!N242)</x:f>
      </x:c>
      <x:c r="L242" s="25"/>
      <x:c r="M242" s="25"/>
      <x:c r="N242" s="25"/>
      <x:c r="O242" s="20" t="str">
        <x:f>IF(OR(D242="",E242=""),"PENDING",IF(OR(D242&lt;&gt;E242,G242&lt;&gt;H242,J242&lt;&gt;K242),"CONFLICT","AGREE"))</x:f>
        <x:v>PENDING</x:v>
      </x:c>
    </x:row>
    <x:row r="243">
      <x:c r="A243" t="str">
        <x:v>ext-helvetia-pass-052</x:v>
      </x:c>
      <x:c r="B243" s="20" t="str">
        <x:v>According to motor-vehicle-insurance-product-sheet.pdf, what provision is stated in the supplied policy context?</x:v>
      </x:c>
      <x:c r="C243" s="20" t="str">
        <x:v>helvetia.ch/customer-portal 2/8 | Helvetia car insurance [motor-vehicle-insurance-product-sheet.pdf, page 2]</x:v>
      </x:c>
      <x:c r="D243" s="20" t="str">
        <x:f>IF(Reviewer_1!L243="","",Reviewer_1!L243)</x:f>
      </x:c>
      <x:c r="E243" s="20" t="str">
        <x:f>IF(Reviewer_2!L243="","",Reviewer_2!L243)</x:f>
      </x:c>
      <x:c r="F243" s="25"/>
      <x:c r="G243" s="20" t="str">
        <x:f>IF(Reviewer_1!M243="","",Reviewer_1!M243)</x:f>
      </x:c>
      <x:c r="H243" s="20" t="str">
        <x:f>IF(Reviewer_2!M243="","",Reviewer_2!M243)</x:f>
      </x:c>
      <x:c r="I243" s="25"/>
      <x:c r="J243" s="20" t="str">
        <x:f>IF(Reviewer_1!N243="","",Reviewer_1!N243)</x:f>
      </x:c>
      <x:c r="K243" s="20" t="str">
        <x:f>IF(Reviewer_2!N243="","",Reviewer_2!N243)</x:f>
      </x:c>
      <x:c r="L243" s="25"/>
      <x:c r="M243" s="25"/>
      <x:c r="N243" s="25"/>
      <x:c r="O243" s="20" t="str">
        <x:f>IF(OR(D243="",E243=""),"PENDING",IF(OR(D243&lt;&gt;E243,G243&lt;&gt;H243,J243&lt;&gt;K243),"CONFLICT","AGREE"))</x:f>
        <x:v>PENDING</x:v>
      </x:c>
    </x:row>
    <x:row r="244">
      <x:c r="A244" t="str">
        <x:v>ext-helvetia-pass-053</x:v>
      </x:c>
      <x:c r="B244" s="20" t="str">
        <x:v>According to motor-vehicle-insurance-sti.pdf, what provision is stated in the supplied policy context?</x:v>
      </x:c>
      <x:c r="C244" s="20" t="str">
        <x:v>The contractual basis comprises the application, the customer information, the Standard Terms of Insurance and, if applicable, further special conditions or supplementary provisions, and also the policy. [motor-vehicle-insurance-sti.pdf, page 4]</x:v>
      </x:c>
      <x:c r="D244" s="20" t="str">
        <x:f>IF(Reviewer_1!L244="","",Reviewer_1!L244)</x:f>
      </x:c>
      <x:c r="E244" s="20" t="str">
        <x:f>IF(Reviewer_2!L244="","",Reviewer_2!L244)</x:f>
      </x:c>
      <x:c r="F244" s="25"/>
      <x:c r="G244" s="20" t="str">
        <x:f>IF(Reviewer_1!M244="","",Reviewer_1!M244)</x:f>
      </x:c>
      <x:c r="H244" s="20" t="str">
        <x:f>IF(Reviewer_2!M244="","",Reviewer_2!M244)</x:f>
      </x:c>
      <x:c r="I244" s="25"/>
      <x:c r="J244" s="20" t="str">
        <x:f>IF(Reviewer_1!N244="","",Reviewer_1!N244)</x:f>
      </x:c>
      <x:c r="K244" s="20" t="str">
        <x:f>IF(Reviewer_2!N244="","",Reviewer_2!N244)</x:f>
      </x:c>
      <x:c r="L244" s="25"/>
      <x:c r="M244" s="25"/>
      <x:c r="N244" s="25"/>
      <x:c r="O244" s="20" t="str">
        <x:f>IF(OR(D244="",E244=""),"PENDING",IF(OR(D244&lt;&gt;E244,G244&lt;&gt;H244,J244&lt;&gt;K244),"CONFLICT","AGREE"))</x:f>
        <x:v>PENDING</x:v>
      </x:c>
    </x:row>
    <x:row r="245">
      <x:c r="A245" t="str">
        <x:v>ext-helvetia-pass-054</x:v>
      </x:c>
      <x:c r="B245" s="20" t="str">
        <x:v>According to mutual-provisions-pkv.pdf, what provision is stated in the supplied policy context?</x:v>
      </x:c>
      <x:c r="C245" s="20" t="str">
        <x:v>The main relevant laws are the provisions of the Swiss Civil Code (CC), the Code of Obligations (CO), the Federal Law on Insurance Contracts (LIC), the Federal Law on Insurance Supervision (ISL) and the Private Insurer Supervision Ordinance. [mutual-provisions-pkv.pdf, page 2]</x:v>
      </x:c>
      <x:c r="D245" s="20" t="str">
        <x:f>IF(Reviewer_1!L245="","",Reviewer_1!L245)</x:f>
      </x:c>
      <x:c r="E245" s="20" t="str">
        <x:f>IF(Reviewer_2!L245="","",Reviewer_2!L245)</x:f>
      </x:c>
      <x:c r="F245" s="25"/>
      <x:c r="G245" s="20" t="str">
        <x:f>IF(Reviewer_1!M245="","",Reviewer_1!M245)</x:f>
      </x:c>
      <x:c r="H245" s="20" t="str">
        <x:f>IF(Reviewer_2!M245="","",Reviewer_2!M245)</x:f>
      </x:c>
      <x:c r="I245" s="25"/>
      <x:c r="J245" s="20" t="str">
        <x:f>IF(Reviewer_1!N245="","",Reviewer_1!N245)</x:f>
      </x:c>
      <x:c r="K245" s="20" t="str">
        <x:f>IF(Reviewer_2!N245="","",Reviewer_2!N245)</x:f>
      </x:c>
      <x:c r="L245" s="25"/>
      <x:c r="M245" s="25"/>
      <x:c r="N245" s="25"/>
      <x:c r="O245" s="20" t="str">
        <x:f>IF(OR(D245="",E245=""),"PENDING",IF(OR(D245&lt;&gt;E245,G245&lt;&gt;H245,J245&lt;&gt;K245),"CONFLICT","AGREE"))</x:f>
        <x:v>PENDING</x:v>
      </x:c>
    </x:row>
    <x:row r="246">
      <x:c r="A246" t="str">
        <x:v>ext-helvetia-pass-055</x:v>
      </x:c>
      <x:c r="B246" s="20" t="str">
        <x:v>According to rental-guarantee-insurance-sti.pdf, what provision is stated in the supplied policy context?</x:v>
      </x:c>
      <x:c r="C246" s="20" t="str">
        <x:v>If the policyholder’s place of residence/registered office is the Principality of Liechtenstein, the law of Liechtenstein applies together with the provisions of the Liechtenstein Insurance Policies Act (Versicherungsvertragsgesetz, VersVG). [rental-guarantee-insurance-sti.pdf, page 3]</x:v>
      </x:c>
      <x:c r="D246" s="20" t="str">
        <x:f>IF(Reviewer_1!L246="","",Reviewer_1!L246)</x:f>
      </x:c>
      <x:c r="E246" s="20" t="str">
        <x:f>IF(Reviewer_2!L246="","",Reviewer_2!L246)</x:f>
      </x:c>
      <x:c r="F246" s="25"/>
      <x:c r="G246" s="20" t="str">
        <x:f>IF(Reviewer_1!M246="","",Reviewer_1!M246)</x:f>
      </x:c>
      <x:c r="H246" s="20" t="str">
        <x:f>IF(Reviewer_2!M246="","",Reviewer_2!M246)</x:f>
      </x:c>
      <x:c r="I246" s="25"/>
      <x:c r="J246" s="20" t="str">
        <x:f>IF(Reviewer_1!N246="","",Reviewer_1!N246)</x:f>
      </x:c>
      <x:c r="K246" s="20" t="str">
        <x:f>IF(Reviewer_2!N246="","",Reviewer_2!N246)</x:f>
      </x:c>
      <x:c r="L246" s="25"/>
      <x:c r="M246" s="25"/>
      <x:c r="N246" s="25"/>
      <x:c r="O246" s="20" t="str">
        <x:f>IF(OR(D246="",E246=""),"PENDING",IF(OR(D246&lt;&gt;E246,G246&lt;&gt;H246,J246&lt;&gt;K246),"CONFLICT","AGREE"))</x:f>
        <x:v>PENDING</x:v>
      </x:c>
    </x:row>
    <x:row r="247">
      <x:c r="A247" t="str">
        <x:v>ext-helvetia-pass-056</x:v>
      </x:c>
      <x:c r="B247" s="20" t="str">
        <x:v>According to assistance-brochure.pdf, what provision is stated in the supplied policy context?</x:v>
      </x:c>
      <x:c r="C247" s="20" t="str">
        <x:v>Cancellation cost insurance covers you for unforeseen events occurring before your departure that make it impossible for you to set off on your journey. [assistance-brochure.pdf, page 4]</x:v>
      </x:c>
      <x:c r="D247" s="20" t="str">
        <x:f>IF(Reviewer_1!L247="","",Reviewer_1!L247)</x:f>
      </x:c>
      <x:c r="E247" s="20" t="str">
        <x:f>IF(Reviewer_2!L247="","",Reviewer_2!L247)</x:f>
      </x:c>
      <x:c r="F247" s="25"/>
      <x:c r="G247" s="20" t="str">
        <x:f>IF(Reviewer_1!M247="","",Reviewer_1!M247)</x:f>
      </x:c>
      <x:c r="H247" s="20" t="str">
        <x:f>IF(Reviewer_2!M247="","",Reviewer_2!M247)</x:f>
      </x:c>
      <x:c r="I247" s="25"/>
      <x:c r="J247" s="20" t="str">
        <x:f>IF(Reviewer_1!N247="","",Reviewer_1!N247)</x:f>
      </x:c>
      <x:c r="K247" s="20" t="str">
        <x:f>IF(Reviewer_2!N247="","",Reviewer_2!N247)</x:f>
      </x:c>
      <x:c r="L247" s="25"/>
      <x:c r="M247" s="25"/>
      <x:c r="N247" s="25"/>
      <x:c r="O247" s="20" t="str">
        <x:f>IF(OR(D247="",E247=""),"PENDING",IF(OR(D247&lt;&gt;E247,G247&lt;&gt;H247,J247&lt;&gt;K247),"CONFLICT","AGREE"))</x:f>
        <x:v>PENDING</x:v>
      </x:c>
    </x:row>
    <x:row r="248">
      <x:c r="A248" t="str">
        <x:v>ext-helvetia-pass-057</x:v>
      </x:c>
      <x:c r="B248" s="20" t="str">
        <x:v>According to assistance-sti.pdf, what provision is stated in the supplied policy context?</x:v>
      </x:c>
      <x:c r="C248" s="20" t="str">
        <x:v>A4 Burglary , events related to fire, water events or natural forces at the place of residence If the property of the insured person at their place of residence or second home is severely damaged as a result of burglary, fire, water or natural forces, thus requiring their presence during the planned trip. [assistance-sti.pdf, page 3]</x:v>
      </x:c>
      <x:c r="D248" s="20" t="str">
        <x:f>IF(Reviewer_1!L248="","",Reviewer_1!L248)</x:f>
      </x:c>
      <x:c r="E248" s="20" t="str">
        <x:f>IF(Reviewer_2!L248="","",Reviewer_2!L248)</x:f>
      </x:c>
      <x:c r="F248" s="25"/>
      <x:c r="G248" s="20" t="str">
        <x:f>IF(Reviewer_1!M248="","",Reviewer_1!M248)</x:f>
      </x:c>
      <x:c r="H248" s="20" t="str">
        <x:f>IF(Reviewer_2!M248="","",Reviewer_2!M248)</x:f>
      </x:c>
      <x:c r="I248" s="25"/>
      <x:c r="J248" s="20" t="str">
        <x:f>IF(Reviewer_1!N248="","",Reviewer_1!N248)</x:f>
      </x:c>
      <x:c r="K248" s="20" t="str">
        <x:f>IF(Reviewer_2!N248="","",Reviewer_2!N248)</x:f>
      </x:c>
      <x:c r="L248" s="25"/>
      <x:c r="M248" s="25"/>
      <x:c r="N248" s="25"/>
      <x:c r="O248" s="20" t="str">
        <x:f>IF(OR(D248="",E248=""),"PENDING",IF(OR(D248&lt;&gt;E248,G248&lt;&gt;H248,J248&lt;&gt;K248),"CONFLICT","AGREE"))</x:f>
        <x:v>PENDING</x:v>
      </x:c>
    </x:row>
    <x:row r="249">
      <x:c r="A249" t="str">
        <x:v>ext-helvetia-pass-058</x:v>
      </x:c>
      <x:c r="B249" s="20" t="str">
        <x:v>According to brochure-household-contents-and-private-liability.pdf, what provision is stated in the supplied policy context?</x:v>
      </x:c>
      <x:c r="C249" s="20" t="str">
        <x:v>Cover for damage and destruction of special valuables (e.g. [brochure-household-contents-and-private-liability.pdf, page 3]</x:v>
      </x:c>
      <x:c r="D249" s="20" t="str">
        <x:f>IF(Reviewer_1!L249="","",Reviewer_1!L249)</x:f>
      </x:c>
      <x:c r="E249" s="20" t="str">
        <x:f>IF(Reviewer_2!L249="","",Reviewer_2!L249)</x:f>
      </x:c>
      <x:c r="F249" s="25"/>
      <x:c r="G249" s="20" t="str">
        <x:f>IF(Reviewer_1!M249="","",Reviewer_1!M249)</x:f>
      </x:c>
      <x:c r="H249" s="20" t="str">
        <x:f>IF(Reviewer_2!M249="","",Reviewer_2!M249)</x:f>
      </x:c>
      <x:c r="I249" s="25"/>
      <x:c r="J249" s="20" t="str">
        <x:f>IF(Reviewer_1!N249="","",Reviewer_1!N249)</x:f>
      </x:c>
      <x:c r="K249" s="20" t="str">
        <x:f>IF(Reviewer_2!N249="","",Reviewer_2!N249)</x:f>
      </x:c>
      <x:c r="L249" s="25"/>
      <x:c r="M249" s="25"/>
      <x:c r="N249" s="25"/>
      <x:c r="O249" s="20" t="str">
        <x:f>IF(OR(D249="",E249=""),"PENDING",IF(OR(D249&lt;&gt;E249,G249&lt;&gt;H249,J249&lt;&gt;K249),"CONFLICT","AGREE"))</x:f>
        <x:v>PENDING</x:v>
      </x:c>
    </x:row>
    <x:row r="250">
      <x:c r="A250" t="str">
        <x:v>ext-helvetia-pass-059</x:v>
      </x:c>
      <x:c r="B250" s="20" t="str">
        <x:v>According to brochure-services.pdf, what provision is stated in the supplied policy context?</x:v>
      </x:c>
      <x:c r="C250" s="20" t="str">
        <x:v>Organization of a security service Psychological follow-up support We will pay the cost of psychological support provided by a qualified doctor, psychologist or psychiatrist after an insured event. [brochure-services.pdf, page 3]</x:v>
      </x:c>
      <x:c r="D250" s="20" t="str">
        <x:f>IF(Reviewer_1!L250="","",Reviewer_1!L250)</x:f>
      </x:c>
      <x:c r="E250" s="20" t="str">
        <x:f>IF(Reviewer_2!L250="","",Reviewer_2!L250)</x:f>
      </x:c>
      <x:c r="F250" s="25"/>
      <x:c r="G250" s="20" t="str">
        <x:f>IF(Reviewer_1!M250="","",Reviewer_1!M250)</x:f>
      </x:c>
      <x:c r="H250" s="20" t="str">
        <x:f>IF(Reviewer_2!M250="","",Reviewer_2!M250)</x:f>
      </x:c>
      <x:c r="I250" s="25"/>
      <x:c r="J250" s="20" t="str">
        <x:f>IF(Reviewer_1!N250="","",Reviewer_1!N250)</x:f>
      </x:c>
      <x:c r="K250" s="20" t="str">
        <x:f>IF(Reviewer_2!N250="","",Reviewer_2!N250)</x:f>
      </x:c>
      <x:c r="L250" s="25"/>
      <x:c r="M250" s="25"/>
      <x:c r="N250" s="25"/>
      <x:c r="O250" s="20" t="str">
        <x:f>IF(OR(D250="",E250=""),"PENDING",IF(OR(D250&lt;&gt;E250,G250&lt;&gt;H250,J250&lt;&gt;K250),"CONFLICT","AGREE"))</x:f>
        <x:v>PENDING</x:v>
      </x:c>
    </x:row>
    <x:row r="251">
      <x:c r="A251" t="str">
        <x:v>ext-helvetia-pass-060</x:v>
      </x:c>
      <x:c r="B251" s="20" t="str">
        <x:v>According to buildings-insurance-sti.pdf, what provision is stated in the supplied policy context?</x:v>
      </x:c>
      <x:c r="C251" s="20" t="str">
        <x:v>Underinsurance Destruction, damage or loss as a result of: B1 Fire, smoke (sudden and accidental influence) and water used to extinguish fire; B2 Lightning and overvoltage; B3 Explosion, detonation and implosion; B4 Crash-landings or emergency landings of aircraft, spacecraft or parts thereof, meteorites and other celestial bodies; B5 Pressure waves emitted by aircraft flying at supersonic speeds; B6 Scorch and smoulder damage. [buildings-insurance-sti.pdf, page 3]</x:v>
      </x:c>
      <x:c r="D251" s="20" t="str">
        <x:f>IF(Reviewer_1!L251="","",Reviewer_1!L251)</x:f>
      </x:c>
      <x:c r="E251" s="20" t="str">
        <x:f>IF(Reviewer_2!L251="","",Reviewer_2!L251)</x:f>
      </x:c>
      <x:c r="F251" s="25"/>
      <x:c r="G251" s="20" t="str">
        <x:f>IF(Reviewer_1!M251="","",Reviewer_1!M251)</x:f>
      </x:c>
      <x:c r="H251" s="20" t="str">
        <x:f>IF(Reviewer_2!M251="","",Reviewer_2!M251)</x:f>
      </x:c>
      <x:c r="I251" s="25"/>
      <x:c r="J251" s="20" t="str">
        <x:f>IF(Reviewer_1!N251="","",Reviewer_1!N251)</x:f>
      </x:c>
      <x:c r="K251" s="20" t="str">
        <x:f>IF(Reviewer_2!N251="","",Reviewer_2!N251)</x:f>
      </x:c>
      <x:c r="L251" s="25"/>
      <x:c r="M251" s="25"/>
      <x:c r="N251" s="25"/>
      <x:c r="O251" s="20" t="str">
        <x:f>IF(OR(D251="",E251=""),"PENDING",IF(OR(D251&lt;&gt;E251,G251&lt;&gt;H251,J251&lt;&gt;K251),"CONFLICT","AGREE"))</x:f>
        <x:v>PENDING</x:v>
      </x:c>
    </x:row>
    <x:row r="252">
      <x:c r="A252" t="str">
        <x:v>ext-helvetia-fail-001</x:v>
      </x:c>
      <x:c r="B252" s="20" t="str">
        <x:v>According to assistance-sti.pdf, what provision is stated in the supplied policy context?</x:v>
      </x:c>
      <x:c r="C252" s="20" t="str">
        <x:v>B3 Pets If the pet of the insured person cannot be housed with the planned care person prior to the commencement of the trip due to the care person suffering an accident, illness or death, and if the pet needs to be housed in an animal shelter as a result, Helvetia will pay up to CHF 2ʼ000 per event.</x:v>
      </x:c>
      <x:c r="D252" s="20" t="str">
        <x:f>IF(Reviewer_1!L252="","",Reviewer_1!L252)</x:f>
      </x:c>
      <x:c r="E252" s="20" t="str">
        <x:f>IF(Reviewer_2!L252="","",Reviewer_2!L252)</x:f>
      </x:c>
      <x:c r="F252" s="25"/>
      <x:c r="G252" s="20" t="str">
        <x:f>IF(Reviewer_1!M252="","",Reviewer_1!M252)</x:f>
      </x:c>
      <x:c r="H252" s="20" t="str">
        <x:f>IF(Reviewer_2!M252="","",Reviewer_2!M252)</x:f>
      </x:c>
      <x:c r="I252" s="25"/>
      <x:c r="J252" s="20" t="str">
        <x:f>IF(Reviewer_1!N252="","",Reviewer_1!N252)</x:f>
      </x:c>
      <x:c r="K252" s="20" t="str">
        <x:f>IF(Reviewer_2!N252="","",Reviewer_2!N252)</x:f>
      </x:c>
      <x:c r="L252" s="25"/>
      <x:c r="M252" s="25"/>
      <x:c r="N252" s="25"/>
      <x:c r="O252" s="20" t="str">
        <x:f>IF(OR(D252="",E252=""),"PENDING",IF(OR(D252&lt;&gt;E252,G252&lt;&gt;H252,J252&lt;&gt;K252),"CONFLICT","AGREE"))</x:f>
        <x:v>PENDING</x:v>
      </x:c>
    </x:row>
    <x:row r="253">
      <x:c r="A253" t="str">
        <x:v>ext-helvetia-fail-002</x:v>
      </x:c>
      <x:c r="B253" s="20" t="str">
        <x:v>According to brochure-household-contents-and-private-liability.pdf, what provision is stated in the supplied policy context?</x:v>
      </x:c>
      <x:c r="C253" s="20" t="str">
        <x:v>Extended cover for the use of thirdparty vehicles (worldwide 366-day cover, including rental vehicles, etc.).</x:v>
      </x:c>
      <x:c r="D253" s="20" t="str">
        <x:f>IF(Reviewer_1!L253="","",Reviewer_1!L253)</x:f>
      </x:c>
      <x:c r="E253" s="20" t="str">
        <x:f>IF(Reviewer_2!L253="","",Reviewer_2!L253)</x:f>
      </x:c>
      <x:c r="F253" s="25"/>
      <x:c r="G253" s="20" t="str">
        <x:f>IF(Reviewer_1!M253="","",Reviewer_1!M253)</x:f>
      </x:c>
      <x:c r="H253" s="20" t="str">
        <x:f>IF(Reviewer_2!M253="","",Reviewer_2!M253)</x:f>
      </x:c>
      <x:c r="I253" s="25"/>
      <x:c r="J253" s="20" t="str">
        <x:f>IF(Reviewer_1!N253="","",Reviewer_1!N253)</x:f>
      </x:c>
      <x:c r="K253" s="20" t="str">
        <x:f>IF(Reviewer_2!N253="","",Reviewer_2!N253)</x:f>
      </x:c>
      <x:c r="L253" s="25"/>
      <x:c r="M253" s="25"/>
      <x:c r="N253" s="25"/>
      <x:c r="O253" s="20" t="str">
        <x:f>IF(OR(D253="",E253=""),"PENDING",IF(OR(D253&lt;&gt;E253,G253&lt;&gt;H253,J253&lt;&gt;K253),"CONFLICT","AGREE"))</x:f>
        <x:v>PENDING</x:v>
      </x:c>
    </x:row>
    <x:row r="254">
      <x:c r="A254" t="str">
        <x:v>ext-helvetia-fail-003</x:v>
      </x:c>
      <x:c r="B254" s="20" t="str">
        <x:v>According to buildings-insurance-sti.pdf, what provision is stated in the supplied policy context?</x:v>
      </x:c>
      <x:c r="C254" s="20" t="str">
        <x:v>This exclusion does not apply if the sum insured for the building does not exceed CHF 24 million per building; A21 Costs for replacing locks, for locks which cannot be opened with the keys in question; A22 Damage to land, air and water.</x:v>
      </x:c>
      <x:c r="D254" s="20" t="str">
        <x:f>IF(Reviewer_1!L254="","",Reviewer_1!L254)</x:f>
      </x:c>
      <x:c r="E254" s="20" t="str">
        <x:f>IF(Reviewer_2!L254="","",Reviewer_2!L254)</x:f>
      </x:c>
      <x:c r="F254" s="25"/>
      <x:c r="G254" s="20" t="str">
        <x:f>IF(Reviewer_1!M254="","",Reviewer_1!M254)</x:f>
      </x:c>
      <x:c r="H254" s="20" t="str">
        <x:f>IF(Reviewer_2!M254="","",Reviewer_2!M254)</x:f>
      </x:c>
      <x:c r="I254" s="25"/>
      <x:c r="J254" s="20" t="str">
        <x:f>IF(Reviewer_1!N254="","",Reviewer_1!N254)</x:f>
      </x:c>
      <x:c r="K254" s="20" t="str">
        <x:f>IF(Reviewer_2!N254="","",Reviewer_2!N254)</x:f>
      </x:c>
      <x:c r="L254" s="25"/>
      <x:c r="M254" s="25"/>
      <x:c r="N254" s="25"/>
      <x:c r="O254" s="20" t="str">
        <x:f>IF(OR(D254="",E254=""),"PENDING",IF(OR(D254&lt;&gt;E254,G254&lt;&gt;H254,J254&lt;&gt;K254),"CONFLICT","AGREE"))</x:f>
        <x:v>PENDING</x:v>
      </x:c>
    </x:row>
    <x:row r="255">
      <x:c r="A255" t="str">
        <x:v>ext-helvetia-fail-004</x:v>
      </x:c>
      <x:c r="B255" s="20" t="str">
        <x:v>According to household-contents-private-liability-sti.pdf, what provision is stated in the supplied policy context?</x:v>
      </x:c>
      <x:c r="C255" s="20" t="str">
        <x:v>CHF 11ʼ000 20 % of the insured sum as per A1 (household contents), min.</x:v>
      </x:c>
      <x:c r="D255" s="20" t="str">
        <x:f>IF(Reviewer_1!L255="","",Reviewer_1!L255)</x:f>
      </x:c>
      <x:c r="E255" s="20" t="str">
        <x:f>IF(Reviewer_2!L255="","",Reviewer_2!L255)</x:f>
      </x:c>
      <x:c r="F255" s="25"/>
      <x:c r="G255" s="20" t="str">
        <x:f>IF(Reviewer_1!M255="","",Reviewer_1!M255)</x:f>
      </x:c>
      <x:c r="H255" s="20" t="str">
        <x:f>IF(Reviewer_2!M255="","",Reviewer_2!M255)</x:f>
      </x:c>
      <x:c r="I255" s="25"/>
      <x:c r="J255" s="20" t="str">
        <x:f>IF(Reviewer_1!N255="","",Reviewer_1!N255)</x:f>
      </x:c>
      <x:c r="K255" s="20" t="str">
        <x:f>IF(Reviewer_2!N255="","",Reviewer_2!N255)</x:f>
      </x:c>
      <x:c r="L255" s="25"/>
      <x:c r="M255" s="25"/>
      <x:c r="N255" s="25"/>
      <x:c r="O255" s="20" t="str">
        <x:f>IF(OR(D255="",E255=""),"PENDING",IF(OR(D255&lt;&gt;E255,G255&lt;&gt;H255,J255&lt;&gt;K255),"CONFLICT","AGREE"))</x:f>
        <x:v>PENDING</x:v>
      </x:c>
    </x:row>
    <x:row r="256">
      <x:c r="A256" t="str">
        <x:v>ext-helvetia-fail-005</x:v>
      </x:c>
      <x:c r="B256" s="20" t="str">
        <x:v>According to legal-protection-sti.pdf, what provision is stated in the supplied policy context?</x:v>
      </x:c>
      <x:c r="C256" s="20" t="str">
        <x:v>Personal legal protection Traffic legal protection Unless listed separately in the STI, the policy does not cover claims CHF 10’000 B4 The insured person can immediately consult a lawyer for initial advice.</x:v>
      </x:c>
      <x:c r="D256" s="20" t="str">
        <x:f>IF(Reviewer_1!L256="","",Reviewer_1!L256)</x:f>
      </x:c>
      <x:c r="E256" s="20" t="str">
        <x:f>IF(Reviewer_2!L256="","",Reviewer_2!L256)</x:f>
      </x:c>
      <x:c r="F256" s="25"/>
      <x:c r="G256" s="20" t="str">
        <x:f>IF(Reviewer_1!M256="","",Reviewer_1!M256)</x:f>
      </x:c>
      <x:c r="H256" s="20" t="str">
        <x:f>IF(Reviewer_2!M256="","",Reviewer_2!M256)</x:f>
      </x:c>
      <x:c r="I256" s="25"/>
      <x:c r="J256" s="20" t="str">
        <x:f>IF(Reviewer_1!N256="","",Reviewer_1!N256)</x:f>
      </x:c>
      <x:c r="K256" s="20" t="str">
        <x:f>IF(Reviewer_2!N256="","",Reviewer_2!N256)</x:f>
      </x:c>
      <x:c r="L256" s="25"/>
      <x:c r="M256" s="25"/>
      <x:c r="N256" s="25"/>
      <x:c r="O256" s="20" t="str">
        <x:f>IF(OR(D256="",E256=""),"PENDING",IF(OR(D256&lt;&gt;E256,G256&lt;&gt;H256,J256&lt;&gt;K256),"CONFLICT","AGREE"))</x:f>
        <x:v>PENDING</x:v>
      </x:c>
    </x:row>
    <x:row r="257">
      <x:c r="A257" t="str">
        <x:v>ext-helvetia-fail-006</x:v>
      </x:c>
      <x:c r="B257" s="20" t="str">
        <x:v>According to motor-vehicle-insurance-sti.pdf, what provision is stated in the supplied policy context?</x:v>
      </x:c>
      <x:c r="C257" s="20" t="str">
        <x:v>14/31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x:v>
      </x:c>
      <x:c r="D257" s="20" t="str">
        <x:f>IF(Reviewer_1!L257="","",Reviewer_1!L257)</x:f>
      </x:c>
      <x:c r="E257" s="20" t="str">
        <x:f>IF(Reviewer_2!L257="","",Reviewer_2!L257)</x:f>
      </x:c>
      <x:c r="F257" s="25"/>
      <x:c r="G257" s="20" t="str">
        <x:f>IF(Reviewer_1!M257="","",Reviewer_1!M257)</x:f>
      </x:c>
      <x:c r="H257" s="20" t="str">
        <x:f>IF(Reviewer_2!M257="","",Reviewer_2!M257)</x:f>
      </x:c>
      <x:c r="I257" s="25"/>
      <x:c r="J257" s="20" t="str">
        <x:f>IF(Reviewer_1!N257="","",Reviewer_1!N257)</x:f>
      </x:c>
      <x:c r="K257" s="20" t="str">
        <x:f>IF(Reviewer_2!N257="","",Reviewer_2!N257)</x:f>
      </x:c>
      <x:c r="L257" s="25"/>
      <x:c r="M257" s="25"/>
      <x:c r="N257" s="25"/>
      <x:c r="O257" s="20" t="str">
        <x:f>IF(OR(D257="",E257=""),"PENDING",IF(OR(D257&lt;&gt;E257,G257&lt;&gt;H257,J257&lt;&gt;K257),"CONFLICT","AGREE"))</x:f>
        <x:v>PENDING</x:v>
      </x:c>
    </x:row>
    <x:row r="258">
      <x:c r="A258" t="str">
        <x:v>ext-helvetia-fail-007</x:v>
      </x:c>
      <x:c r="B258" s="20" t="str">
        <x:v>According to mutual-provisions-pkv.pdf, what provision is stated in the supplied policy context?</x:v>
      </x:c>
      <x:c r="C258" s="20" t="str">
        <x:v>If such notice has been given, Helvetia may increase the premium retroactively as of the time the risks increased or terminate the part of the contract affected by the change within 15 days of receiving such notice.</x:v>
      </x:c>
      <x:c r="D258" s="20" t="str">
        <x:f>IF(Reviewer_1!L258="","",Reviewer_1!L258)</x:f>
      </x:c>
      <x:c r="E258" s="20" t="str">
        <x:f>IF(Reviewer_2!L258="","",Reviewer_2!L258)</x:f>
      </x:c>
      <x:c r="F258" s="25"/>
      <x:c r="G258" s="20" t="str">
        <x:f>IF(Reviewer_1!M258="","",Reviewer_1!M258)</x:f>
      </x:c>
      <x:c r="H258" s="20" t="str">
        <x:f>IF(Reviewer_2!M258="","",Reviewer_2!M258)</x:f>
      </x:c>
      <x:c r="I258" s="25"/>
      <x:c r="J258" s="20" t="str">
        <x:f>IF(Reviewer_1!N258="","",Reviewer_1!N258)</x:f>
      </x:c>
      <x:c r="K258" s="20" t="str">
        <x:f>IF(Reviewer_2!N258="","",Reviewer_2!N258)</x:f>
      </x:c>
      <x:c r="L258" s="25"/>
      <x:c r="M258" s="25"/>
      <x:c r="N258" s="25"/>
      <x:c r="O258" s="20" t="str">
        <x:f>IF(OR(D258="",E258=""),"PENDING",IF(OR(D258&lt;&gt;E258,G258&lt;&gt;H258,J258&lt;&gt;K258),"CONFLICT","AGREE"))</x:f>
        <x:v>PENDING</x:v>
      </x:c>
    </x:row>
    <x:row r="259">
      <x:c r="A259" t="str">
        <x:v>ext-helvetia-fail-008</x:v>
      </x:c>
      <x:c r="B259" s="20" t="str">
        <x:v>According to rental-guarantee-insurance-sti.pdf, what provision is stated in the supplied policy context?</x:v>
      </x:c>
      <x:c r="C259" s="20" t="str">
        <x:v>If the policyholders do not comply with their payment obligation, the policyholders will be requested in writing policyholders expense to make payment within 100 days.</x:v>
      </x:c>
      <x:c r="D259" s="20" t="str">
        <x:f>IF(Reviewer_1!L259="","",Reviewer_1!L259)</x:f>
      </x:c>
      <x:c r="E259" s="20" t="str">
        <x:f>IF(Reviewer_2!L259="","",Reviewer_2!L259)</x:f>
      </x:c>
      <x:c r="F259" s="25"/>
      <x:c r="G259" s="20" t="str">
        <x:f>IF(Reviewer_1!M259="","",Reviewer_1!M259)</x:f>
      </x:c>
      <x:c r="H259" s="20" t="str">
        <x:f>IF(Reviewer_2!M259="","",Reviewer_2!M259)</x:f>
      </x:c>
      <x:c r="I259" s="25"/>
      <x:c r="J259" s="20" t="str">
        <x:f>IF(Reviewer_1!N259="","",Reviewer_1!N259)</x:f>
      </x:c>
      <x:c r="K259" s="20" t="str">
        <x:f>IF(Reviewer_2!N259="","",Reviewer_2!N259)</x:f>
      </x:c>
      <x:c r="L259" s="25"/>
      <x:c r="M259" s="25"/>
      <x:c r="N259" s="25"/>
      <x:c r="O259" s="20" t="str">
        <x:f>IF(OR(D259="",E259=""),"PENDING",IF(OR(D259&lt;&gt;E259,G259&lt;&gt;H259,J259&lt;&gt;K259),"CONFLICT","AGREE"))</x:f>
        <x:v>PENDING</x:v>
      </x:c>
    </x:row>
    <x:row r="260">
      <x:c r="A260" t="str">
        <x:v>ext-helvetia-fail-009</x:v>
      </x:c>
      <x:c r="B260" s="20" t="str">
        <x:v>According to assistance-sti.pdf, what provision is stated in the supplied policy context?</x:v>
      </x:c>
      <x:c r="C260" s="20" t="str">
        <x:v>B4 Entry tickets, unlimited tickets, season tickets If the insured person is unable to use a previously bought entry ticket for an event due to an insured event and if cancellation is not possible free of charge, Helvetia will cover the costs of the ticket up to CHF 2’000.</x:v>
      </x:c>
      <x:c r="D260" s="20" t="str">
        <x:f>IF(Reviewer_1!L260="","",Reviewer_1!L260)</x:f>
      </x:c>
      <x:c r="E260" s="20" t="str">
        <x:f>IF(Reviewer_2!L260="","",Reviewer_2!L260)</x:f>
      </x:c>
      <x:c r="F260" s="25"/>
      <x:c r="G260" s="20" t="str">
        <x:f>IF(Reviewer_1!M260="","",Reviewer_1!M260)</x:f>
      </x:c>
      <x:c r="H260" s="20" t="str">
        <x:f>IF(Reviewer_2!M260="","",Reviewer_2!M260)</x:f>
      </x:c>
      <x:c r="I260" s="25"/>
      <x:c r="J260" s="20" t="str">
        <x:f>IF(Reviewer_1!N260="","",Reviewer_1!N260)</x:f>
      </x:c>
      <x:c r="K260" s="20" t="str">
        <x:f>IF(Reviewer_2!N260="","",Reviewer_2!N260)</x:f>
      </x:c>
      <x:c r="L260" s="25"/>
      <x:c r="M260" s="25"/>
      <x:c r="N260" s="25"/>
      <x:c r="O260" s="20" t="str">
        <x:f>IF(OR(D260="",E260=""),"PENDING",IF(OR(D260&lt;&gt;E260,G260&lt;&gt;H260,J260&lt;&gt;K260),"CONFLICT","AGREE"))</x:f>
        <x:v>PENDING</x:v>
      </x:c>
    </x:row>
    <x:row r="261">
      <x:c r="A261" t="str">
        <x:v>ext-helvetia-fail-010</x:v>
      </x:c>
      <x:c r="B261" s="20" t="str">
        <x:v>According to brochure-household-contents-and-private-liability.pdf, what provision is stated in the supplied policy context?</x:v>
      </x:c>
      <x:c r="C261" s="20" t="str">
        <x:v>Extended cover for the use of third-party vehicles: worldwide 24-day cover, incl.</x:v>
      </x:c>
      <x:c r="D261" s="20" t="str">
        <x:f>IF(Reviewer_1!L261="","",Reviewer_1!L261)</x:f>
      </x:c>
      <x:c r="E261" s="20" t="str">
        <x:f>IF(Reviewer_2!L261="","",Reviewer_2!L261)</x:f>
      </x:c>
      <x:c r="F261" s="25"/>
      <x:c r="G261" s="20" t="str">
        <x:f>IF(Reviewer_1!M261="","",Reviewer_1!M261)</x:f>
      </x:c>
      <x:c r="H261" s="20" t="str">
        <x:f>IF(Reviewer_2!M261="","",Reviewer_2!M261)</x:f>
      </x:c>
      <x:c r="I261" s="25"/>
      <x:c r="J261" s="20" t="str">
        <x:f>IF(Reviewer_1!N261="","",Reviewer_1!N261)</x:f>
      </x:c>
      <x:c r="K261" s="20" t="str">
        <x:f>IF(Reviewer_2!N261="","",Reviewer_2!N261)</x:f>
      </x:c>
      <x:c r="L261" s="25"/>
      <x:c r="M261" s="25"/>
      <x:c r="N261" s="25"/>
      <x:c r="O261" s="20" t="str">
        <x:f>IF(OR(D261="",E261=""),"PENDING",IF(OR(D261&lt;&gt;E261,G261&lt;&gt;H261,J261&lt;&gt;K261),"CONFLICT","AGREE"))</x:f>
        <x:v>PENDING</x:v>
      </x:c>
    </x:row>
    <x:row r="262">
      <x:c r="A262" t="str">
        <x:v>ext-helvetia-fail-011</x:v>
      </x:c>
      <x:c r="B262" s="20" t="str">
        <x:v>According to assistance-brochure.pdf, what provision is stated in the supplied policy context?</x:v>
      </x:c>
      <x:c r="C262" s="20" t="str">
        <x:v>Cancellation cost insurance Cancellation cost insurance does not cover you for unforeseen events occurring before your departure that make it impossible for you to set off on your journey.</x:v>
      </x:c>
      <x:c r="D262" s="20" t="str">
        <x:f>IF(Reviewer_1!L262="","",Reviewer_1!L262)</x:f>
      </x:c>
      <x:c r="E262" s="20" t="str">
        <x:f>IF(Reviewer_2!L262="","",Reviewer_2!L262)</x:f>
      </x:c>
      <x:c r="F262" s="25"/>
      <x:c r="G262" s="20" t="str">
        <x:f>IF(Reviewer_1!M262="","",Reviewer_1!M262)</x:f>
      </x:c>
      <x:c r="H262" s="20" t="str">
        <x:f>IF(Reviewer_2!M262="","",Reviewer_2!M262)</x:f>
      </x:c>
      <x:c r="I262" s="25"/>
      <x:c r="J262" s="20" t="str">
        <x:f>IF(Reviewer_1!N262="","",Reviewer_1!N262)</x:f>
      </x:c>
      <x:c r="K262" s="20" t="str">
        <x:f>IF(Reviewer_2!N262="","",Reviewer_2!N262)</x:f>
      </x:c>
      <x:c r="L262" s="25"/>
      <x:c r="M262" s="25"/>
      <x:c r="N262" s="25"/>
      <x:c r="O262" s="20" t="str">
        <x:f>IF(OR(D262="",E262=""),"PENDING",IF(OR(D262&lt;&gt;E262,G262&lt;&gt;H262,J262&lt;&gt;K262),"CONFLICT","AGREE"))</x:f>
        <x:v>PENDING</x:v>
      </x:c>
    </x:row>
    <x:row r="263">
      <x:c r="A263" t="str">
        <x:v>ext-helvetia-fail-012</x:v>
      </x:c>
      <x:c r="B263" s="20" t="str">
        <x:v>According to assistance-sti.pdf, what provision is stated in the supplied policy context?</x:v>
      </x:c>
      <x:c r="C263" s="20" t="str">
        <x:v>The insurance does not cover Do you want to know how you are insured?</x:v>
      </x:c>
      <x:c r="D263" s="20" t="str">
        <x:f>IF(Reviewer_1!L263="","",Reviewer_1!L263)</x:f>
      </x:c>
      <x:c r="E263" s="20" t="str">
        <x:f>IF(Reviewer_2!L263="","",Reviewer_2!L263)</x:f>
      </x:c>
      <x:c r="F263" s="25"/>
      <x:c r="G263" s="20" t="str">
        <x:f>IF(Reviewer_1!M263="","",Reviewer_1!M263)</x:f>
      </x:c>
      <x:c r="H263" s="20" t="str">
        <x:f>IF(Reviewer_2!M263="","",Reviewer_2!M263)</x:f>
      </x:c>
      <x:c r="I263" s="25"/>
      <x:c r="J263" s="20" t="str">
        <x:f>IF(Reviewer_1!N263="","",Reviewer_1!N263)</x:f>
      </x:c>
      <x:c r="K263" s="20" t="str">
        <x:f>IF(Reviewer_2!N263="","",Reviewer_2!N263)</x:f>
      </x:c>
      <x:c r="L263" s="25"/>
      <x:c r="M263" s="25"/>
      <x:c r="N263" s="25"/>
      <x:c r="O263" s="20" t="str">
        <x:f>IF(OR(D263="",E263=""),"PENDING",IF(OR(D263&lt;&gt;E263,G263&lt;&gt;H263,J263&lt;&gt;K263),"CONFLICT","AGREE"))</x:f>
        <x:v>PENDING</x:v>
      </x:c>
    </x:row>
    <x:row r="264">
      <x:c r="A264" t="str">
        <x:v>ext-helvetia-fail-013</x:v>
      </x:c>
      <x:c r="B264" s="20" t="str">
        <x:v>According to brochure-household-contents-and-private-liability.pdf, what provision is stated in the supplied policy context?</x:v>
      </x:c>
      <x:c r="C264" s="20" t="str">
        <x:v>Owners and users of model aircraft and drones up to 25 kg which are not subject to authorization Private liability insurance does not cover claims for damages in the event of damage to third-party property or personal injury.</x:v>
      </x:c>
      <x:c r="D264" s="20" t="str">
        <x:f>IF(Reviewer_1!L264="","",Reviewer_1!L264)</x:f>
      </x:c>
      <x:c r="E264" s="20" t="str">
        <x:f>IF(Reviewer_2!L264="","",Reviewer_2!L264)</x:f>
      </x:c>
      <x:c r="F264" s="25"/>
      <x:c r="G264" s="20" t="str">
        <x:f>IF(Reviewer_1!M264="","",Reviewer_1!M264)</x:f>
      </x:c>
      <x:c r="H264" s="20" t="str">
        <x:f>IF(Reviewer_2!M264="","",Reviewer_2!M264)</x:f>
      </x:c>
      <x:c r="I264" s="25"/>
      <x:c r="J264" s="20" t="str">
        <x:f>IF(Reviewer_1!N264="","",Reviewer_1!N264)</x:f>
      </x:c>
      <x:c r="K264" s="20" t="str">
        <x:f>IF(Reviewer_2!N264="","",Reviewer_2!N264)</x:f>
      </x:c>
      <x:c r="L264" s="25"/>
      <x:c r="M264" s="25"/>
      <x:c r="N264" s="25"/>
      <x:c r="O264" s="20" t="str">
        <x:f>IF(OR(D264="",E264=""),"PENDING",IF(OR(D264&lt;&gt;E264,G264&lt;&gt;H264,J264&lt;&gt;K264),"CONFLICT","AGREE"))</x:f>
        <x:v>PENDING</x:v>
      </x:c>
    </x:row>
    <x:row r="265">
      <x:c r="A265" t="str">
        <x:v>ext-helvetia-fail-014</x:v>
      </x:c>
      <x:c r="B265" s="20" t="str">
        <x:v>According to buildings-insurance-sti.pdf, what provision is stated in the supplied policy context?</x:v>
      </x:c>
      <x:c r="C265" s="20" t="str">
        <x:v>Costs for the thawing of frozen pipelines are not covered; E6 Fungal or pest infestation of any kind if proven to have been caused by insured water damage, if reported to Helvetia immediately, and provided that the construction has not been modified or extended in any way in the meantime.</x:v>
      </x:c>
      <x:c r="D265" s="20" t="str">
        <x:f>IF(Reviewer_1!L265="","",Reviewer_1!L265)</x:f>
      </x:c>
      <x:c r="E265" s="20" t="str">
        <x:f>IF(Reviewer_2!L265="","",Reviewer_2!L265)</x:f>
      </x:c>
      <x:c r="F265" s="25"/>
      <x:c r="G265" s="20" t="str">
        <x:f>IF(Reviewer_1!M265="","",Reviewer_1!M265)</x:f>
      </x:c>
      <x:c r="H265" s="20" t="str">
        <x:f>IF(Reviewer_2!M265="","",Reviewer_2!M265)</x:f>
      </x:c>
      <x:c r="I265" s="25"/>
      <x:c r="J265" s="20" t="str">
        <x:f>IF(Reviewer_1!N265="","",Reviewer_1!N265)</x:f>
      </x:c>
      <x:c r="K265" s="20" t="str">
        <x:f>IF(Reviewer_2!N265="","",Reviewer_2!N265)</x:f>
      </x:c>
      <x:c r="L265" s="25"/>
      <x:c r="M265" s="25"/>
      <x:c r="N265" s="25"/>
      <x:c r="O265" s="20" t="str">
        <x:f>IF(OR(D265="",E265=""),"PENDING",IF(OR(D265&lt;&gt;E265,G265&lt;&gt;H265,J265&lt;&gt;K265),"CONFLICT","AGREE"))</x:f>
        <x:v>PENDING</x:v>
      </x:c>
    </x:row>
    <x:row r="266">
      <x:c r="A266" t="str">
        <x:v>ext-helvetia-fail-015</x:v>
      </x:c>
      <x:c r="B266" s="20" t="str">
        <x:v>According to household-contents-private-liability-sti.pdf, what provision is stated in the supplied policy context?</x:v>
      </x:c>
      <x:c r="C266" s="20" t="str">
        <x:v>Costs for thawing frozen pipes are not covered; E6 fungal or pest infestation of any kind if proven to have been caused by insured water damage, if reported to Helvetia immediately , and provided that the construction has not been modified or extended in any way in the meantime.</x:v>
      </x:c>
      <x:c r="D266" s="20" t="str">
        <x:f>IF(Reviewer_1!L266="","",Reviewer_1!L266)</x:f>
      </x:c>
      <x:c r="E266" s="20" t="str">
        <x:f>IF(Reviewer_2!L266="","",Reviewer_2!L266)</x:f>
      </x:c>
      <x:c r="F266" s="25"/>
      <x:c r="G266" s="20" t="str">
        <x:f>IF(Reviewer_1!M266="","",Reviewer_1!M266)</x:f>
      </x:c>
      <x:c r="H266" s="20" t="str">
        <x:f>IF(Reviewer_2!M266="","",Reviewer_2!M266)</x:f>
      </x:c>
      <x:c r="I266" s="25"/>
      <x:c r="J266" s="20" t="str">
        <x:f>IF(Reviewer_1!N266="","",Reviewer_1!N266)</x:f>
      </x:c>
      <x:c r="K266" s="20" t="str">
        <x:f>IF(Reviewer_2!N266="","",Reviewer_2!N266)</x:f>
      </x:c>
      <x:c r="L266" s="25"/>
      <x:c r="M266" s="25"/>
      <x:c r="N266" s="25"/>
      <x:c r="O266" s="20" t="str">
        <x:f>IF(OR(D266="",E266=""),"PENDING",IF(OR(D266&lt;&gt;E266,G266&lt;&gt;H266,J266&lt;&gt;K266),"CONFLICT","AGREE"))</x:f>
        <x:v>PENDING</x:v>
      </x:c>
    </x:row>
    <x:row r="267">
      <x:c r="A267" t="str">
        <x:v>ext-helvetia-fail-016</x:v>
      </x:c>
      <x:c r="B267" s="20" t="str">
        <x:v>According to legal-protection-sti.pdf, what provision is stated in the supplied policy context?</x:v>
      </x:c>
      <x:c r="C267" s="20" t="str">
        <x:v>Legal protection insurance The insurance does not cover Where Waiting period Base event Do you want to know how you are insured?</x:v>
      </x:c>
      <x:c r="D267" s="20" t="str">
        <x:f>IF(Reviewer_1!L267="","",Reviewer_1!L267)</x:f>
      </x:c>
      <x:c r="E267" s="20" t="str">
        <x:f>IF(Reviewer_2!L267="","",Reviewer_2!L267)</x:f>
      </x:c>
      <x:c r="F267" s="25"/>
      <x:c r="G267" s="20" t="str">
        <x:f>IF(Reviewer_1!M267="","",Reviewer_1!M267)</x:f>
      </x:c>
      <x:c r="H267" s="20" t="str">
        <x:f>IF(Reviewer_2!M267="","",Reviewer_2!M267)</x:f>
      </x:c>
      <x:c r="I267" s="25"/>
      <x:c r="J267" s="20" t="str">
        <x:f>IF(Reviewer_1!N267="","",Reviewer_1!N267)</x:f>
      </x:c>
      <x:c r="K267" s="20" t="str">
        <x:f>IF(Reviewer_2!N267="","",Reviewer_2!N267)</x:f>
      </x:c>
      <x:c r="L267" s="25"/>
      <x:c r="M267" s="25"/>
      <x:c r="N267" s="25"/>
      <x:c r="O267" s="20" t="str">
        <x:f>IF(OR(D267="",E267=""),"PENDING",IF(OR(D267&lt;&gt;E267,G267&lt;&gt;H267,J267&lt;&gt;K267),"CONFLICT","AGREE"))</x:f>
        <x:v>PENDING</x:v>
      </x:c>
    </x:row>
    <x:row r="268">
      <x:c r="A268" t="str">
        <x:v>ext-helvetia-fail-017</x:v>
      </x:c>
      <x:c r="B268" s="20" t="str">
        <x:v>According to motor-vehicle-insurance-sti.pdf, what provision is stated in the supplied policy context?</x:v>
      </x:c>
      <x:c r="C268" s="20" t="str">
        <x:v>The right of revocation is included in the case of group personal insurance, provisional confirmation of cover, agreements with a term of less than one month.</x:v>
      </x:c>
      <x:c r="D268" s="20" t="str">
        <x:f>IF(Reviewer_1!L268="","",Reviewer_1!L268)</x:f>
      </x:c>
      <x:c r="E268" s="20" t="str">
        <x:f>IF(Reviewer_2!L268="","",Reviewer_2!L268)</x:f>
      </x:c>
      <x:c r="F268" s="25"/>
      <x:c r="G268" s="20" t="str">
        <x:f>IF(Reviewer_1!M268="","",Reviewer_1!M268)</x:f>
      </x:c>
      <x:c r="H268" s="20" t="str">
        <x:f>IF(Reviewer_2!M268="","",Reviewer_2!M268)</x:f>
      </x:c>
      <x:c r="I268" s="25"/>
      <x:c r="J268" s="20" t="str">
        <x:f>IF(Reviewer_1!N268="","",Reviewer_1!N268)</x:f>
      </x:c>
      <x:c r="K268" s="20" t="str">
        <x:f>IF(Reviewer_2!N268="","",Reviewer_2!N268)</x:f>
      </x:c>
      <x:c r="L268" s="25"/>
      <x:c r="M268" s="25"/>
      <x:c r="N268" s="25"/>
      <x:c r="O268" s="20" t="str">
        <x:f>IF(OR(D268="",E268=""),"PENDING",IF(OR(D268&lt;&gt;E268,G268&lt;&gt;H268,J268&lt;&gt;K268),"CONFLICT","AGREE"))</x:f>
        <x:v>PENDING</x:v>
      </x:c>
    </x:row>
    <x:row r="269">
      <x:c r="A269" t="str">
        <x:v>ext-helvetia-fail-018</x:v>
      </x:c>
      <x:c r="B269" s="20" t="str">
        <x:v>According to mutual-provisions-pkv.pdf, what provision is stated in the supplied policy context?</x:v>
      </x:c>
      <x:c r="C269" s="20" t="str">
        <x:v>The right of revocation is included in the case of group personal insurance, provisional confirmation of cover, agreements with a term of less than one month.</x:v>
      </x:c>
      <x:c r="D269" s="20" t="str">
        <x:f>IF(Reviewer_1!L269="","",Reviewer_1!L269)</x:f>
      </x:c>
      <x:c r="E269" s="20" t="str">
        <x:f>IF(Reviewer_2!L269="","",Reviewer_2!L269)</x:f>
      </x:c>
      <x:c r="F269" s="25"/>
      <x:c r="G269" s="20" t="str">
        <x:f>IF(Reviewer_1!M269="","",Reviewer_1!M269)</x:f>
      </x:c>
      <x:c r="H269" s="20" t="str">
        <x:f>IF(Reviewer_2!M269="","",Reviewer_2!M269)</x:f>
      </x:c>
      <x:c r="I269" s="25"/>
      <x:c r="J269" s="20" t="str">
        <x:f>IF(Reviewer_1!N269="","",Reviewer_1!N269)</x:f>
      </x:c>
      <x:c r="K269" s="20" t="str">
        <x:f>IF(Reviewer_2!N269="","",Reviewer_2!N269)</x:f>
      </x:c>
      <x:c r="L269" s="25"/>
      <x:c r="M269" s="25"/>
      <x:c r="N269" s="25"/>
      <x:c r="O269" s="20" t="str">
        <x:f>IF(OR(D269="",E269=""),"PENDING",IF(OR(D269&lt;&gt;E269,G269&lt;&gt;H269,J269&lt;&gt;K269),"CONFLICT","AGREE"))</x:f>
        <x:v>PENDING</x:v>
      </x:c>
    </x:row>
    <x:row r="270">
      <x:c r="A270" t="str">
        <x:v>ext-helvetia-fail-019</x:v>
      </x:c>
      <x:c r="B270" s="20" t="str">
        <x:v>According to rental-guarantee-insurance-sti.pdf, what provision is stated in the supplied policy context?</x:v>
      </x:c>
      <x:c r="C270" s="20" t="str">
        <x:v>The right of revocation is included in the case of group personal insurance, provisional confirmation of cover, agreements with a term of less than one month.</x:v>
      </x:c>
      <x:c r="D270" s="20" t="str">
        <x:f>IF(Reviewer_1!L270="","",Reviewer_1!L270)</x:f>
      </x:c>
      <x:c r="E270" s="20" t="str">
        <x:f>IF(Reviewer_2!L270="","",Reviewer_2!L270)</x:f>
      </x:c>
      <x:c r="F270" s="25"/>
      <x:c r="G270" s="20" t="str">
        <x:f>IF(Reviewer_1!M270="","",Reviewer_1!M270)</x:f>
      </x:c>
      <x:c r="H270" s="20" t="str">
        <x:f>IF(Reviewer_2!M270="","",Reviewer_2!M270)</x:f>
      </x:c>
      <x:c r="I270" s="25"/>
      <x:c r="J270" s="20" t="str">
        <x:f>IF(Reviewer_1!N270="","",Reviewer_1!N270)</x:f>
      </x:c>
      <x:c r="K270" s="20" t="str">
        <x:f>IF(Reviewer_2!N270="","",Reviewer_2!N270)</x:f>
      </x:c>
      <x:c r="L270" s="25"/>
      <x:c r="M270" s="25"/>
      <x:c r="N270" s="25"/>
      <x:c r="O270" s="20" t="str">
        <x:f>IF(OR(D270="",E270=""),"PENDING",IF(OR(D270&lt;&gt;E270,G270&lt;&gt;H270,J270&lt;&gt;K270),"CONFLICT","AGREE"))</x:f>
        <x:v>PENDING</x:v>
      </x:c>
    </x:row>
    <x:row r="271">
      <x:c r="A271" t="str">
        <x:v>ext-helvetia-fail-020</x:v>
      </x:c>
      <x:c r="B271" s="20" t="str">
        <x:v>According to assistance-brochure.pdf, what provision is stated in the supplied policy context?</x:v>
      </x:c>
      <x:c r="C271" s="20" t="str">
        <x:v>Cancellation cost insurance does not cover you for unforeseen events occurring before your departure that make it impossible for you to set off on your journey.</x:v>
      </x:c>
      <x:c r="D271" s="20" t="str">
        <x:f>IF(Reviewer_1!L271="","",Reviewer_1!L271)</x:f>
      </x:c>
      <x:c r="E271" s="20" t="str">
        <x:f>IF(Reviewer_2!L271="","",Reviewer_2!L271)</x:f>
      </x:c>
      <x:c r="F271" s="25"/>
      <x:c r="G271" s="20" t="str">
        <x:f>IF(Reviewer_1!M271="","",Reviewer_1!M271)</x:f>
      </x:c>
      <x:c r="H271" s="20" t="str">
        <x:f>IF(Reviewer_2!M271="","",Reviewer_2!M271)</x:f>
      </x:c>
      <x:c r="I271" s="25"/>
      <x:c r="J271" s="20" t="str">
        <x:f>IF(Reviewer_1!N271="","",Reviewer_1!N271)</x:f>
      </x:c>
      <x:c r="K271" s="20" t="str">
        <x:f>IF(Reviewer_2!N271="","",Reviewer_2!N271)</x:f>
      </x:c>
      <x:c r="L271" s="25"/>
      <x:c r="M271" s="25"/>
      <x:c r="N271" s="25"/>
      <x:c r="O271" s="20" t="str">
        <x:f>IF(OR(D271="",E271=""),"PENDING",IF(OR(D271&lt;&gt;E271,G271&lt;&gt;H271,J271&lt;&gt;K271),"CONFLICT","AGREE"))</x:f>
        <x:v>PENDING</x:v>
      </x:c>
    </x:row>
    <x:row r="272">
      <x:c r="A272" t="str">
        <x:v>ext-helvetia-fail-021</x:v>
      </x:c>
      <x:c r="B272" s="20" t="str">
        <x:v>According to assistance-sti.pdf, what provision is stated in the supplied policy context?</x:v>
      </x:c>
      <x:c r="C272" s="20" t="str">
        <x:v>The benefits will only be provided if the scheduled delay exceeds one hour as a result of an insured event. [assistance-sti.pdf, page 5]</x:v>
      </x:c>
      <x:c r="D272" s="20" t="str">
        <x:f>IF(Reviewer_1!L272="","",Reviewer_1!L272)</x:f>
      </x:c>
      <x:c r="E272" s="20" t="str">
        <x:f>IF(Reviewer_2!L272="","",Reviewer_2!L272)</x:f>
      </x:c>
      <x:c r="F272" s="25"/>
      <x:c r="G272" s="20" t="str">
        <x:f>IF(Reviewer_1!M272="","",Reviewer_1!M272)</x:f>
      </x:c>
      <x:c r="H272" s="20" t="str">
        <x:f>IF(Reviewer_2!M272="","",Reviewer_2!M272)</x:f>
      </x:c>
      <x:c r="I272" s="25"/>
      <x:c r="J272" s="20" t="str">
        <x:f>IF(Reviewer_1!N272="","",Reviewer_1!N272)</x:f>
      </x:c>
      <x:c r="K272" s="20" t="str">
        <x:f>IF(Reviewer_2!N272="","",Reviewer_2!N272)</x:f>
      </x:c>
      <x:c r="L272" s="25"/>
      <x:c r="M272" s="25"/>
      <x:c r="N272" s="25"/>
      <x:c r="O272" s="20" t="str">
        <x:f>IF(OR(D272="",E272=""),"PENDING",IF(OR(D272&lt;&gt;E272,G272&lt;&gt;H272,J272&lt;&gt;K272),"CONFLICT","AGREE"))</x:f>
        <x:v>PENDING</x:v>
      </x:c>
    </x:row>
    <x:row r="273">
      <x:c r="A273" t="str">
        <x:v>ext-helvetia-fail-022</x:v>
      </x:c>
      <x:c r="B273" s="20" t="str">
        <x:v>According to brochure-household-contents-and-private-liability.pdf, what provision is stated in the supplied policy context?</x:v>
      </x:c>
      <x:c r="C273" s="20" t="str">
        <x:v>Household contents insurance All-round protection for your personal possessions Household contents and private liability insurance 2/8 [brochure-household-contents-and-private-liability.pdf, page 3]</x:v>
      </x:c>
      <x:c r="D273" s="20" t="str">
        <x:f>IF(Reviewer_1!L273="","",Reviewer_1!L273)</x:f>
      </x:c>
      <x:c r="E273" s="20" t="str">
        <x:f>IF(Reviewer_2!L273="","",Reviewer_2!L273)</x:f>
      </x:c>
      <x:c r="F273" s="25"/>
      <x:c r="G273" s="20" t="str">
        <x:f>IF(Reviewer_1!M273="","",Reviewer_1!M273)</x:f>
      </x:c>
      <x:c r="H273" s="20" t="str">
        <x:f>IF(Reviewer_2!M273="","",Reviewer_2!M273)</x:f>
      </x:c>
      <x:c r="I273" s="25"/>
      <x:c r="J273" s="20" t="str">
        <x:f>IF(Reviewer_1!N273="","",Reviewer_1!N273)</x:f>
      </x:c>
      <x:c r="K273" s="20" t="str">
        <x:f>IF(Reviewer_2!N273="","",Reviewer_2!N273)</x:f>
      </x:c>
      <x:c r="L273" s="25"/>
      <x:c r="M273" s="25"/>
      <x:c r="N273" s="25"/>
      <x:c r="O273" s="20" t="str">
        <x:f>IF(OR(D273="",E273=""),"PENDING",IF(OR(D273&lt;&gt;E273,G273&lt;&gt;H273,J273&lt;&gt;K273),"CONFLICT","AGREE"))</x:f>
        <x:v>PENDING</x:v>
      </x:c>
    </x:row>
    <x:row r="274">
      <x:c r="A274" t="str">
        <x:v>ext-helvetia-fail-023</x:v>
      </x:c>
      <x:c r="B274" s="20" t="str">
        <x:v>According to brochure-services.pdf, what provision is stated in the supplied policy context?</x:v>
      </x:c>
      <x:c r="C274" s="20" t="str">
        <x:v>As a Swiss insurance company we stand for quality, friendliness and service. [brochure-services.pdf, page 3]</x:v>
      </x:c>
      <x:c r="D274" s="20" t="str">
        <x:f>IF(Reviewer_1!L274="","",Reviewer_1!L274)</x:f>
      </x:c>
      <x:c r="E274" s="20" t="str">
        <x:f>IF(Reviewer_2!L274="","",Reviewer_2!L274)</x:f>
      </x:c>
      <x:c r="F274" s="25"/>
      <x:c r="G274" s="20" t="str">
        <x:f>IF(Reviewer_1!M274="","",Reviewer_1!M274)</x:f>
      </x:c>
      <x:c r="H274" s="20" t="str">
        <x:f>IF(Reviewer_2!M274="","",Reviewer_2!M274)</x:f>
      </x:c>
      <x:c r="I274" s="25"/>
      <x:c r="J274" s="20" t="str">
        <x:f>IF(Reviewer_1!N274="","",Reviewer_1!N274)</x:f>
      </x:c>
      <x:c r="K274" s="20" t="str">
        <x:f>IF(Reviewer_2!N274="","",Reviewer_2!N274)</x:f>
      </x:c>
      <x:c r="L274" s="25"/>
      <x:c r="M274" s="25"/>
      <x:c r="N274" s="25"/>
      <x:c r="O274" s="20" t="str">
        <x:f>IF(OR(D274="",E274=""),"PENDING",IF(OR(D274&lt;&gt;E274,G274&lt;&gt;H274,J274&lt;&gt;K274),"CONFLICT","AGREE"))</x:f>
        <x:v>PENDING</x:v>
      </x:c>
    </x:row>
    <x:row r="275">
      <x:c r="A275" t="str">
        <x:v>ext-helvetia-fail-024</x:v>
      </x:c>
      <x:c r="B275" s="20" t="str">
        <x:v>According to buildings-insurance-sti.pdf, what provision is stated in the supplied policy context?</x:v>
      </x:c>
      <x:c r="C275" s="2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[buildings-insurance-sti.pdf, page 3]</x:v>
      </x:c>
      <x:c r="D275" s="20" t="str">
        <x:f>IF(Reviewer_1!L275="","",Reviewer_1!L275)</x:f>
      </x:c>
      <x:c r="E275" s="20" t="str">
        <x:f>IF(Reviewer_2!L275="","",Reviewer_2!L275)</x:f>
      </x:c>
      <x:c r="F275" s="25"/>
      <x:c r="G275" s="20" t="str">
        <x:f>IF(Reviewer_1!M275="","",Reviewer_1!M275)</x:f>
      </x:c>
      <x:c r="H275" s="20" t="str">
        <x:f>IF(Reviewer_2!M275="","",Reviewer_2!M275)</x:f>
      </x:c>
      <x:c r="I275" s="25"/>
      <x:c r="J275" s="20" t="str">
        <x:f>IF(Reviewer_1!N275="","",Reviewer_1!N275)</x:f>
      </x:c>
      <x:c r="K275" s="20" t="str">
        <x:f>IF(Reviewer_2!N275="","",Reviewer_2!N275)</x:f>
      </x:c>
      <x:c r="L275" s="25"/>
      <x:c r="M275" s="25"/>
      <x:c r="N275" s="25"/>
      <x:c r="O275" s="20" t="str">
        <x:f>IF(OR(D275="",E275=""),"PENDING",IF(OR(D275&lt;&gt;E275,G275&lt;&gt;H275,J275&lt;&gt;K275),"CONFLICT","AGREE"))</x:f>
        <x:v>PENDING</x:v>
      </x:c>
    </x:row>
    <x:row r="276">
      <x:c r="A276" t="str">
        <x:v>ext-helvetia-fail-025</x:v>
      </x:c>
      <x:c r="B276" s="20" t="str">
        <x:v>According to household-contents-private-liability-sti.pdf, what provision is stated in the supplied policy context?</x:v>
      </x:c>
      <x:c r="C276" s="20" t="str">
        <x:v>Standard Terms of Insurance (STI) Helvetia private customers insurance Household contents and private liability September 2025 edition [household-contents-private-liability-sti.pdf, page 2]</x:v>
      </x:c>
      <x:c r="D276" s="20" t="str">
        <x:f>IF(Reviewer_1!L276="","",Reviewer_1!L276)</x:f>
      </x:c>
      <x:c r="E276" s="20" t="str">
        <x:f>IF(Reviewer_2!L276="","",Reviewer_2!L276)</x:f>
      </x:c>
      <x:c r="F276" s="25"/>
      <x:c r="G276" s="20" t="str">
        <x:f>IF(Reviewer_1!M276="","",Reviewer_1!M276)</x:f>
      </x:c>
      <x:c r="H276" s="20" t="str">
        <x:f>IF(Reviewer_2!M276="","",Reviewer_2!M276)</x:f>
      </x:c>
      <x:c r="I276" s="25"/>
      <x:c r="J276" s="20" t="str">
        <x:f>IF(Reviewer_1!N276="","",Reviewer_1!N276)</x:f>
      </x:c>
      <x:c r="K276" s="20" t="str">
        <x:f>IF(Reviewer_2!N276="","",Reviewer_2!N276)</x:f>
      </x:c>
      <x:c r="L276" s="25"/>
      <x:c r="M276" s="25"/>
      <x:c r="N276" s="25"/>
      <x:c r="O276" s="20" t="str">
        <x:f>IF(OR(D276="",E276=""),"PENDING",IF(OR(D276&lt;&gt;E276,G276&lt;&gt;H276,J276&lt;&gt;K276),"CONFLICT","AGREE"))</x:f>
        <x:v>PENDING</x:v>
      </x:c>
    </x:row>
    <x:row r="277">
      <x:c r="A277" t="str">
        <x:v>ext-helvetia-fail-026</x:v>
      </x:c>
      <x:c r="B277" s="20" t="str">
        <x:v>According to legal-protection-sti.pdf, what provision is stated in the supplied policy context?</x:v>
      </x:c>
      <x:c r="C277" s="2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[legal-protection-sti.pdf, page 3]</x:v>
      </x:c>
      <x:c r="D277" s="20" t="str">
        <x:f>IF(Reviewer_1!L277="","",Reviewer_1!L277)</x:f>
      </x:c>
      <x:c r="E277" s="20" t="str">
        <x:f>IF(Reviewer_2!L277="","",Reviewer_2!L277)</x:f>
      </x:c>
      <x:c r="F277" s="25"/>
      <x:c r="G277" s="20" t="str">
        <x:f>IF(Reviewer_1!M277="","",Reviewer_1!M277)</x:f>
      </x:c>
      <x:c r="H277" s="20" t="str">
        <x:f>IF(Reviewer_2!M277="","",Reviewer_2!M277)</x:f>
      </x:c>
      <x:c r="I277" s="25"/>
      <x:c r="J277" s="20" t="str">
        <x:f>IF(Reviewer_1!N277="","",Reviewer_1!N277)</x:f>
      </x:c>
      <x:c r="K277" s="20" t="str">
        <x:f>IF(Reviewer_2!N277="","",Reviewer_2!N277)</x:f>
      </x:c>
      <x:c r="L277" s="25"/>
      <x:c r="M277" s="25"/>
      <x:c r="N277" s="25"/>
      <x:c r="O277" s="20" t="str">
        <x:f>IF(OR(D277="",E277=""),"PENDING",IF(OR(D277&lt;&gt;E277,G277&lt;&gt;H277,J277&lt;&gt;K277),"CONFLICT","AGREE"))</x:f>
        <x:v>PENDING</x:v>
      </x:c>
    </x:row>
    <x:row r="278">
      <x:c r="A278" t="str">
        <x:v>ext-helvetia-fail-027</x:v>
      </x:c>
      <x:c r="B278" s="20" t="str">
        <x:v>According to motor-vehicle-insurance-product-sheet.pdf, what provision is stated in the supplied policy context?</x:v>
      </x:c>
      <x:c r="C278" s="20" t="str">
        <x:v>Helvetia’s liability insurance protects you against unexpected financial burdens arising from an accident you cause. [motor-vehicle-insurance-product-sheet.pdf, page 3]</x:v>
      </x:c>
      <x:c r="D278" s="20" t="str">
        <x:f>IF(Reviewer_1!L278="","",Reviewer_1!L278)</x:f>
      </x:c>
      <x:c r="E278" s="20" t="str">
        <x:f>IF(Reviewer_2!L278="","",Reviewer_2!L278)</x:f>
      </x:c>
      <x:c r="F278" s="25"/>
      <x:c r="G278" s="20" t="str">
        <x:f>IF(Reviewer_1!M278="","",Reviewer_1!M278)</x:f>
      </x:c>
      <x:c r="H278" s="20" t="str">
        <x:f>IF(Reviewer_2!M278="","",Reviewer_2!M278)</x:f>
      </x:c>
      <x:c r="I278" s="25"/>
      <x:c r="J278" s="20" t="str">
        <x:f>IF(Reviewer_1!N278="","",Reviewer_1!N278)</x:f>
      </x:c>
      <x:c r="K278" s="20" t="str">
        <x:f>IF(Reviewer_2!N278="","",Reviewer_2!N278)</x:f>
      </x:c>
      <x:c r="L278" s="25"/>
      <x:c r="M278" s="25"/>
      <x:c r="N278" s="25"/>
      <x:c r="O278" s="20" t="str">
        <x:f>IF(OR(D278="",E278=""),"PENDING",IF(OR(D278&lt;&gt;E278,G278&lt;&gt;H278,J278&lt;&gt;K278),"CONFLICT","AGREE"))</x:f>
        <x:v>PENDING</x:v>
      </x:c>
    </x:row>
    <x:row r="279">
      <x:c r="A279" t="str">
        <x:v>ext-helvetia-fail-028</x:v>
      </x:c>
      <x:c r="B279" s="20" t="str">
        <x:v>According to motor-vehicle-insurance-sti.pdf, what provision is stated in the supplied policy context?</x:v>
      </x:c>
      <x:c r="C279" s="2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[motor-vehicle-insurance-sti.pdf, page 3]</x:v>
      </x:c>
      <x:c r="D279" s="20" t="str">
        <x:f>IF(Reviewer_1!L279="","",Reviewer_1!L279)</x:f>
      </x:c>
      <x:c r="E279" s="20" t="str">
        <x:f>IF(Reviewer_2!L279="","",Reviewer_2!L279)</x:f>
      </x:c>
      <x:c r="F279" s="25"/>
      <x:c r="G279" s="20" t="str">
        <x:f>IF(Reviewer_1!M279="","",Reviewer_1!M279)</x:f>
      </x:c>
      <x:c r="H279" s="20" t="str">
        <x:f>IF(Reviewer_2!M279="","",Reviewer_2!M279)</x:f>
      </x:c>
      <x:c r="I279" s="25"/>
      <x:c r="J279" s="20" t="str">
        <x:f>IF(Reviewer_1!N279="","",Reviewer_1!N279)</x:f>
      </x:c>
      <x:c r="K279" s="20" t="str">
        <x:f>IF(Reviewer_2!N279="","",Reviewer_2!N279)</x:f>
      </x:c>
      <x:c r="L279" s="25"/>
      <x:c r="M279" s="25"/>
      <x:c r="N279" s="25"/>
      <x:c r="O279" s="20" t="str">
        <x:f>IF(OR(D279="",E279=""),"PENDING",IF(OR(D279&lt;&gt;E279,G279&lt;&gt;H279,J279&lt;&gt;K279),"CONFLICT","AGREE"))</x:f>
        <x:v>PENDING</x:v>
      </x:c>
    </x:row>
    <x:row r="280">
      <x:c r="A280" t="str">
        <x:v>ext-helvetia-fail-029</x:v>
      </x:c>
      <x:c r="B280" s="20" t="str">
        <x:v>According to mutual-provisions-pkv.pdf, what provision is stated in the supplied policy context?</x:v>
      </x:c>
      <x:c r="C280" s="2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[mutual-provisions-pkv.pdf, page 3]</x:v>
      </x:c>
      <x:c r="D280" s="20" t="str">
        <x:f>IF(Reviewer_1!L280="","",Reviewer_1!L280)</x:f>
      </x:c>
      <x:c r="E280" s="20" t="str">
        <x:f>IF(Reviewer_2!L280="","",Reviewer_2!L280)</x:f>
      </x:c>
      <x:c r="F280" s="25"/>
      <x:c r="G280" s="20" t="str">
        <x:f>IF(Reviewer_1!M280="","",Reviewer_1!M280)</x:f>
      </x:c>
      <x:c r="H280" s="20" t="str">
        <x:f>IF(Reviewer_2!M280="","",Reviewer_2!M280)</x:f>
      </x:c>
      <x:c r="I280" s="25"/>
      <x:c r="J280" s="20" t="str">
        <x:f>IF(Reviewer_1!N280="","",Reviewer_1!N280)</x:f>
      </x:c>
      <x:c r="K280" s="20" t="str">
        <x:f>IF(Reviewer_2!N280="","",Reviewer_2!N280)</x:f>
      </x:c>
      <x:c r="L280" s="25"/>
      <x:c r="M280" s="25"/>
      <x:c r="N280" s="25"/>
      <x:c r="O280" s="20" t="str">
        <x:f>IF(OR(D280="",E280=""),"PENDING",IF(OR(D280&lt;&gt;E280,G280&lt;&gt;H280,J280&lt;&gt;K280),"CONFLICT","AGREE"))</x:f>
        <x:v>PENDING</x:v>
      </x:c>
    </x:row>
    <x:row r="281">
      <x:c r="A281" t="str">
        <x:v>ext-helvetia-fail-030</x:v>
      </x:c>
      <x:c r="B281" s="20" t="str">
        <x:v>According to rental-guarantee-insurance-sti.pdf, what provision is stated in the supplied policy context?</x:v>
      </x:c>
      <x:c r="C281" s="20" t="str">
        <x:v>3/7 | Helvetia Swiss Insurance Company Ltd STI Helvetia private rental guarantee insurance – September 2025 edition 1 Contracting party Your contracting party is: Helvetia Swiss Insurance Company Ltd Dufourstrasse 40 9001 St. [rental-guarantee-insurance-sti.pdf, page 4]</x:v>
      </x:c>
      <x:c r="D281" s="20" t="str">
        <x:f>IF(Reviewer_1!L281="","",Reviewer_1!L281)</x:f>
      </x:c>
      <x:c r="E281" s="20" t="str">
        <x:f>IF(Reviewer_2!L281="","",Reviewer_2!L281)</x:f>
      </x:c>
      <x:c r="F281" s="25"/>
      <x:c r="G281" s="20" t="str">
        <x:f>IF(Reviewer_1!M281="","",Reviewer_1!M281)</x:f>
      </x:c>
      <x:c r="H281" s="20" t="str">
        <x:f>IF(Reviewer_2!M281="","",Reviewer_2!M281)</x:f>
      </x:c>
      <x:c r="I281" s="25"/>
      <x:c r="J281" s="20" t="str">
        <x:f>IF(Reviewer_1!N281="","",Reviewer_1!N281)</x:f>
      </x:c>
      <x:c r="K281" s="20" t="str">
        <x:f>IF(Reviewer_2!N281="","",Reviewer_2!N281)</x:f>
      </x:c>
      <x:c r="L281" s="25"/>
      <x:c r="M281" s="25"/>
      <x:c r="N281" s="25"/>
      <x:c r="O281" s="20" t="str">
        <x:f>IF(OR(D281="",E281=""),"PENDING",IF(OR(D281&lt;&gt;E281,G281&lt;&gt;H281,J281&lt;&gt;K281),"CONFLICT","AGREE"))</x:f>
        <x:v>PENDING</x:v>
      </x:c>
    </x:row>
    <x:row r="282">
      <x:c r="A282" t="str">
        <x:v>ext-helvetia-fail-031</x:v>
      </x:c>
      <x:c r="B282" s="20" t="str">
        <x:v>According to assistance-sti.pdf, what provision is stated in the supplied policy context?</x:v>
      </x:c>
      <x:c r="C282" s="20" t="str">
        <x:v>H2 Towing services If the vehicleʼs function cannot be restored at the breakdown location, the costs for towing and trans porting the vehicle to the nearest suitable vehicle repair shop for the work in question or to a location suitable for storage are covered. Scope of the insurance cover Household contents includes all movables (such as clothes, furniture, consumer electronics, pets, etc.) required for living and recreation.</x:v>
      </x:c>
      <x:c r="D282" s="20" t="str">
        <x:f>IF(Reviewer_1!L282="","",Reviewer_1!L282)</x:f>
      </x:c>
      <x:c r="E282" s="20" t="str">
        <x:f>IF(Reviewer_2!L282="","",Reviewer_2!L282)</x:f>
      </x:c>
      <x:c r="F282" s="25"/>
      <x:c r="G282" s="20" t="str">
        <x:f>IF(Reviewer_1!M282="","",Reviewer_1!M282)</x:f>
      </x:c>
      <x:c r="H282" s="20" t="str">
        <x:f>IF(Reviewer_2!M282="","",Reviewer_2!M282)</x:f>
      </x:c>
      <x:c r="I282" s="25"/>
      <x:c r="J282" s="20" t="str">
        <x:f>IF(Reviewer_1!N282="","",Reviewer_1!N282)</x:f>
      </x:c>
      <x:c r="K282" s="20" t="str">
        <x:f>IF(Reviewer_2!N282="","",Reviewer_2!N282)</x:f>
      </x:c>
      <x:c r="L282" s="25"/>
      <x:c r="M282" s="25"/>
      <x:c r="N282" s="25"/>
      <x:c r="O282" s="20" t="str">
        <x:f>IF(OR(D282="",E282=""),"PENDING",IF(OR(D282&lt;&gt;E282,G282&lt;&gt;H282,J282&lt;&gt;K282),"CONFLICT","AGREE"))</x:f>
        <x:v>PENDING</x:v>
      </x:c>
    </x:row>
    <x:row r="283">
      <x:c r="A283" t="str">
        <x:v>ext-helvetia-fail-032</x:v>
      </x:c>
      <x:c r="B283" s="20" t="str">
        <x:v>According to brochure-household-contents-and-private-liability.pdf, what provision is stated in the supplied policy context?</x:v>
      </x:c>
      <x:c r="C283" s="20" t="str">
        <x:v>Household contents insurance All-round protection for your personal possessions Household contents and private liability insurance 2/8 H3 Vehicle recovery If the vehicle is unroadworthy, the costs for recovering the vehicle are insured.</x:v>
      </x:c>
      <x:c r="D283" s="20" t="str">
        <x:f>IF(Reviewer_1!L283="","",Reviewer_1!L283)</x:f>
      </x:c>
      <x:c r="E283" s="20" t="str">
        <x:f>IF(Reviewer_2!L283="","",Reviewer_2!L283)</x:f>
      </x:c>
      <x:c r="F283" s="25"/>
      <x:c r="G283" s="20" t="str">
        <x:f>IF(Reviewer_1!M283="","",Reviewer_1!M283)</x:f>
      </x:c>
      <x:c r="H283" s="20" t="str">
        <x:f>IF(Reviewer_2!M283="","",Reviewer_2!M283)</x:f>
      </x:c>
      <x:c r="I283" s="25"/>
      <x:c r="J283" s="20" t="str">
        <x:f>IF(Reviewer_1!N283="","",Reviewer_1!N283)</x:f>
      </x:c>
      <x:c r="K283" s="20" t="str">
        <x:f>IF(Reviewer_2!N283="","",Reviewer_2!N283)</x:f>
      </x:c>
      <x:c r="L283" s="25"/>
      <x:c r="M283" s="25"/>
      <x:c r="N283" s="25"/>
      <x:c r="O283" s="20" t="str">
        <x:f>IF(OR(D283="",E283=""),"PENDING",IF(OR(D283&lt;&gt;E283,G283&lt;&gt;H283,J283&lt;&gt;K283),"CONFLICT","AGREE"))</x:f>
        <x:v>PENDING</x:v>
      </x:c>
    </x:row>
    <x:row r="284">
      <x:c r="A284" t="str">
        <x:v>ext-helvetia-fail-033</x:v>
      </x:c>
      <x:c r="B284" s="20" t="str">
        <x:v>According to brochure-services.pdf, what provision is stated in the supplied policy context?</x:v>
      </x:c>
      <x:c r="C284" s="20" t="str">
        <x:v>As a Swiss insurance company we stand for quality, friendliness and service. H3 Vehicle recovery If the vehicle is unroadworthy, the costs for recovering the vehicle are insured.</x:v>
      </x:c>
      <x:c r="D284" s="20" t="str">
        <x:f>IF(Reviewer_1!L284="","",Reviewer_1!L284)</x:f>
      </x:c>
      <x:c r="E284" s="20" t="str">
        <x:f>IF(Reviewer_2!L284="","",Reviewer_2!L284)</x:f>
      </x:c>
      <x:c r="F284" s="25"/>
      <x:c r="G284" s="20" t="str">
        <x:f>IF(Reviewer_1!M284="","",Reviewer_1!M284)</x:f>
      </x:c>
      <x:c r="H284" s="20" t="str">
        <x:f>IF(Reviewer_2!M284="","",Reviewer_2!M284)</x:f>
      </x:c>
      <x:c r="I284" s="25"/>
      <x:c r="J284" s="20" t="str">
        <x:f>IF(Reviewer_1!N284="","",Reviewer_1!N284)</x:f>
      </x:c>
      <x:c r="K284" s="20" t="str">
        <x:f>IF(Reviewer_2!N284="","",Reviewer_2!N284)</x:f>
      </x:c>
      <x:c r="L284" s="25"/>
      <x:c r="M284" s="25"/>
      <x:c r="N284" s="25"/>
      <x:c r="O284" s="20" t="str">
        <x:f>IF(OR(D284="",E284=""),"PENDING",IF(OR(D284&lt;&gt;E284,G284&lt;&gt;H284,J284&lt;&gt;K284),"CONFLICT","AGREE"))</x:f>
        <x:v>PENDING</x:v>
      </x:c>
    </x:row>
    <x:row r="285">
      <x:c r="A285" t="str">
        <x:v>ext-helvetia-fail-034</x:v>
      </x:c>
      <x:c r="B285" s="20" t="str">
        <x:v>According to buildings-insurance-sti.pdf, what provision is stated in the supplied policy context?</x:v>
      </x:c>
      <x:c r="C285" s="20" t="str">
        <x:v>3/28 | Helvetia Swiss Insurance Company Ltd STI Helvetia Buildings Insurance – September 2022 edition Building property insurance 4 Fire 4 Natural forces 5 Theft 5 Liquids and gas 5 Glass breakage 8 Earthquake and volcanic eruption 9 all risks 10 Ownerʼs liability insurance 16 Bodily injury 17 Property damage 17 Purely financial loss 17 Building legal protection insurance 22 Building legal protection insurance 23 Definition of terms 24 The original German wording governs the legal interpretation of your policy. H3 Vehicle recovery If the vehicle is unroadworthy, the costs for recovering the vehicle are insured.</x:v>
      </x:c>
      <x:c r="D285" s="20" t="str">
        <x:f>IF(Reviewer_1!L285="","",Reviewer_1!L285)</x:f>
      </x:c>
      <x:c r="E285" s="20" t="str">
        <x:f>IF(Reviewer_2!L285="","",Reviewer_2!L285)</x:f>
      </x:c>
      <x:c r="F285" s="25"/>
      <x:c r="G285" s="20" t="str">
        <x:f>IF(Reviewer_1!M285="","",Reviewer_1!M285)</x:f>
      </x:c>
      <x:c r="H285" s="20" t="str">
        <x:f>IF(Reviewer_2!M285="","",Reviewer_2!M285)</x:f>
      </x:c>
      <x:c r="I285" s="25"/>
      <x:c r="J285" s="20" t="str">
        <x:f>IF(Reviewer_1!N285="","",Reviewer_1!N285)</x:f>
      </x:c>
      <x:c r="K285" s="20" t="str">
        <x:f>IF(Reviewer_2!N285="","",Reviewer_2!N285)</x:f>
      </x:c>
      <x:c r="L285" s="25"/>
      <x:c r="M285" s="25"/>
      <x:c r="N285" s="25"/>
      <x:c r="O285" s="20" t="str">
        <x:f>IF(OR(D285="",E285=""),"PENDING",IF(OR(D285&lt;&gt;E285,G285&lt;&gt;H285,J285&lt;&gt;K285),"CONFLICT","AGREE"))</x:f>
        <x:v>PENDING</x:v>
      </x:c>
    </x:row>
    <x:row r="286">
      <x:c r="A286" t="str">
        <x:v>ext-helvetia-fail-035</x:v>
      </x:c>
      <x:c r="B286" s="20" t="str">
        <x:v>According to household-contents-private-liability-sti.pdf, what provision is stated in the supplied policy context?</x:v>
      </x:c>
      <x:c r="C286" s="20" t="str">
        <x:v>Standard Terms of Insurance (STI) Helvetia private customers insurance Household contents and private liability September 2025 edition H3 Vehicle recovery If the vehicle is unroadworthy, the costs for recovering the vehicle are insured.</x:v>
      </x:c>
      <x:c r="D286" s="20" t="str">
        <x:f>IF(Reviewer_1!L286="","",Reviewer_1!L286)</x:f>
      </x:c>
      <x:c r="E286" s="20" t="str">
        <x:f>IF(Reviewer_2!L286="","",Reviewer_2!L286)</x:f>
      </x:c>
      <x:c r="F286" s="25"/>
      <x:c r="G286" s="20" t="str">
        <x:f>IF(Reviewer_1!M286="","",Reviewer_1!M286)</x:f>
      </x:c>
      <x:c r="H286" s="20" t="str">
        <x:f>IF(Reviewer_2!M286="","",Reviewer_2!M286)</x:f>
      </x:c>
      <x:c r="I286" s="25"/>
      <x:c r="J286" s="20" t="str">
        <x:f>IF(Reviewer_1!N286="","",Reviewer_1!N286)</x:f>
      </x:c>
      <x:c r="K286" s="20" t="str">
        <x:f>IF(Reviewer_2!N286="","",Reviewer_2!N286)</x:f>
      </x:c>
      <x:c r="L286" s="25"/>
      <x:c r="M286" s="25"/>
      <x:c r="N286" s="25"/>
      <x:c r="O286" s="20" t="str">
        <x:f>IF(OR(D286="",E286=""),"PENDING",IF(OR(D286&lt;&gt;E286,G286&lt;&gt;H286,J286&lt;&gt;K286),"CONFLICT","AGREE"))</x:f>
        <x:v>PENDING</x:v>
      </x:c>
    </x:row>
    <x:row r="287">
      <x:c r="A287" t="str">
        <x:v>ext-helvetia-fail-036</x:v>
      </x:c>
      <x:c r="B287" s="20" t="str">
        <x:v>According to legal-protection-sti.pdf, what provision is stated in the supplied policy context?</x:v>
      </x:c>
      <x:c r="C287" s="20" t="str">
        <x:v>Legal protection insurance 4 Basic insurance 4 Supplementary traffic insurance 8 Supplementary work insurance 8 Supplementary rent insurance 8 Supplementary owner-occupied residential property insurance 10 Supplementary non-owner-occupied residential property insurance 10 Legal consulting 12 Duration of application 12 Explanation of terms 14 Table of contents The original German wording governs the legal interpretation of this policy. H3 Vehicle recovery If the vehicle is unroadworthy, the costs for recovering the vehicle are insured.</x:v>
      </x:c>
      <x:c r="D287" s="20" t="str">
        <x:f>IF(Reviewer_1!L287="","",Reviewer_1!L287)</x:f>
      </x:c>
      <x:c r="E287" s="20" t="str">
        <x:f>IF(Reviewer_2!L287="","",Reviewer_2!L287)</x:f>
      </x:c>
      <x:c r="F287" s="25"/>
      <x:c r="G287" s="20" t="str">
        <x:f>IF(Reviewer_1!M287="","",Reviewer_1!M287)</x:f>
      </x:c>
      <x:c r="H287" s="20" t="str">
        <x:f>IF(Reviewer_2!M287="","",Reviewer_2!M287)</x:f>
      </x:c>
      <x:c r="I287" s="25"/>
      <x:c r="J287" s="20" t="str">
        <x:f>IF(Reviewer_1!N287="","",Reviewer_1!N287)</x:f>
      </x:c>
      <x:c r="K287" s="20" t="str">
        <x:f>IF(Reviewer_2!N287="","",Reviewer_2!N287)</x:f>
      </x:c>
      <x:c r="L287" s="25"/>
      <x:c r="M287" s="25"/>
      <x:c r="N287" s="25"/>
      <x:c r="O287" s="20" t="str">
        <x:f>IF(OR(D287="",E287=""),"PENDING",IF(OR(D287&lt;&gt;E287,G287&lt;&gt;H287,J287&lt;&gt;K287),"CONFLICT","AGREE"))</x:f>
        <x:v>PENDING</x:v>
      </x:c>
    </x:row>
    <x:row r="288">
      <x:c r="A288" t="str">
        <x:v>ext-helvetia-fail-037</x:v>
      </x:c>
      <x:c r="B288" s="20" t="str">
        <x:v>According to motor-vehicle-insurance-product-sheet.pdf, what provision is stated in the supplied policy context?</x:v>
      </x:c>
      <x:c r="C288" s="20" t="str">
        <x:v>Helvetia’s liability insurance protects you against unexpected financial burdens arising from an accident you cause. H3 Vehicle recovery If the vehicle is unroadworthy, the costs for recovering the vehicle are insured.</x:v>
      </x:c>
      <x:c r="D288" s="20" t="str">
        <x:f>IF(Reviewer_1!L288="","",Reviewer_1!L288)</x:f>
      </x:c>
      <x:c r="E288" s="20" t="str">
        <x:f>IF(Reviewer_2!L288="","",Reviewer_2!L288)</x:f>
      </x:c>
      <x:c r="F288" s="25"/>
      <x:c r="G288" s="20" t="str">
        <x:f>IF(Reviewer_1!M288="","",Reviewer_1!M288)</x:f>
      </x:c>
      <x:c r="H288" s="20" t="str">
        <x:f>IF(Reviewer_2!M288="","",Reviewer_2!M288)</x:f>
      </x:c>
      <x:c r="I288" s="25"/>
      <x:c r="J288" s="20" t="str">
        <x:f>IF(Reviewer_1!N288="","",Reviewer_1!N288)</x:f>
      </x:c>
      <x:c r="K288" s="20" t="str">
        <x:f>IF(Reviewer_2!N288="","",Reviewer_2!N288)</x:f>
      </x:c>
      <x:c r="L288" s="25"/>
      <x:c r="M288" s="25"/>
      <x:c r="N288" s="25"/>
      <x:c r="O288" s="20" t="str">
        <x:f>IF(OR(D288="",E288=""),"PENDING",IF(OR(D288&lt;&gt;E288,G288&lt;&gt;H288,J288&lt;&gt;K288),"CONFLICT","AGREE"))</x:f>
        <x:v>PENDING</x:v>
      </x:c>
    </x:row>
    <x:row r="289">
      <x:c r="A289" t="str">
        <x:v>ext-helvetia-fail-038</x:v>
      </x:c>
      <x:c r="B289" s="20" t="str">
        <x:v>According to motor-vehicle-insurance-sti.pdf, what provision is stated in the supplied policy context?</x:v>
      </x:c>
      <x:c r="C289" s="20" t="str">
        <x:v>2/31 | Helvetia Swiss Insurance Company Ltd STI Helvetia Motor Vehicle Insurance – Edition March 2026 Motor Vehicle Our services We are there for you: in emergencies 24 hours a day – all year round In the event of a claim: T +41 58 280 30 00 www.helvetia.ch Business office: see policy For general matters: T +41 58 280 10 00 Note: If the assistance provided by us is considered to be noninsured expenditure, the costs will be borne by the party seeking assistance. H3 Vehicle recovery If the vehicle is unroadworthy, the costs for recovering the vehicle are insured.</x:v>
      </x:c>
      <x:c r="D289" s="20" t="str">
        <x:f>IF(Reviewer_1!L289="","",Reviewer_1!L289)</x:f>
      </x:c>
      <x:c r="E289" s="20" t="str">
        <x:f>IF(Reviewer_2!L289="","",Reviewer_2!L289)</x:f>
      </x:c>
      <x:c r="F289" s="25"/>
      <x:c r="G289" s="20" t="str">
        <x:f>IF(Reviewer_1!M289="","",Reviewer_1!M289)</x:f>
      </x:c>
      <x:c r="H289" s="20" t="str">
        <x:f>IF(Reviewer_2!M289="","",Reviewer_2!M289)</x:f>
      </x:c>
      <x:c r="I289" s="25"/>
      <x:c r="J289" s="20" t="str">
        <x:f>IF(Reviewer_1!N289="","",Reviewer_1!N289)</x:f>
      </x:c>
      <x:c r="K289" s="20" t="str">
        <x:f>IF(Reviewer_2!N289="","",Reviewer_2!N289)</x:f>
      </x:c>
      <x:c r="L289" s="25"/>
      <x:c r="M289" s="25"/>
      <x:c r="N289" s="25"/>
      <x:c r="O289" s="20" t="str">
        <x:f>IF(OR(D289="",E289=""),"PENDING",IF(OR(D289&lt;&gt;E289,G289&lt;&gt;H289,J289&lt;&gt;K289),"CONFLICT","AGREE"))</x:f>
        <x:v>PENDING</x:v>
      </x:c>
    </x:row>
    <x:row r="290">
      <x:c r="A290" t="str">
        <x:v>ext-helvetia-fail-039</x:v>
      </x:c>
      <x:c r="B290" s="20" t="str">
        <x:v>According to mutual-provisions-pkv.pdf, what provision is stated in the supplied policy context?</x:v>
      </x:c>
      <x:c r="C290" s="20" t="str">
        <x:v>Customer information 3 Other contractual provisions 5 General 5 Obligations during the contract term 7 Obligations in the event of a claim 8 Benefits in the event of a claim 9 Reductions in compensation 15 Sanctions 16 Recourse against an insured person 16 Legal venue 16 Table of contents Dear customer Thank you for your interest in Helvetiaʼs private customers insurance. H3 Vehicle recovery If the vehicle is unroadworthy, the costs for recovering the vehicle are insured.</x:v>
      </x:c>
      <x:c r="D290" s="20" t="str">
        <x:f>IF(Reviewer_1!L290="","",Reviewer_1!L290)</x:f>
      </x:c>
      <x:c r="E290" s="20" t="str">
        <x:f>IF(Reviewer_2!L290="","",Reviewer_2!L290)</x:f>
      </x:c>
      <x:c r="F290" s="25"/>
      <x:c r="G290" s="20" t="str">
        <x:f>IF(Reviewer_1!M290="","",Reviewer_1!M290)</x:f>
      </x:c>
      <x:c r="H290" s="20" t="str">
        <x:f>IF(Reviewer_2!M290="","",Reviewer_2!M290)</x:f>
      </x:c>
      <x:c r="I290" s="25"/>
      <x:c r="J290" s="20" t="str">
        <x:f>IF(Reviewer_1!N290="","",Reviewer_1!N290)</x:f>
      </x:c>
      <x:c r="K290" s="20" t="str">
        <x:f>IF(Reviewer_2!N290="","",Reviewer_2!N290)</x:f>
      </x:c>
      <x:c r="L290" s="25"/>
      <x:c r="M290" s="25"/>
      <x:c r="N290" s="25"/>
      <x:c r="O290" s="20" t="str">
        <x:f>IF(OR(D290="",E290=""),"PENDING",IF(OR(D290&lt;&gt;E290,G290&lt;&gt;H290,J290&lt;&gt;K290),"CONFLICT","AGREE"))</x:f>
        <x:v>PENDING</x:v>
      </x:c>
    </x:row>
    <x:row r="291">
      <x:c r="A291" t="str">
        <x:v>ext-helvetia-fail-040</x:v>
      </x:c>
      <x:c r="B291" s="20" t="str">
        <x:v>According to rental-guarantee-insurance-sti.pdf, what provision is stated in the supplied policy context?</x:v>
      </x:c>
      <x:c r="C291" s="20" t="str">
        <x:v>3/7 | Helvetia Swiss Insurance Company Ltd STI Helvetia private rental guarantee insurance – September 2025 edition 1 Contracting party Your contracting party is: Helvetia Swiss Insurance Company Ltd Dufourstrasse 40 9001 St. H3 Vehicle recovery If the vehicle is unroadworthy, the costs for recovering the vehicle are insured.</x:v>
      </x:c>
      <x:c r="D291" s="20" t="str">
        <x:f>IF(Reviewer_1!L291="","",Reviewer_1!L291)</x:f>
      </x:c>
      <x:c r="E291" s="20" t="str">
        <x:f>IF(Reviewer_2!L291="","",Reviewer_2!L291)</x:f>
      </x:c>
      <x:c r="F291" s="25"/>
      <x:c r="G291" s="20" t="str">
        <x:f>IF(Reviewer_1!M291="","",Reviewer_1!M291)</x:f>
      </x:c>
      <x:c r="H291" s="20" t="str">
        <x:f>IF(Reviewer_2!M291="","",Reviewer_2!M291)</x:f>
      </x:c>
      <x:c r="I291" s="25"/>
      <x:c r="J291" s="20" t="str">
        <x:f>IF(Reviewer_1!N291="","",Reviewer_1!N291)</x:f>
      </x:c>
      <x:c r="K291" s="20" t="str">
        <x:f>IF(Reviewer_2!N291="","",Reviewer_2!N291)</x:f>
      </x:c>
      <x:c r="L291" s="25"/>
      <x:c r="M291" s="25"/>
      <x:c r="N291" s="25"/>
      <x:c r="O291" s="20" t="str">
        <x:f>IF(OR(D291="",E291=""),"PENDING",IF(OR(D291&lt;&gt;E291,G291&lt;&gt;H291,J291&lt;&gt;K291),"CONFLICT","AGREE"))</x:f>
        <x:v>PENDING</x:v>
      </x:c>
    </x:row>
    <x:row r="292">
      <x:c r="A292" t="str">
        <x:v>ext-baloise-fail-001</x:v>
      </x:c>
      <x:c r="B292" s="20" t="str">
        <x:v>According to household-contents-private-liability-sti.pdf, what provision is stated in the supplied policy context?</x:v>
      </x:c>
      <x:c r="C292" s="20" t="str">
        <x:v>BaloiseCombi Household Product Information and Terms and Conditions 2025 Edition Translation: In case of dispute, the original German, French or Italian text is decisive.</x:v>
      </x:c>
      <x:c r="D292" s="20" t="str">
        <x:f>IF(Reviewer_1!L292="","",Reviewer_1!L292)</x:f>
      </x:c>
      <x:c r="E292" s="20" t="str">
        <x:f>IF(Reviewer_2!L292="","",Reviewer_2!L292)</x:f>
      </x:c>
      <x:c r="F292" s="25"/>
      <x:c r="G292" s="20" t="str">
        <x:f>IF(Reviewer_1!M292="","",Reviewer_1!M292)</x:f>
      </x:c>
      <x:c r="H292" s="20" t="str">
        <x:f>IF(Reviewer_2!M292="","",Reviewer_2!M292)</x:f>
      </x:c>
      <x:c r="I292" s="25"/>
      <x:c r="J292" s="20" t="str">
        <x:f>IF(Reviewer_1!N292="","",Reviewer_1!N292)</x:f>
      </x:c>
      <x:c r="K292" s="20" t="str">
        <x:f>IF(Reviewer_2!N292="","",Reviewer_2!N292)</x:f>
      </x:c>
      <x:c r="L292" s="25"/>
      <x:c r="M292" s="25"/>
      <x:c r="N292" s="25"/>
      <x:c r="O292" s="20" t="str">
        <x:f>IF(OR(D292="",E292=""),"PENDING",IF(OR(D292&lt;&gt;E292,G292&lt;&gt;H292,J292&lt;&gt;K292),"CONFLICT","AGREE"))</x:f>
        <x:v>PENDING</x:v>
      </x:c>
    </x:row>
    <x:row r="293">
      <x:c r="A293" t="str">
        <x:v>ext-baloise-fail-002</x:v>
      </x:c>
      <x:c r="B293" s="20" t="str">
        <x:v>According to motor-vehicle-insurance-sti.pdf, what provision is stated in the supplied policy context?</x:v>
      </x:c>
      <x:c r="C293" s="20" t="str">
        <x:v>BaloiseDirect Motor Vehicle Product Information and Terms and Conditions 2018 edition Translation In case of dispute, the original German, French or Italian text shall be decisive.</x:v>
      </x:c>
      <x:c r="D293" s="20" t="str">
        <x:f>IF(Reviewer_1!L293="","",Reviewer_1!L293)</x:f>
      </x:c>
      <x:c r="E293" s="20" t="str">
        <x:f>IF(Reviewer_2!L293="","",Reviewer_2!L293)</x:f>
      </x:c>
      <x:c r="F293" s="25"/>
      <x:c r="G293" s="20" t="str">
        <x:f>IF(Reviewer_1!M293="","",Reviewer_1!M293)</x:f>
      </x:c>
      <x:c r="H293" s="20" t="str">
        <x:f>IF(Reviewer_2!M293="","",Reviewer_2!M293)</x:f>
      </x:c>
      <x:c r="I293" s="25"/>
      <x:c r="J293" s="20" t="str">
        <x:f>IF(Reviewer_1!N293="","",Reviewer_1!N293)</x:f>
      </x:c>
      <x:c r="K293" s="20" t="str">
        <x:f>IF(Reviewer_2!N293="","",Reviewer_2!N293)</x:f>
      </x:c>
      <x:c r="L293" s="25"/>
      <x:c r="M293" s="25"/>
      <x:c r="N293" s="25"/>
      <x:c r="O293" s="20" t="str">
        <x:f>IF(OR(D293="",E293=""),"PENDING",IF(OR(D293&lt;&gt;E293,G293&lt;&gt;H293,J293&lt;&gt;K293),"CONFLICT","AGREE"))</x:f>
        <x:v>PENDING</x:v>
      </x:c>
    </x:row>
    <x:row r="294">
      <x:c r="A294" t="str">
        <x:v>ext-baloise-fail-003</x:v>
      </x:c>
      <x:c r="B294" s="20" t="str">
        <x:v>According to motor-vehicle-insurance-sti.pdf, what provision is stated in the supplied policy context?</x:v>
      </x:c>
      <x:c r="C294" s="20" t="str">
        <x:v>BaloiseDirect Motor Vehicle Product Information and Terms and Conditions 2025 Edition Translation: In case of dispute, the original German, French or Italian text shall be decisive.</x:v>
      </x:c>
      <x:c r="D294" s="20" t="str">
        <x:f>IF(Reviewer_1!L294="","",Reviewer_1!L294)</x:f>
      </x:c>
      <x:c r="E294" s="20" t="str">
        <x:f>IF(Reviewer_2!L294="","",Reviewer_2!L294)</x:f>
      </x:c>
      <x:c r="F294" s="25"/>
      <x:c r="G294" s="20" t="str">
        <x:f>IF(Reviewer_1!M294="","",Reviewer_1!M294)</x:f>
      </x:c>
      <x:c r="H294" s="20" t="str">
        <x:f>IF(Reviewer_2!M294="","",Reviewer_2!M294)</x:f>
      </x:c>
      <x:c r="I294" s="25"/>
      <x:c r="J294" s="20" t="str">
        <x:f>IF(Reviewer_1!N294="","",Reviewer_1!N294)</x:f>
      </x:c>
      <x:c r="K294" s="20" t="str">
        <x:f>IF(Reviewer_2!N294="","",Reviewer_2!N294)</x:f>
      </x:c>
      <x:c r="L294" s="25"/>
      <x:c r="M294" s="25"/>
      <x:c r="N294" s="25"/>
      <x:c r="O294" s="20" t="str">
        <x:f>IF(OR(D294="",E294=""),"PENDING",IF(OR(D294&lt;&gt;E294,G294&lt;&gt;H294,J294&lt;&gt;K294),"CONFLICT","AGREE"))</x:f>
        <x:v>PENDING</x:v>
      </x:c>
    </x:row>
    <x:row r="295">
      <x:c r="A295" t="str">
        <x:v>ext-baloise-fail-004</x:v>
      </x:c>
      <x:c r="B295" s="20" t="str">
        <x:v>According to brochure-household-contents-and-private-liability.pdf, what provision is stated in the supplied policy context?</x:v>
      </x:c>
      <x:c r="C295" s="20" t="str">
        <x:v>2/55 Product Information and Terms and Conditions BaloiseCombi Household T erms and Conditions Home contents insurance 11 A1 Home contents 11 A1.1 Mobile home/caravan without license plates/temporary structure as a facility permanent 12 A1.2 Surroundings insurance 12 A2 Future risks cover 13 A3 Mopeds, incl.</x:v>
      </x:c>
      <x:c r="D295" s="20" t="str">
        <x:f>IF(Reviewer_1!L295="","",Reviewer_1!L295)</x:f>
      </x:c>
      <x:c r="E295" s="20" t="str">
        <x:f>IF(Reviewer_2!L295="","",Reviewer_2!L295)</x:f>
      </x:c>
      <x:c r="F295" s="25"/>
      <x:c r="G295" s="20" t="str">
        <x:f>IF(Reviewer_1!M295="","",Reviewer_1!M295)</x:f>
      </x:c>
      <x:c r="H295" s="20" t="str">
        <x:f>IF(Reviewer_2!M295="","",Reviewer_2!M295)</x:f>
      </x:c>
      <x:c r="I295" s="25"/>
      <x:c r="J295" s="20" t="str">
        <x:f>IF(Reviewer_1!N295="","",Reviewer_1!N295)</x:f>
      </x:c>
      <x:c r="K295" s="20" t="str">
        <x:f>IF(Reviewer_2!N295="","",Reviewer_2!N295)</x:f>
      </x:c>
      <x:c r="L295" s="25"/>
      <x:c r="M295" s="25"/>
      <x:c r="N295" s="25"/>
      <x:c r="O295" s="20" t="str">
        <x:f>IF(OR(D295="",E295=""),"PENDING",IF(OR(D295&lt;&gt;E295,G295&lt;&gt;H295,J295&lt;&gt;K295),"CONFLICT","AGREE"))</x:f>
        <x:v>PENDING</x:v>
      </x:c>
    </x:row>
    <x:row r="296">
      <x:c r="A296" t="str">
        <x:v>ext-baloise-fail-005</x:v>
      </x:c>
      <x:c r="B296" s="20" t="str">
        <x:v>According to brochure-services.pdf, what provision is stated in the supplied policy context?</x:v>
      </x:c>
      <x:c r="C296" s="20" t="str">
        <x:v>2 Product Information Dear Customer The Product Information section is intended to help you understand your insurance policy documents.</x:v>
      </x:c>
      <x:c r="D296" s="20" t="str">
        <x:f>IF(Reviewer_1!L296="","",Reviewer_1!L296)</x:f>
      </x:c>
      <x:c r="E296" s="20" t="str">
        <x:f>IF(Reviewer_2!L296="","",Reviewer_2!L296)</x:f>
      </x:c>
      <x:c r="F296" s="25"/>
      <x:c r="G296" s="20" t="str">
        <x:f>IF(Reviewer_1!M296="","",Reviewer_1!M296)</x:f>
      </x:c>
      <x:c r="H296" s="20" t="str">
        <x:f>IF(Reviewer_2!M296="","",Reviewer_2!M296)</x:f>
      </x:c>
      <x:c r="I296" s="25"/>
      <x:c r="J296" s="20" t="str">
        <x:f>IF(Reviewer_1!N296="","",Reviewer_1!N296)</x:f>
      </x:c>
      <x:c r="K296" s="20" t="str">
        <x:f>IF(Reviewer_2!N296="","",Reviewer_2!N296)</x:f>
      </x:c>
      <x:c r="L296" s="25"/>
      <x:c r="M296" s="25"/>
      <x:c r="N296" s="25"/>
      <x:c r="O296" s="20" t="str">
        <x:f>IF(OR(D296="",E296=""),"PENDING",IF(OR(D296&lt;&gt;E296,G296&lt;&gt;H296,J296&lt;&gt;K296),"CONFLICT","AGREE"))</x:f>
        <x:v>PENDING</x:v>
      </x:c>
    </x:row>
    <x:row r="297">
      <x:c r="A297" t="str">
        <x:v>ext-baloise-fail-006</x:v>
      </x:c>
      <x:c r="B297" s="20" t="str">
        <x:v>According to motor-vehicle-insurance-sti.pdf, what provision is stated in the supplied policy context?</x:v>
      </x:c>
      <x:c r="C297" s="20" t="str">
        <x:v>3/28 Product Information and Terms and Conditions BaloiseDirect Motor Vehicle T erms and ConditionsProduct Information 1.</x:v>
      </x:c>
      <x:c r="D297" s="20" t="str">
        <x:f>IF(Reviewer_1!L297="","",Reviewer_1!L297)</x:f>
      </x:c>
      <x:c r="E297" s="20" t="str">
        <x:f>IF(Reviewer_2!L297="","",Reviewer_2!L297)</x:f>
      </x:c>
      <x:c r="F297" s="25"/>
      <x:c r="G297" s="20" t="str">
        <x:f>IF(Reviewer_1!M297="","",Reviewer_1!M297)</x:f>
      </x:c>
      <x:c r="H297" s="20" t="str">
        <x:f>IF(Reviewer_2!M297="","",Reviewer_2!M297)</x:f>
      </x:c>
      <x:c r="I297" s="25"/>
      <x:c r="J297" s="20" t="str">
        <x:f>IF(Reviewer_1!N297="","",Reviewer_1!N297)</x:f>
      </x:c>
      <x:c r="K297" s="20" t="str">
        <x:f>IF(Reviewer_2!N297="","",Reviewer_2!N297)</x:f>
      </x:c>
      <x:c r="L297" s="25"/>
      <x:c r="M297" s="25"/>
      <x:c r="N297" s="25"/>
      <x:c r="O297" s="20" t="str">
        <x:f>IF(OR(D297="",E297=""),"PENDING",IF(OR(D297&lt;&gt;E297,G297&lt;&gt;H297,J297&lt;&gt;K297),"CONFLICT","AGREE"))</x:f>
        <x:v>PENDING</x:v>
      </x:c>
    </x:row>
    <x:row r="298">
      <x:c r="A298" t="str">
        <x:v>ext-baloise-fail-007</x:v>
      </x:c>
      <x:c r="B298" s="20" t="str">
        <x:v>According to motor-vehicle-insurance-sti.pdf, what provision is stated in the supplied policy context?</x:v>
      </x:c>
      <x:c r="C298" s="20" t="str">
        <x:v>4/55 Product Information and Terms and Conditions BaloiseCombi Household Dear Customer, The Product Information section is intended to help you understand your insurance policy documents.</x:v>
      </x:c>
      <x:c r="D298" s="20" t="str">
        <x:f>IF(Reviewer_1!L298="","",Reviewer_1!L298)</x:f>
      </x:c>
      <x:c r="E298" s="20" t="str">
        <x:f>IF(Reviewer_2!L298="","",Reviewer_2!L298)</x:f>
      </x:c>
      <x:c r="F298" s="25"/>
      <x:c r="G298" s="20" t="str">
        <x:f>IF(Reviewer_1!M298="","",Reviewer_1!M298)</x:f>
      </x:c>
      <x:c r="H298" s="20" t="str">
        <x:f>IF(Reviewer_2!M298="","",Reviewer_2!M298)</x:f>
      </x:c>
      <x:c r="I298" s="25"/>
      <x:c r="J298" s="20" t="str">
        <x:f>IF(Reviewer_1!N298="","",Reviewer_1!N298)</x:f>
      </x:c>
      <x:c r="K298" s="20" t="str">
        <x:f>IF(Reviewer_2!N298="","",Reviewer_2!N298)</x:f>
      </x:c>
      <x:c r="L298" s="25"/>
      <x:c r="M298" s="25"/>
      <x:c r="N298" s="25"/>
      <x:c r="O298" s="20" t="str">
        <x:f>IF(OR(D298="",E298=""),"PENDING",IF(OR(D298&lt;&gt;E298,G298&lt;&gt;H298,J298&lt;&gt;K298),"CONFLICT","AGREE"))</x:f>
        <x:v>PENDING</x:v>
      </x:c>
    </x:row>
    <x:row r="299">
      <x:c r="A299" t="str">
        <x:v>ext-baloise-fail-008</x:v>
      </x:c>
      <x:c r="B299" s="20" t="str">
        <x:v>According to rental-guarantee-insurance-sti.pdf, what provision is stated in the supplied policy context?</x:v>
      </x:c>
      <x:c r="C299" s="20" t="str">
        <x:v>The content and scope of each party’s rights and obliga - tions in respect to the other party are exclusively gov - erned by your insurance policy and the Terms and Con - ditions (T&amp;C).</x:v>
      </x:c>
      <x:c r="D299" s="20" t="str">
        <x:f>IF(Reviewer_1!L299="","",Reviewer_1!L299)</x:f>
      </x:c>
      <x:c r="E299" s="20" t="str">
        <x:f>IF(Reviewer_2!L299="","",Reviewer_2!L299)</x:f>
      </x:c>
      <x:c r="F299" s="25"/>
      <x:c r="G299" s="20" t="str">
        <x:f>IF(Reviewer_1!M299="","",Reviewer_1!M299)</x:f>
      </x:c>
      <x:c r="H299" s="20" t="str">
        <x:f>IF(Reviewer_2!M299="","",Reviewer_2!M299)</x:f>
      </x:c>
      <x:c r="I299" s="25"/>
      <x:c r="J299" s="20" t="str">
        <x:f>IF(Reviewer_1!N299="","",Reviewer_1!N299)</x:f>
      </x:c>
      <x:c r="K299" s="20" t="str">
        <x:f>IF(Reviewer_2!N299="","",Reviewer_2!N299)</x:f>
      </x:c>
      <x:c r="L299" s="25"/>
      <x:c r="M299" s="25"/>
      <x:c r="N299" s="25"/>
      <x:c r="O299" s="20" t="str">
        <x:f>IF(OR(D299="",E299=""),"PENDING",IF(OR(D299&lt;&gt;E299,G299&lt;&gt;H299,J299&lt;&gt;K299),"CONFLICT","AGREE"))</x:f>
        <x:v>PENDING</x:v>
      </x:c>
    </x:row>
    <x:row r="300">
      <x:c r="A300" t="str">
        <x:v>ext-baloise-fail-009</x:v>
      </x:c>
      <x:c r="B300" s="20" t="str">
        <x:v>According to motor-vehicle-insurance-product-sheet.pdf, what provision is stated in the supplied policy context?</x:v>
      </x:c>
      <x:c r="C300" s="20" t="str">
        <x:v>Complaints 10 Liability insurance 11 Comprehensive insurance 13 Supplementary cover 16 Passenger accident 22 General provisions 24</x:v>
      </x:c>
      <x:c r="D300" s="20" t="str">
        <x:f>IF(Reviewer_1!L300="","",Reviewer_1!L300)</x:f>
      </x:c>
      <x:c r="E300" s="20" t="str">
        <x:f>IF(Reviewer_2!L300="","",Reviewer_2!L300)</x:f>
      </x:c>
      <x:c r="F300" s="25"/>
      <x:c r="G300" s="20" t="str">
        <x:f>IF(Reviewer_1!M300="","",Reviewer_1!M300)</x:f>
      </x:c>
      <x:c r="H300" s="20" t="str">
        <x:f>IF(Reviewer_2!M300="","",Reviewer_2!M300)</x:f>
      </x:c>
      <x:c r="I300" s="25"/>
      <x:c r="J300" s="20" t="str">
        <x:f>IF(Reviewer_1!N300="","",Reviewer_1!N300)</x:f>
      </x:c>
      <x:c r="K300" s="20" t="str">
        <x:f>IF(Reviewer_2!N300="","",Reviewer_2!N300)</x:f>
      </x:c>
      <x:c r="L300" s="25"/>
      <x:c r="M300" s="25"/>
      <x:c r="N300" s="25"/>
      <x:c r="O300" s="20" t="str">
        <x:f>IF(OR(D300="",E300=""),"PENDING",IF(OR(D300&lt;&gt;E300,G300&lt;&gt;H300,J300&lt;&gt;K300),"CONFLICT","AGREE"))</x:f>
        <x:v>PENDING</x:v>
      </x:c>
    </x:row>
    <x:row r="301">
      <x:c r="A301" t="str">
        <x:v>ext-baloise-fail-010</x:v>
      </x:c>
      <x:c r="B301" s="20" t="str">
        <x:v>According to rental-guarantee-insurance-sti.pdf, what provision is stated in the supplied policy context?</x:v>
      </x:c>
      <x:c r="C301" s="20" t="str">
        <x:v>The content and scope of each party’s rights and obligations in respect to the other party are governed exclusively by your insurance policy and the Terms and Conditions (T&amp;C).</x:v>
      </x:c>
      <x:c r="D301" s="20" t="str">
        <x:f>IF(Reviewer_1!L301="","",Reviewer_1!L301)</x:f>
      </x:c>
      <x:c r="E301" s="20" t="str">
        <x:f>IF(Reviewer_2!L301="","",Reviewer_2!L301)</x:f>
      </x:c>
      <x:c r="F301" s="25"/>
      <x:c r="G301" s="20" t="str">
        <x:f>IF(Reviewer_1!M301="","",Reviewer_1!M301)</x:f>
      </x:c>
      <x:c r="H301" s="20" t="str">
        <x:f>IF(Reviewer_2!M301="","",Reviewer_2!M301)</x:f>
      </x:c>
      <x:c r="I301" s="25"/>
      <x:c r="J301" s="20" t="str">
        <x:f>IF(Reviewer_1!N301="","",Reviewer_1!N301)</x:f>
      </x:c>
      <x:c r="K301" s="20" t="str">
        <x:f>IF(Reviewer_2!N301="","",Reviewer_2!N301)</x:f>
      </x:c>
      <x:c r="L301" s="25"/>
      <x:c r="M301" s="25"/>
      <x:c r="N301" s="25"/>
      <x:c r="O301" s="20" t="str">
        <x:f>IF(OR(D301="",E301=""),"PENDING",IF(OR(D301&lt;&gt;E301,G301&lt;&gt;H301,J301&lt;&gt;K301),"CONFLICT","AGREE"))</x:f>
        <x:v>PENDING</x:v>
      </x:c>
    </x:row>
    <x:row r="302">
      <x:c r="A302" t="str">
        <x:v>ext-baloise-fail-011</x:v>
      </x:c>
      <x:c r="B302" s="20" t="str">
        <x:v>According to rental-guarantee-insurance-sti.pdf, what provision is stated in the supplied policy context?</x:v>
      </x:c>
      <x:c r="C302" s="20" t="str">
        <x:v>Your insurance contract is governed by Swiss law, in par - ticular, the Swiss Federal Law on Insurance Contracts (VVG).</x:v>
      </x:c>
      <x:c r="D302" s="20" t="str">
        <x:f>IF(Reviewer_1!L302="","",Reviewer_1!L302)</x:f>
      </x:c>
      <x:c r="E302" s="20" t="str">
        <x:f>IF(Reviewer_2!L302="","",Reviewer_2!L302)</x:f>
      </x:c>
      <x:c r="F302" s="25"/>
      <x:c r="G302" s="20" t="str">
        <x:f>IF(Reviewer_1!M302="","",Reviewer_1!M302)</x:f>
      </x:c>
      <x:c r="H302" s="20" t="str">
        <x:f>IF(Reviewer_2!M302="","",Reviewer_2!M302)</x:f>
      </x:c>
      <x:c r="I302" s="25"/>
      <x:c r="J302" s="20" t="str">
        <x:f>IF(Reviewer_1!N302="","",Reviewer_1!N302)</x:f>
      </x:c>
      <x:c r="K302" s="20" t="str">
        <x:f>IF(Reviewer_2!N302="","",Reviewer_2!N302)</x:f>
      </x:c>
      <x:c r="L302" s="25"/>
      <x:c r="M302" s="25"/>
      <x:c r="N302" s="25"/>
      <x:c r="O302" s="20" t="str">
        <x:f>IF(OR(D302="",E302=""),"PENDING",IF(OR(D302&lt;&gt;E302,G302&lt;&gt;H302,J302&lt;&gt;K302),"CONFLICT","AGREE"))</x:f>
        <x:v>PENDING</x:v>
      </x:c>
    </x:row>
    <x:row r="303">
      <x:c r="A303" t="str">
        <x:v>ext-baloise-fail-012</x:v>
      </x:c>
      <x:c r="B303" s="20" t="str">
        <x:v>According to motor-vehicle-insurance-sti.pdf, what provision is stated in the supplied policy context?</x:v>
      </x:c>
      <x:c r="C303" s="20" t="str">
        <x:v>4/28 Product Information and Terms and Conditions BaloiseDirect Motor Vehicle Dear Customer The Product Information section is intended to help you understand your insurance policy documents.</x:v>
      </x:c>
      <x:c r="D303" s="20" t="str">
        <x:f>IF(Reviewer_1!L303="","",Reviewer_1!L303)</x:f>
      </x:c>
      <x:c r="E303" s="20" t="str">
        <x:f>IF(Reviewer_2!L303="","",Reviewer_2!L303)</x:f>
      </x:c>
      <x:c r="F303" s="25"/>
      <x:c r="G303" s="20" t="str">
        <x:f>IF(Reviewer_1!M303="","",Reviewer_1!M303)</x:f>
      </x:c>
      <x:c r="H303" s="20" t="str">
        <x:f>IF(Reviewer_2!M303="","",Reviewer_2!M303)</x:f>
      </x:c>
      <x:c r="I303" s="25"/>
      <x:c r="J303" s="20" t="str">
        <x:f>IF(Reviewer_1!N303="","",Reviewer_1!N303)</x:f>
      </x:c>
      <x:c r="K303" s="20" t="str">
        <x:f>IF(Reviewer_2!N303="","",Reviewer_2!N303)</x:f>
      </x:c>
      <x:c r="L303" s="25"/>
      <x:c r="M303" s="25"/>
      <x:c r="N303" s="25"/>
      <x:c r="O303" s="20" t="str">
        <x:f>IF(OR(D303="",E303=""),"PENDING",IF(OR(D303&lt;&gt;E303,G303&lt;&gt;H303,J303&lt;&gt;K303),"CONFLICT","AGREE"))</x:f>
        <x:v>PENDING</x:v>
      </x:c>
    </x:row>
    <x:row r="304">
      <x:c r="A304" t="str">
        <x:v>ext-baloise-fail-013</x:v>
      </x:c>
      <x:c r="B304" s="20" t="str">
        <x:v>According to rental-guarantee-insurance-sti.pdf, what provision is stated in the supplied policy context?</x:v>
      </x:c>
      <x:c r="C304" s="20" t="str">
        <x:v>Your insurance policy is governed by Swiss law, in particular the Federal Law on Insurance Contracts (VVG).</x:v>
      </x:c>
      <x:c r="D304" s="20" t="str">
        <x:f>IF(Reviewer_1!L304="","",Reviewer_1!L304)</x:f>
      </x:c>
      <x:c r="E304" s="20" t="str">
        <x:f>IF(Reviewer_2!L304="","",Reviewer_2!L304)</x:f>
      </x:c>
      <x:c r="F304" s="25"/>
      <x:c r="G304" s="20" t="str">
        <x:f>IF(Reviewer_1!M304="","",Reviewer_1!M304)</x:f>
      </x:c>
      <x:c r="H304" s="20" t="str">
        <x:f>IF(Reviewer_2!M304="","",Reviewer_2!M304)</x:f>
      </x:c>
      <x:c r="I304" s="25"/>
      <x:c r="J304" s="20" t="str">
        <x:f>IF(Reviewer_1!N304="","",Reviewer_1!N304)</x:f>
      </x:c>
      <x:c r="K304" s="20" t="str">
        <x:f>IF(Reviewer_2!N304="","",Reviewer_2!N304)</x:f>
      </x:c>
      <x:c r="L304" s="25"/>
      <x:c r="M304" s="25"/>
      <x:c r="N304" s="25"/>
      <x:c r="O304" s="20" t="str">
        <x:f>IF(OR(D304="",E304=""),"PENDING",IF(OR(D304&lt;&gt;E304,G304&lt;&gt;H304,J304&lt;&gt;K304),"CONFLICT","AGREE"))</x:f>
        <x:v>PENDING</x:v>
      </x:c>
    </x:row>
    <x:row r="305">
      <x:c r="A305" t="str">
        <x:v>ext-baloise-fail-014</x:v>
      </x:c>
      <x:c r="B305" s="20" t="str">
        <x:v>According to rental-guarantee-insurance-sti.pdf, what provision is stated in the supplied policy context?</x:v>
      </x:c>
      <x:c r="C305" s="20" t="str">
        <x:v>Your contracting party Your contracting party is Baloise Insurance Ltd, hereinafter referred to as “Baloise”.</x:v>
      </x:c>
      <x:c r="D305" s="20" t="str">
        <x:f>IF(Reviewer_1!L305="","",Reviewer_1!L305)</x:f>
      </x:c>
      <x:c r="E305" s="20" t="str">
        <x:f>IF(Reviewer_2!L305="","",Reviewer_2!L305)</x:f>
      </x:c>
      <x:c r="F305" s="25"/>
      <x:c r="G305" s="20" t="str">
        <x:f>IF(Reviewer_1!M305="","",Reviewer_1!M305)</x:f>
      </x:c>
      <x:c r="H305" s="20" t="str">
        <x:f>IF(Reviewer_2!M305="","",Reviewer_2!M305)</x:f>
      </x:c>
      <x:c r="I305" s="25"/>
      <x:c r="J305" s="20" t="str">
        <x:f>IF(Reviewer_1!N305="","",Reviewer_1!N305)</x:f>
      </x:c>
      <x:c r="K305" s="20" t="str">
        <x:f>IF(Reviewer_2!N305="","",Reviewer_2!N305)</x:f>
      </x:c>
      <x:c r="L305" s="25"/>
      <x:c r="M305" s="25"/>
      <x:c r="N305" s="25"/>
      <x:c r="O305" s="20" t="str">
        <x:f>IF(OR(D305="",E305=""),"PENDING",IF(OR(D305&lt;&gt;E305,G305&lt;&gt;H305,J305&lt;&gt;K305),"CONFLICT","AGREE"))</x:f>
        <x:v>PENDING</x:v>
      </x:c>
    </x:row>
    <x:row r="306">
      <x:c r="A306" t="str">
        <x:v>ext-baloise-fail-015</x:v>
      </x:c>
      <x:c r="B306" s="20" t="str">
        <x:v>According to rental-guarantee-insurance-sti.pdf, what provision is stated in the supplied policy context?</x:v>
      </x:c>
      <x:c r="C306" s="20" t="str">
        <x:v>The content and scope of each party’s rights and obligations in respect to the other party are exclusively governed by your insurance policy and the Terms and Conditions (T&amp;C).</x:v>
      </x:c>
      <x:c r="D306" s="20" t="str">
        <x:f>IF(Reviewer_1!L306="","",Reviewer_1!L306)</x:f>
      </x:c>
      <x:c r="E306" s="20" t="str">
        <x:f>IF(Reviewer_2!L306="","",Reviewer_2!L306)</x:f>
      </x:c>
      <x:c r="F306" s="25"/>
      <x:c r="G306" s="20" t="str">
        <x:f>IF(Reviewer_1!M306="","",Reviewer_1!M306)</x:f>
      </x:c>
      <x:c r="H306" s="20" t="str">
        <x:f>IF(Reviewer_2!M306="","",Reviewer_2!M306)</x:f>
      </x:c>
      <x:c r="I306" s="25"/>
      <x:c r="J306" s="20" t="str">
        <x:f>IF(Reviewer_1!N306="","",Reviewer_1!N306)</x:f>
      </x:c>
      <x:c r="K306" s="20" t="str">
        <x:f>IF(Reviewer_2!N306="","",Reviewer_2!N306)</x:f>
      </x:c>
      <x:c r="L306" s="25"/>
      <x:c r="M306" s="25"/>
      <x:c r="N306" s="25"/>
      <x:c r="O306" s="20" t="str">
        <x:f>IF(OR(D306="",E306=""),"PENDING",IF(OR(D306&lt;&gt;E306,G306&lt;&gt;H306,J306&lt;&gt;K306),"CONFLICT","AGREE"))</x:f>
        <x:v>PENDING</x:v>
      </x:c>
    </x:row>
    <x:row r="307">
      <x:c r="A307" t="str">
        <x:v>ext-baloise-fail-016</x:v>
      </x:c>
      <x:c r="B307" s="20" t="str">
        <x:v>According to rental-guarantee-insurance-sti.pdf, what provision is stated in the supplied policy context?</x:v>
      </x:c>
      <x:c r="C307" s="20" t="str">
        <x:v>In such a case, the “Additional provisions for insurance contracts subject to the law of Liechtenstein” apply in addition to these T&amp;C.</x:v>
      </x:c>
      <x:c r="D307" s="20" t="str">
        <x:f>IF(Reviewer_1!L307="","",Reviewer_1!L307)</x:f>
      </x:c>
      <x:c r="E307" s="20" t="str">
        <x:f>IF(Reviewer_2!L307="","",Reviewer_2!L307)</x:f>
      </x:c>
      <x:c r="F307" s="25"/>
      <x:c r="G307" s="20" t="str">
        <x:f>IF(Reviewer_1!M307="","",Reviewer_1!M307)</x:f>
      </x:c>
      <x:c r="H307" s="20" t="str">
        <x:f>IF(Reviewer_2!M307="","",Reviewer_2!M307)</x:f>
      </x:c>
      <x:c r="I307" s="25"/>
      <x:c r="J307" s="20" t="str">
        <x:f>IF(Reviewer_1!N307="","",Reviewer_1!N307)</x:f>
      </x:c>
      <x:c r="K307" s="20" t="str">
        <x:f>IF(Reviewer_2!N307="","",Reviewer_2!N307)</x:f>
      </x:c>
      <x:c r="L307" s="25"/>
      <x:c r="M307" s="25"/>
      <x:c r="N307" s="25"/>
      <x:c r="O307" s="20" t="str">
        <x:f>IF(OR(D307="",E307=""),"PENDING",IF(OR(D307&lt;&gt;E307,G307&lt;&gt;H307,J307&lt;&gt;K307),"CONFLICT","AGREE"))</x:f>
        <x:v>PENDING</x:v>
      </x:c>
    </x:row>
    <x:row r="308">
      <x:c r="A308" t="str">
        <x:v>ext-baloise-fail-017</x:v>
      </x:c>
      <x:c r="B308" s="20" t="str">
        <x:v>According to brochure-services.pdf, what provision is stated in the supplied policy context?</x:v>
      </x:c>
      <x:c r="C308" s="20" t="str">
        <x:v>Scope of insurance cover In the following section, we provide you with information about avail - able insurance cover options.</x:v>
      </x:c>
      <x:c r="D308" s="20" t="str">
        <x:f>IF(Reviewer_1!L308="","",Reviewer_1!L308)</x:f>
      </x:c>
      <x:c r="E308" s="20" t="str">
        <x:f>IF(Reviewer_2!L308="","",Reviewer_2!L308)</x:f>
      </x:c>
      <x:c r="F308" s="25"/>
      <x:c r="G308" s="20" t="str">
        <x:f>IF(Reviewer_1!M308="","",Reviewer_1!M308)</x:f>
      </x:c>
      <x:c r="H308" s="20" t="str">
        <x:f>IF(Reviewer_2!M308="","",Reviewer_2!M308)</x:f>
      </x:c>
      <x:c r="I308" s="25"/>
      <x:c r="J308" s="20" t="str">
        <x:f>IF(Reviewer_1!N308="","",Reviewer_1!N308)</x:f>
      </x:c>
      <x:c r="K308" s="20" t="str">
        <x:f>IF(Reviewer_2!N308="","",Reviewer_2!N308)</x:f>
      </x:c>
      <x:c r="L308" s="25"/>
      <x:c r="M308" s="25"/>
      <x:c r="N308" s="25"/>
      <x:c r="O308" s="20" t="str">
        <x:f>IF(OR(D308="",E308=""),"PENDING",IF(OR(D308&lt;&gt;E308,G308&lt;&gt;H308,J308&lt;&gt;K308),"CONFLICT","AGREE"))</x:f>
        <x:v>PENDING</x:v>
      </x:c>
    </x:row>
    <x:row r="309">
      <x:c r="A309" t="str">
        <x:v>ext-baloise-fail-018</x:v>
      </x:c>
      <x:c r="B309" s="20" t="str">
        <x:v>According to rental-guarantee-insurance-sti.pdf, what provision is stated in the supplied policy context?</x:v>
      </x:c>
      <x:c r="C309" s="20" t="str">
        <x:v>Your insurance contract is governed by Swiss law, in particular, the Swiss Federal Law on Insurance Contracts (VVG).</x:v>
      </x:c>
      <x:c r="D309" s="20" t="str">
        <x:f>IF(Reviewer_1!L309="","",Reviewer_1!L309)</x:f>
      </x:c>
      <x:c r="E309" s="20" t="str">
        <x:f>IF(Reviewer_2!L309="","",Reviewer_2!L309)</x:f>
      </x:c>
      <x:c r="F309" s="25"/>
      <x:c r="G309" s="20" t="str">
        <x:f>IF(Reviewer_1!M309="","",Reviewer_1!M309)</x:f>
      </x:c>
      <x:c r="H309" s="20" t="str">
        <x:f>IF(Reviewer_2!M309="","",Reviewer_2!M309)</x:f>
      </x:c>
      <x:c r="I309" s="25"/>
      <x:c r="J309" s="20" t="str">
        <x:f>IF(Reviewer_1!N309="","",Reviewer_1!N309)</x:f>
      </x:c>
      <x:c r="K309" s="20" t="str">
        <x:f>IF(Reviewer_2!N309="","",Reviewer_2!N309)</x:f>
      </x:c>
      <x:c r="L309" s="25"/>
      <x:c r="M309" s="25"/>
      <x:c r="N309" s="25"/>
      <x:c r="O309" s="20" t="str">
        <x:f>IF(OR(D309="",E309=""),"PENDING",IF(OR(D309&lt;&gt;E309,G309&lt;&gt;H309,J309&lt;&gt;K309),"CONFLICT","AGREE"))</x:f>
        <x:v>PENDING</x:v>
      </x:c>
    </x:row>
    <x:row r="310">
      <x:c r="A310" t="str">
        <x:v>ext-baloise-fail-019</x:v>
      </x:c>
      <x:c r="B310" s="20" t="str">
        <x:v>According to motor-vehicle-insurance-sti.pdf, what provision is stated in the supplied policy context?</x:v>
      </x:c>
      <x:c r="C310" s="20" t="str">
        <x:v>5/55 Product Information Terms and Conditions from page 11 1.</x:v>
      </x:c>
      <x:c r="D310" s="20" t="str">
        <x:f>IF(Reviewer_1!L310="","",Reviewer_1!L310)</x:f>
      </x:c>
      <x:c r="E310" s="20" t="str">
        <x:f>IF(Reviewer_2!L310="","",Reviewer_2!L310)</x:f>
      </x:c>
      <x:c r="F310" s="25"/>
      <x:c r="G310" s="20" t="str">
        <x:f>IF(Reviewer_1!M310="","",Reviewer_1!M310)</x:f>
      </x:c>
      <x:c r="H310" s="20" t="str">
        <x:f>IF(Reviewer_2!M310="","",Reviewer_2!M310)</x:f>
      </x:c>
      <x:c r="I310" s="25"/>
      <x:c r="J310" s="20" t="str">
        <x:f>IF(Reviewer_1!N310="","",Reviewer_1!N310)</x:f>
      </x:c>
      <x:c r="K310" s="20" t="str">
        <x:f>IF(Reviewer_2!N310="","",Reviewer_2!N310)</x:f>
      </x:c>
      <x:c r="L310" s="25"/>
      <x:c r="M310" s="25"/>
      <x:c r="N310" s="25"/>
      <x:c r="O310" s="20" t="str">
        <x:f>IF(OR(D310="",E310=""),"PENDING",IF(OR(D310&lt;&gt;E310,G310&lt;&gt;H310,J310&lt;&gt;K310),"CONFLICT","AGREE"))</x:f>
        <x:v>PENDING</x:v>
      </x:c>
    </x:row>
    <x:row r="311">
      <x:c r="A311" t="str">
        <x:v>ext-baloise-fail-020</x:v>
      </x:c>
      <x:c r="B311" s="20" t="str">
        <x:v>According to brochure-services.pdf, what provision is stated in the supplied policy context?</x:v>
      </x:c>
      <x:c r="C311" s="20" t="str">
        <x:v>A full general description of the insurance cover and its restric - tions can be found in the T&amp;C.</x:v>
      </x:c>
      <x:c r="D311" s="20" t="str">
        <x:f>IF(Reviewer_1!L311="","",Reviewer_1!L311)</x:f>
      </x:c>
      <x:c r="E311" s="20" t="str">
        <x:f>IF(Reviewer_2!L311="","",Reviewer_2!L311)</x:f>
      </x:c>
      <x:c r="F311" s="25"/>
      <x:c r="G311" s="20" t="str">
        <x:f>IF(Reviewer_1!M311="","",Reviewer_1!M311)</x:f>
      </x:c>
      <x:c r="H311" s="20" t="str">
        <x:f>IF(Reviewer_2!M311="","",Reviewer_2!M311)</x:f>
      </x:c>
      <x:c r="I311" s="25"/>
      <x:c r="J311" s="20" t="str">
        <x:f>IF(Reviewer_1!N311="","",Reviewer_1!N311)</x:f>
      </x:c>
      <x:c r="K311" s="20" t="str">
        <x:f>IF(Reviewer_2!N311="","",Reviewer_2!N311)</x:f>
      </x:c>
      <x:c r="L311" s="25"/>
      <x:c r="M311" s="25"/>
      <x:c r="N311" s="25"/>
      <x:c r="O311" s="20" t="str">
        <x:f>IF(OR(D311="",E311=""),"PENDING",IF(OR(D311&lt;&gt;E311,G311&lt;&gt;H311,J311&lt;&gt;K311),"CONFLICT","AGREE"))</x:f>
        <x:v>PENDING</x:v>
      </x:c>
    </x:row>
    <x:row r="312">
      <x:c r="A312" t="str">
        <x:v>ext-crm-pass-001</x:v>
      </x:c>
      <x:c r="B312" s="20" t="str">
        <x:v>What are the customer, policy number, product, coverage, status, deductible and annual premium?</x:v>
      </x:c>
      <x:c r="C312" s="20" t="str">
        <x:v>Lara Neumann holds policy TEST-KFZ-2026-1001, a Motor Insurance policy with Partial Coverage, status Active, a deductible of 150 EUR, and an annual premium of 684 EUR.</x:v>
      </x:c>
      <x:c r="D312" s="20" t="str">
        <x:f>IF(Reviewer_1!L312="","",Reviewer_1!L312)</x:f>
      </x:c>
      <x:c r="E312" s="20" t="str">
        <x:f>IF(Reviewer_2!L312="","",Reviewer_2!L312)</x:f>
      </x:c>
      <x:c r="F312" s="25"/>
      <x:c r="G312" s="20" t="str">
        <x:f>IF(Reviewer_1!M312="","",Reviewer_1!M312)</x:f>
      </x:c>
      <x:c r="H312" s="20" t="str">
        <x:f>IF(Reviewer_2!M312="","",Reviewer_2!M312)</x:f>
      </x:c>
      <x:c r="I312" s="25"/>
      <x:c r="J312" s="20" t="str">
        <x:f>IF(Reviewer_1!N312="","",Reviewer_1!N312)</x:f>
      </x:c>
      <x:c r="K312" s="20" t="str">
        <x:f>IF(Reviewer_2!N312="","",Reviewer_2!N312)</x:f>
      </x:c>
      <x:c r="L312" s="25"/>
      <x:c r="M312" s="25"/>
      <x:c r="N312" s="25"/>
      <x:c r="O312" s="20" t="str">
        <x:f>IF(OR(D312="",E312=""),"PENDING",IF(OR(D312&lt;&gt;E312,G312&lt;&gt;H312,J312&lt;&gt;K312),"CONFLICT","AGREE"))</x:f>
        <x:v>PENDING</x:v>
      </x:c>
    </x:row>
    <x:row r="313">
      <x:c r="A313" t="str">
        <x:v>ext-crm-pass-002</x:v>
      </x:c>
      <x:c r="B313" s="20" t="str">
        <x:v>What are the customer, policy number, product, coverage, status, deductible and annual premium?</x:v>
      </x:c>
      <x:c r="C313" s="20" t="str">
        <x:v>Lara Neumann holds policy TEST-PHV-2026-1002, a Personal Liability policy with Liability, status Active, a deductible of 0 EUR, and an annual premium of 96 EUR.</x:v>
      </x:c>
      <x:c r="D313" s="20" t="str">
        <x:f>IF(Reviewer_1!L313="","",Reviewer_1!L313)</x:f>
      </x:c>
      <x:c r="E313" s="20" t="str">
        <x:f>IF(Reviewer_2!L313="","",Reviewer_2!L313)</x:f>
      </x:c>
      <x:c r="F313" s="25"/>
      <x:c r="G313" s="20" t="str">
        <x:f>IF(Reviewer_1!M313="","",Reviewer_1!M313)</x:f>
      </x:c>
      <x:c r="H313" s="20" t="str">
        <x:f>IF(Reviewer_2!M313="","",Reviewer_2!M313)</x:f>
      </x:c>
      <x:c r="I313" s="25"/>
      <x:c r="J313" s="20" t="str">
        <x:f>IF(Reviewer_1!N313="","",Reviewer_1!N313)</x:f>
      </x:c>
      <x:c r="K313" s="20" t="str">
        <x:f>IF(Reviewer_2!N313="","",Reviewer_2!N313)</x:f>
      </x:c>
      <x:c r="L313" s="25"/>
      <x:c r="M313" s="25"/>
      <x:c r="N313" s="25"/>
      <x:c r="O313" s="20" t="str">
        <x:f>IF(OR(D313="",E313=""),"PENDING",IF(OR(D313&lt;&gt;E313,G313&lt;&gt;H313,J313&lt;&gt;K313),"CONFLICT","AGREE"))</x:f>
        <x:v>PENDING</x:v>
      </x:c>
    </x:row>
    <x:row r="314">
      <x:c r="A314" t="str">
        <x:v>ext-crm-pass-003</x:v>
      </x:c>
      <x:c r="B314" s="20" t="str">
        <x:v>What are the customer, policy number, product, coverage, status, deductible and annual premium?</x:v>
      </x:c>
      <x:c r="C314" s="20" t="str">
        <x:v>Lara Neumann holds policy TEST-KFZ-2026-1003, a Motor Insurance policy with Partial Coverage, status Active, a deductible of 300 EUR, and an annual premium of 720 EUR.</x:v>
      </x:c>
      <x:c r="D314" s="20" t="str">
        <x:f>IF(Reviewer_1!L314="","",Reviewer_1!L314)</x:f>
      </x:c>
      <x:c r="E314" s="20" t="str">
        <x:f>IF(Reviewer_2!L314="","",Reviewer_2!L314)</x:f>
      </x:c>
      <x:c r="F314" s="25"/>
      <x:c r="G314" s="20" t="str">
        <x:f>IF(Reviewer_1!M314="","",Reviewer_1!M314)</x:f>
      </x:c>
      <x:c r="H314" s="20" t="str">
        <x:f>IF(Reviewer_2!M314="","",Reviewer_2!M314)</x:f>
      </x:c>
      <x:c r="I314" s="25"/>
      <x:c r="J314" s="20" t="str">
        <x:f>IF(Reviewer_1!N314="","",Reviewer_1!N314)</x:f>
      </x:c>
      <x:c r="K314" s="20" t="str">
        <x:f>IF(Reviewer_2!N314="","",Reviewer_2!N314)</x:f>
      </x:c>
      <x:c r="L314" s="25"/>
      <x:c r="M314" s="25"/>
      <x:c r="N314" s="25"/>
      <x:c r="O314" s="20" t="str">
        <x:f>IF(OR(D314="",E314=""),"PENDING",IF(OR(D314&lt;&gt;E314,G314&lt;&gt;H314,J314&lt;&gt;K314),"CONFLICT","AGREE"))</x:f>
        <x:v>PENDING</x:v>
      </x:c>
    </x:row>
    <x:row r="315">
      <x:c r="A315" t="str">
        <x:v>ext-crm-pass-004</x:v>
      </x:c>
      <x:c r="B315" s="20" t="str">
        <x:v>What are the customer, policy number, product, coverage, status, deductible and annual premium?</x:v>
      </x:c>
      <x:c r="C315" s="20" t="str">
        <x:v>Oliver Brandt holds policy TEST-KFZ-2026-1101, a Motor Insurance policy with Comprehensive Coverage, status Active, a deductible of 300 EUR, and an annual premium of 1120 EUR.</x:v>
      </x:c>
      <x:c r="D315" s="20" t="str">
        <x:f>IF(Reviewer_1!L315="","",Reviewer_1!L315)</x:f>
      </x:c>
      <x:c r="E315" s="20" t="str">
        <x:f>IF(Reviewer_2!L315="","",Reviewer_2!L315)</x:f>
      </x:c>
      <x:c r="F315" s="25"/>
      <x:c r="G315" s="20" t="str">
        <x:f>IF(Reviewer_1!M315="","",Reviewer_1!M315)</x:f>
      </x:c>
      <x:c r="H315" s="20" t="str">
        <x:f>IF(Reviewer_2!M315="","",Reviewer_2!M315)</x:f>
      </x:c>
      <x:c r="I315" s="25"/>
      <x:c r="J315" s="20" t="str">
        <x:f>IF(Reviewer_1!N315="","",Reviewer_1!N315)</x:f>
      </x:c>
      <x:c r="K315" s="20" t="str">
        <x:f>IF(Reviewer_2!N315="","",Reviewer_2!N315)</x:f>
      </x:c>
      <x:c r="L315" s="25"/>
      <x:c r="M315" s="25"/>
      <x:c r="N315" s="25"/>
      <x:c r="O315" s="20" t="str">
        <x:f>IF(OR(D315="",E315=""),"PENDING",IF(OR(D315&lt;&gt;E315,G315&lt;&gt;H315,J315&lt;&gt;K315),"CONFLICT","AGREE"))</x:f>
        <x:v>PENDING</x:v>
      </x:c>
    </x:row>
    <x:row r="316">
      <x:c r="A316" t="str">
        <x:v>ext-crm-pass-005</x:v>
      </x:c>
      <x:c r="B316" s="20" t="str">
        <x:v>What are the customer, policy number, product, coverage, status, deductible and annual premium?</x:v>
      </x:c>
      <x:c r="C316" s="20" t="str">
        <x:v>Sophie Keller holds policy TEST-HH-2026-1201, a Household Insurance policy with Standard Coverage, status Active, a deductible of 250 EUR, and an annual premium of 210 EUR.</x:v>
      </x:c>
      <x:c r="D316" s="20" t="str">
        <x:f>IF(Reviewer_1!L316="","",Reviewer_1!L316)</x:f>
      </x:c>
      <x:c r="E316" s="20" t="str">
        <x:f>IF(Reviewer_2!L316="","",Reviewer_2!L316)</x:f>
      </x:c>
      <x:c r="F316" s="25"/>
      <x:c r="G316" s="20" t="str">
        <x:f>IF(Reviewer_1!M316="","",Reviewer_1!M316)</x:f>
      </x:c>
      <x:c r="H316" s="20" t="str">
        <x:f>IF(Reviewer_2!M316="","",Reviewer_2!M316)</x:f>
      </x:c>
      <x:c r="I316" s="25"/>
      <x:c r="J316" s="20" t="str">
        <x:f>IF(Reviewer_1!N316="","",Reviewer_1!N316)</x:f>
      </x:c>
      <x:c r="K316" s="20" t="str">
        <x:f>IF(Reviewer_2!N316="","",Reviewer_2!N316)</x:f>
      </x:c>
      <x:c r="L316" s="25"/>
      <x:c r="M316" s="25"/>
      <x:c r="N316" s="25"/>
      <x:c r="O316" s="20" t="str">
        <x:f>IF(OR(D316="",E316=""),"PENDING",IF(OR(D316&lt;&gt;E316,G316&lt;&gt;H316,J316&lt;&gt;K316),"CONFLICT","AGREE"))</x:f>
        <x:v>PENDING</x:v>
      </x:c>
    </x:row>
    <x:row r="317">
      <x:c r="A317" t="str">
        <x:v>ext-crm-pass-006</x:v>
      </x:c>
      <x:c r="B317" s="20" t="str">
        <x:v>What are the customer, policy number, product, coverage, status, deductible and annual premium?</x:v>
      </x:c>
      <x:c r="C317" s="20" t="str">
        <x:v>Sophie Keller holds policy TEST-RS-2026-1202, a Legal Protection policy with Standard Coverage, status Pending, a deductible of 150 EUR, and an annual premium of 280 EUR.</x:v>
      </x:c>
      <x:c r="D317" s="20" t="str">
        <x:f>IF(Reviewer_1!L317="","",Reviewer_1!L317)</x:f>
      </x:c>
      <x:c r="E317" s="20" t="str">
        <x:f>IF(Reviewer_2!L317="","",Reviewer_2!L317)</x:f>
      </x:c>
      <x:c r="F317" s="25"/>
      <x:c r="G317" s="20" t="str">
        <x:f>IF(Reviewer_1!M317="","",Reviewer_1!M317)</x:f>
      </x:c>
      <x:c r="H317" s="20" t="str">
        <x:f>IF(Reviewer_2!M317="","",Reviewer_2!M317)</x:f>
      </x:c>
      <x:c r="I317" s="25"/>
      <x:c r="J317" s="20" t="str">
        <x:f>IF(Reviewer_1!N317="","",Reviewer_1!N317)</x:f>
      </x:c>
      <x:c r="K317" s="20" t="str">
        <x:f>IF(Reviewer_2!N317="","",Reviewer_2!N317)</x:f>
      </x:c>
      <x:c r="L317" s="25"/>
      <x:c r="M317" s="25"/>
      <x:c r="N317" s="25"/>
      <x:c r="O317" s="20" t="str">
        <x:f>IF(OR(D317="",E317=""),"PENDING",IF(OR(D317&lt;&gt;E317,G317&lt;&gt;H317,J317&lt;&gt;K317),"CONFLICT","AGREE"))</x:f>
        <x:v>PENDING</x:v>
      </x:c>
    </x:row>
    <x:row r="318">
      <x:c r="A318" t="str">
        <x:v>ext-crm-pass-007</x:v>
      </x:c>
      <x:c r="B318" s="20" t="str">
        <x:v>What are the customer, policy number, product, coverage, status, deductible and annual premium?</x:v>
      </x:c>
      <x:c r="C318" s="20" t="str">
        <x:v>Emil Fischer holds policy TEST-PHV-2025-1301, a Personal Liability policy with Liability, status Expired, a deductible of 0 EUR, and an annual premium of 84 EUR.</x:v>
      </x:c>
      <x:c r="D318" s="20" t="str">
        <x:f>IF(Reviewer_1!L318="","",Reviewer_1!L318)</x:f>
      </x:c>
      <x:c r="E318" s="20" t="str">
        <x:f>IF(Reviewer_2!L318="","",Reviewer_2!L318)</x:f>
      </x:c>
      <x:c r="F318" s="25"/>
      <x:c r="G318" s="20" t="str">
        <x:f>IF(Reviewer_1!M318="","",Reviewer_1!M318)</x:f>
      </x:c>
      <x:c r="H318" s="20" t="str">
        <x:f>IF(Reviewer_2!M318="","",Reviewer_2!M318)</x:f>
      </x:c>
      <x:c r="I318" s="25"/>
      <x:c r="J318" s="20" t="str">
        <x:f>IF(Reviewer_1!N318="","",Reviewer_1!N318)</x:f>
      </x:c>
      <x:c r="K318" s="20" t="str">
        <x:f>IF(Reviewer_2!N318="","",Reviewer_2!N318)</x:f>
      </x:c>
      <x:c r="L318" s="25"/>
      <x:c r="M318" s="25"/>
      <x:c r="N318" s="25"/>
      <x:c r="O318" s="20" t="str">
        <x:f>IF(OR(D318="",E318=""),"PENDING",IF(OR(D318&lt;&gt;E318,G318&lt;&gt;H318,J318&lt;&gt;K318),"CONFLICT","AGREE"))</x:f>
        <x:v>PENDING</x:v>
      </x:c>
    </x:row>
    <x:row r="319">
      <x:c r="A319" t="str">
        <x:v>ext-crm-pass-008</x:v>
      </x:c>
      <x:c r="B319" s="20" t="str">
        <x:v>What are the customer, policy number, product, coverage, status, deductible and annual premium?</x:v>
      </x:c>
      <x:c r="C319" s="20" t="str">
        <x:v>Hannah Vogel holds policy TEST-KFZ-2026-1401, a Motor Insurance policy with Liability, status Active, a deductible of 500 EUR, and an annual premium of 520 EUR.</x:v>
      </x:c>
      <x:c r="D319" s="20" t="str">
        <x:f>IF(Reviewer_1!L319="","",Reviewer_1!L319)</x:f>
      </x:c>
      <x:c r="E319" s="20" t="str">
        <x:f>IF(Reviewer_2!L319="","",Reviewer_2!L319)</x:f>
      </x:c>
      <x:c r="F319" s="25"/>
      <x:c r="G319" s="20" t="str">
        <x:f>IF(Reviewer_1!M319="","",Reviewer_1!M319)</x:f>
      </x:c>
      <x:c r="H319" s="20" t="str">
        <x:f>IF(Reviewer_2!M319="","",Reviewer_2!M319)</x:f>
      </x:c>
      <x:c r="I319" s="25"/>
      <x:c r="J319" s="20" t="str">
        <x:f>IF(Reviewer_1!N319="","",Reviewer_1!N319)</x:f>
      </x:c>
      <x:c r="K319" s="20" t="str">
        <x:f>IF(Reviewer_2!N319="","",Reviewer_2!N319)</x:f>
      </x:c>
      <x:c r="L319" s="25"/>
      <x:c r="M319" s="25"/>
      <x:c r="N319" s="25"/>
      <x:c r="O319" s="20" t="str">
        <x:f>IF(OR(D319="",E319=""),"PENDING",IF(OR(D319&lt;&gt;E319,G319&lt;&gt;H319,J319&lt;&gt;K319),"CONFLICT","AGREE"))</x:f>
        <x:v>PENDING</x:v>
      </x:c>
    </x:row>
    <x:row r="320">
      <x:c r="A320" t="str">
        <x:v>ext-crm-pass-009</x:v>
      </x:c>
      <x:c r="B320" s="20" t="str">
        <x:v>What are the customer, policy number, product, coverage, status, deductible and annual premium?</x:v>
      </x:c>
      <x:c r="C320" s="20" t="str">
        <x:v>Hannah Vogel holds policy TEST-HH-2026-1402, a Household Insurance policy with Standard Coverage, status Active, a deductible of 200 EUR, and an annual premium of 195 EUR.</x:v>
      </x:c>
      <x:c r="D320" s="20" t="str">
        <x:f>IF(Reviewer_1!L320="","",Reviewer_1!L320)</x:f>
      </x:c>
      <x:c r="E320" s="20" t="str">
        <x:f>IF(Reviewer_2!L320="","",Reviewer_2!L320)</x:f>
      </x:c>
      <x:c r="F320" s="25"/>
      <x:c r="G320" s="20" t="str">
        <x:f>IF(Reviewer_1!M320="","",Reviewer_1!M320)</x:f>
      </x:c>
      <x:c r="H320" s="20" t="str">
        <x:f>IF(Reviewer_2!M320="","",Reviewer_2!M320)</x:f>
      </x:c>
      <x:c r="I320" s="25"/>
      <x:c r="J320" s="20" t="str">
        <x:f>IF(Reviewer_1!N320="","",Reviewer_1!N320)</x:f>
      </x:c>
      <x:c r="K320" s="20" t="str">
        <x:f>IF(Reviewer_2!N320="","",Reviewer_2!N320)</x:f>
      </x:c>
      <x:c r="L320" s="25"/>
      <x:c r="M320" s="25"/>
      <x:c r="N320" s="25"/>
      <x:c r="O320" s="20" t="str">
        <x:f>IF(OR(D320="",E320=""),"PENDING",IF(OR(D320&lt;&gt;E320,G320&lt;&gt;H320,J320&lt;&gt;K320),"CONFLICT","AGREE"))</x:f>
        <x:v>PENDING</x:v>
      </x:c>
    </x:row>
    <x:row r="321">
      <x:c r="A321" t="str">
        <x:v>ext-crm-pass-010</x:v>
      </x:c>
      <x:c r="B321" s="20" t="str">
        <x:v>What are the customer, policy number, product, coverage, status, deductible and annual premium?</x:v>
      </x:c>
      <x:c r="C321" s="20" t="str">
        <x:v>Jonas Richter holds policy TEST-RS-2026-1501, a Legal Protection policy with Standard Coverage, status Cancelled, a deductible of 150 EUR, and an annual premium of 260 EUR.</x:v>
      </x:c>
      <x:c r="D321" s="20" t="str">
        <x:f>IF(Reviewer_1!L321="","",Reviewer_1!L321)</x:f>
      </x:c>
      <x:c r="E321" s="20" t="str">
        <x:f>IF(Reviewer_2!L321="","",Reviewer_2!L321)</x:f>
      </x:c>
      <x:c r="F321" s="25"/>
      <x:c r="G321" s="20" t="str">
        <x:f>IF(Reviewer_1!M321="","",Reviewer_1!M321)</x:f>
      </x:c>
      <x:c r="H321" s="20" t="str">
        <x:f>IF(Reviewer_2!M321="","",Reviewer_2!M321)</x:f>
      </x:c>
      <x:c r="I321" s="25"/>
      <x:c r="J321" s="20" t="str">
        <x:f>IF(Reviewer_1!N321="","",Reviewer_1!N321)</x:f>
      </x:c>
      <x:c r="K321" s="20" t="str">
        <x:f>IF(Reviewer_2!N321="","",Reviewer_2!N321)</x:f>
      </x:c>
      <x:c r="L321" s="25"/>
      <x:c r="M321" s="25"/>
      <x:c r="N321" s="25"/>
      <x:c r="O321" s="20" t="str">
        <x:f>IF(OR(D321="",E321=""),"PENDING",IF(OR(D321&lt;&gt;E321,G321&lt;&gt;H321,J321&lt;&gt;K321),"CONFLICT","AGREE"))</x:f>
        <x:v>PENDING</x:v>
      </x:c>
    </x:row>
    <x:row r="322">
      <x:c r="A322" t="str">
        <x:v>ext-crm-pass-011</x:v>
      </x:c>
      <x:c r="B322" s="20" t="str">
        <x:v>What are the customer, policy number, product, coverage, status, deductible and annual premium?</x:v>
      </x:c>
      <x:c r="C322" s="20" t="str">
        <x:v>Amira Hoffmann holds policy TEST-PHV-2026-1601, a Personal Liability policy with Liability, status Active, a deductible of 0 EUR, and an annual premium of 102 EUR.</x:v>
      </x:c>
      <x:c r="D322" s="20" t="str">
        <x:f>IF(Reviewer_1!L322="","",Reviewer_1!L322)</x:f>
      </x:c>
      <x:c r="E322" s="20" t="str">
        <x:f>IF(Reviewer_2!L322="","",Reviewer_2!L322)</x:f>
      </x:c>
      <x:c r="F322" s="25"/>
      <x:c r="G322" s="20" t="str">
        <x:f>IF(Reviewer_1!M322="","",Reviewer_1!M322)</x:f>
      </x:c>
      <x:c r="H322" s="20" t="str">
        <x:f>IF(Reviewer_2!M322="","",Reviewer_2!M322)</x:f>
      </x:c>
      <x:c r="I322" s="25"/>
      <x:c r="J322" s="20" t="str">
        <x:f>IF(Reviewer_1!N322="","",Reviewer_1!N322)</x:f>
      </x:c>
      <x:c r="K322" s="20" t="str">
        <x:f>IF(Reviewer_2!N322="","",Reviewer_2!N322)</x:f>
      </x:c>
      <x:c r="L322" s="25"/>
      <x:c r="M322" s="25"/>
      <x:c r="N322" s="25"/>
      <x:c r="O322" s="20" t="str">
        <x:f>IF(OR(D322="",E322=""),"PENDING",IF(OR(D322&lt;&gt;E322,G322&lt;&gt;H322,J322&lt;&gt;K322),"CONFLICT","AGREE"))</x:f>
        <x:v>PENDING</x:v>
      </x:c>
    </x:row>
    <x:row r="323">
      <x:c r="A323" t="str">
        <x:v>ext-crm-pass-012</x:v>
      </x:c>
      <x:c r="B323" s="20" t="str">
        <x:v>What are the customer, policy number, product, coverage, status, deductible and annual premium?</x:v>
      </x:c>
      <x:c r="C323" s="20" t="str">
        <x:v>Noah Weber holds policy TEST-KFZ-2026-1701, a Motor Insurance policy with Partial Coverage, status Active, a deductible of 300 EUR, and an annual premium of 735 EUR.</x:v>
      </x:c>
      <x:c r="D323" s="20" t="str">
        <x:f>IF(Reviewer_1!L323="","",Reviewer_1!L323)</x:f>
      </x:c>
      <x:c r="E323" s="20" t="str">
        <x:f>IF(Reviewer_2!L323="","",Reviewer_2!L323)</x:f>
      </x:c>
      <x:c r="F323" s="25"/>
      <x:c r="G323" s="20" t="str">
        <x:f>IF(Reviewer_1!M323="","",Reviewer_1!M323)</x:f>
      </x:c>
      <x:c r="H323" s="20" t="str">
        <x:f>IF(Reviewer_2!M323="","",Reviewer_2!M323)</x:f>
      </x:c>
      <x:c r="I323" s="25"/>
      <x:c r="J323" s="20" t="str">
        <x:f>IF(Reviewer_1!N323="","",Reviewer_1!N323)</x:f>
      </x:c>
      <x:c r="K323" s="20" t="str">
        <x:f>IF(Reviewer_2!N323="","",Reviewer_2!N323)</x:f>
      </x:c>
      <x:c r="L323" s="25"/>
      <x:c r="M323" s="25"/>
      <x:c r="N323" s="25"/>
      <x:c r="O323" s="20" t="str">
        <x:f>IF(OR(D323="",E323=""),"PENDING",IF(OR(D323&lt;&gt;E323,G323&lt;&gt;H323,J323&lt;&gt;K323),"CONFLICT","AGREE"))</x:f>
        <x:v>PENDING</x:v>
      </x:c>
    </x:row>
    <x:row r="324">
      <x:c r="A324" t="str">
        <x:v>ext-crm-pass-013</x:v>
      </x:c>
      <x:c r="B324" s="20" t="str">
        <x:v>What are the customer, policy number, product, coverage, status, deductible and annual premium?</x:v>
      </x:c>
      <x:c r="C324" s="20" t="str">
        <x:v>Noah Weber holds policy TEST-RS-2026-1702, a Legal Protection policy with Standard Coverage, status Active, a deductible of 200 EUR, and an annual premium of 310 EUR.</x:v>
      </x:c>
      <x:c r="D324" s="20" t="str">
        <x:f>IF(Reviewer_1!L324="","",Reviewer_1!L324)</x:f>
      </x:c>
      <x:c r="E324" s="20" t="str">
        <x:f>IF(Reviewer_2!L324="","",Reviewer_2!L324)</x:f>
      </x:c>
      <x:c r="F324" s="25"/>
      <x:c r="G324" s="20" t="str">
        <x:f>IF(Reviewer_1!M324="","",Reviewer_1!M324)</x:f>
      </x:c>
      <x:c r="H324" s="20" t="str">
        <x:f>IF(Reviewer_2!M324="","",Reviewer_2!M324)</x:f>
      </x:c>
      <x:c r="I324" s="25"/>
      <x:c r="J324" s="20" t="str">
        <x:f>IF(Reviewer_1!N324="","",Reviewer_1!N324)</x:f>
      </x:c>
      <x:c r="K324" s="20" t="str">
        <x:f>IF(Reviewer_2!N324="","",Reviewer_2!N324)</x:f>
      </x:c>
      <x:c r="L324" s="25"/>
      <x:c r="M324" s="25"/>
      <x:c r="N324" s="25"/>
      <x:c r="O324" s="20" t="str">
        <x:f>IF(OR(D324="",E324=""),"PENDING",IF(OR(D324&lt;&gt;E324,G324&lt;&gt;H324,J324&lt;&gt;K324),"CONFLICT","AGREE"))</x:f>
        <x:v>PENDING</x:v>
      </x:c>
    </x:row>
    <x:row r="325">
      <x:c r="A325" t="str">
        <x:v>ext-crm-pass-014</x:v>
      </x:c>
      <x:c r="B325" s="20" t="str">
        <x:v>What are the customer, policy number, product, coverage, status, deductible and annual premium?</x:v>
      </x:c>
      <x:c r="C325" s="20" t="str">
        <x:v>Mila Hartmann holds policy TEST-HH-2026-1801, a Household Insurance policy with Standard Coverage, status Pending, a deductible of 250 EUR, and an annual premium of 225 EUR.</x:v>
      </x:c>
      <x:c r="D325" s="20" t="str">
        <x:f>IF(Reviewer_1!L325="","",Reviewer_1!L325)</x:f>
      </x:c>
      <x:c r="E325" s="20" t="str">
        <x:f>IF(Reviewer_2!L325="","",Reviewer_2!L325)</x:f>
      </x:c>
      <x:c r="F325" s="25"/>
      <x:c r="G325" s="20" t="str">
        <x:f>IF(Reviewer_1!M325="","",Reviewer_1!M325)</x:f>
      </x:c>
      <x:c r="H325" s="20" t="str">
        <x:f>IF(Reviewer_2!M325="","",Reviewer_2!M325)</x:f>
      </x:c>
      <x:c r="I325" s="25"/>
      <x:c r="J325" s="20" t="str">
        <x:f>IF(Reviewer_1!N325="","",Reviewer_1!N325)</x:f>
      </x:c>
      <x:c r="K325" s="20" t="str">
        <x:f>IF(Reviewer_2!N325="","",Reviewer_2!N325)</x:f>
      </x:c>
      <x:c r="L325" s="25"/>
      <x:c r="M325" s="25"/>
      <x:c r="N325" s="25"/>
      <x:c r="O325" s="20" t="str">
        <x:f>IF(OR(D325="",E325=""),"PENDING",IF(OR(D325&lt;&gt;E325,G325&lt;&gt;H325,J325&lt;&gt;K325),"CONFLICT","AGREE"))</x:f>
        <x:v>PENDING</x:v>
      </x:c>
    </x:row>
    <x:row r="326">
      <x:c r="A326" t="str">
        <x:v>ext-crm-pass-015</x:v>
      </x:c>
      <x:c r="B326" s="20" t="str">
        <x:v>What are the customer, policy number, product, coverage, status, deductible and annual premium?</x:v>
      </x:c>
      <x:c r="C326" s="20" t="str">
        <x:v>Leon Becker holds policy TEST-KFZ-2026-1901, a Motor Insurance policy with Comprehensive Coverage, status Active, a deductible of 500 EUR, and an annual premium of 1290 EUR.</x:v>
      </x:c>
      <x:c r="D326" s="20" t="str">
        <x:f>IF(Reviewer_1!L326="","",Reviewer_1!L326)</x:f>
      </x:c>
      <x:c r="E326" s="20" t="str">
        <x:f>IF(Reviewer_2!L326="","",Reviewer_2!L326)</x:f>
      </x:c>
      <x:c r="F326" s="25"/>
      <x:c r="G326" s="20" t="str">
        <x:f>IF(Reviewer_1!M326="","",Reviewer_1!M326)</x:f>
      </x:c>
      <x:c r="H326" s="20" t="str">
        <x:f>IF(Reviewer_2!M326="","",Reviewer_2!M326)</x:f>
      </x:c>
      <x:c r="I326" s="25"/>
      <x:c r="J326" s="20" t="str">
        <x:f>IF(Reviewer_1!N326="","",Reviewer_1!N326)</x:f>
      </x:c>
      <x:c r="K326" s="20" t="str">
        <x:f>IF(Reviewer_2!N326="","",Reviewer_2!N326)</x:f>
      </x:c>
      <x:c r="L326" s="25"/>
      <x:c r="M326" s="25"/>
      <x:c r="N326" s="25"/>
      <x:c r="O326" s="20" t="str">
        <x:f>IF(OR(D326="",E326=""),"PENDING",IF(OR(D326&lt;&gt;E326,G326&lt;&gt;H326,J326&lt;&gt;K326),"CONFLICT","AGREE"))</x:f>
        <x:v>PENDING</x:v>
      </x:c>
    </x:row>
    <x:row r="327">
      <x:c r="A327" t="str">
        <x:v>ext-crm-pass-016</x:v>
      </x:c>
      <x:c r="B327" s="20" t="str">
        <x:v>What are the customer, policy number, product, coverage, status, deductible and annual premium?</x:v>
      </x:c>
      <x:c r="C327" s="20" t="str">
        <x:v>Leon Becker holds policy TEST-PHV-2026-1902, a Personal Liability policy with Liability, status Active, a deductible of 0 EUR, and an annual premium of 108 EUR.</x:v>
      </x:c>
      <x:c r="D327" s="20" t="str">
        <x:f>IF(Reviewer_1!L327="","",Reviewer_1!L327)</x:f>
      </x:c>
      <x:c r="E327" s="20" t="str">
        <x:f>IF(Reviewer_2!L327="","",Reviewer_2!L327)</x:f>
      </x:c>
      <x:c r="F327" s="25"/>
      <x:c r="G327" s="20" t="str">
        <x:f>IF(Reviewer_1!M327="","",Reviewer_1!M327)</x:f>
      </x:c>
      <x:c r="H327" s="20" t="str">
        <x:f>IF(Reviewer_2!M327="","",Reviewer_2!M327)</x:f>
      </x:c>
      <x:c r="I327" s="25"/>
      <x:c r="J327" s="20" t="str">
        <x:f>IF(Reviewer_1!N327="","",Reviewer_1!N327)</x:f>
      </x:c>
      <x:c r="K327" s="20" t="str">
        <x:f>IF(Reviewer_2!N327="","",Reviewer_2!N327)</x:f>
      </x:c>
      <x:c r="L327" s="25"/>
      <x:c r="M327" s="25"/>
      <x:c r="N327" s="25"/>
      <x:c r="O327" s="20" t="str">
        <x:f>IF(OR(D327="",E327=""),"PENDING",IF(OR(D327&lt;&gt;E327,G327&lt;&gt;H327,J327&lt;&gt;K327),"CONFLICT","AGREE"))</x:f>
        <x:v>PENDING</x:v>
      </x:c>
    </x:row>
    <x:row r="328">
      <x:c r="A328" t="str">
        <x:v>ext-crm-pass-017</x:v>
      </x:c>
      <x:c r="B328" s="20" t="str">
        <x:v>What deductible and annual premium apply to this policy?</x:v>
      </x:c>
      <x:c r="C328" s="20" t="str">
        <x:v>The deductible is 150 EUR and the annual premium is 684 EUR.</x:v>
      </x:c>
      <x:c r="D328" s="20" t="str">
        <x:f>IF(Reviewer_1!L328="","",Reviewer_1!L328)</x:f>
      </x:c>
      <x:c r="E328" s="20" t="str">
        <x:f>IF(Reviewer_2!L328="","",Reviewer_2!L328)</x:f>
      </x:c>
      <x:c r="F328" s="25"/>
      <x:c r="G328" s="20" t="str">
        <x:f>IF(Reviewer_1!M328="","",Reviewer_1!M328)</x:f>
      </x:c>
      <x:c r="H328" s="20" t="str">
        <x:f>IF(Reviewer_2!M328="","",Reviewer_2!M328)</x:f>
      </x:c>
      <x:c r="I328" s="25"/>
      <x:c r="J328" s="20" t="str">
        <x:f>IF(Reviewer_1!N328="","",Reviewer_1!N328)</x:f>
      </x:c>
      <x:c r="K328" s="20" t="str">
        <x:f>IF(Reviewer_2!N328="","",Reviewer_2!N328)</x:f>
      </x:c>
      <x:c r="L328" s="25"/>
      <x:c r="M328" s="25"/>
      <x:c r="N328" s="25"/>
      <x:c r="O328" s="20" t="str">
        <x:f>IF(OR(D328="",E328=""),"PENDING",IF(OR(D328&lt;&gt;E328,G328&lt;&gt;H328,J328&lt;&gt;K328),"CONFLICT","AGREE"))</x:f>
        <x:v>PENDING</x:v>
      </x:c>
    </x:row>
    <x:row r="329">
      <x:c r="A329" t="str">
        <x:v>ext-crm-pass-018</x:v>
      </x:c>
      <x:c r="B329" s="20" t="str">
        <x:v>What deductible and annual premium apply to this policy?</x:v>
      </x:c>
      <x:c r="C329" s="20" t="str">
        <x:v>The deductible is 0 EUR and the annual premium is 96 EUR.</x:v>
      </x:c>
      <x:c r="D329" s="20" t="str">
        <x:f>IF(Reviewer_1!L329="","",Reviewer_1!L329)</x:f>
      </x:c>
      <x:c r="E329" s="20" t="str">
        <x:f>IF(Reviewer_2!L329="","",Reviewer_2!L329)</x:f>
      </x:c>
      <x:c r="F329" s="25"/>
      <x:c r="G329" s="20" t="str">
        <x:f>IF(Reviewer_1!M329="","",Reviewer_1!M329)</x:f>
      </x:c>
      <x:c r="H329" s="20" t="str">
        <x:f>IF(Reviewer_2!M329="","",Reviewer_2!M329)</x:f>
      </x:c>
      <x:c r="I329" s="25"/>
      <x:c r="J329" s="20" t="str">
        <x:f>IF(Reviewer_1!N329="","",Reviewer_1!N329)</x:f>
      </x:c>
      <x:c r="K329" s="20" t="str">
        <x:f>IF(Reviewer_2!N329="","",Reviewer_2!N329)</x:f>
      </x:c>
      <x:c r="L329" s="25"/>
      <x:c r="M329" s="25"/>
      <x:c r="N329" s="25"/>
      <x:c r="O329" s="20" t="str">
        <x:f>IF(OR(D329="",E329=""),"PENDING",IF(OR(D329&lt;&gt;E329,G329&lt;&gt;H329,J329&lt;&gt;K329),"CONFLICT","AGREE"))</x:f>
        <x:v>PENDING</x:v>
      </x:c>
    </x:row>
    <x:row r="330">
      <x:c r="A330" t="str">
        <x:v>ext-crm-pass-019</x:v>
      </x:c>
      <x:c r="B330" s="20" t="str">
        <x:v>What deductible and annual premium apply to this policy?</x:v>
      </x:c>
      <x:c r="C330" s="20" t="str">
        <x:v>The deductible is 300 EUR and the annual premium is 720 EUR.</x:v>
      </x:c>
      <x:c r="D330" s="20" t="str">
        <x:f>IF(Reviewer_1!L330="","",Reviewer_1!L330)</x:f>
      </x:c>
      <x:c r="E330" s="20" t="str">
        <x:f>IF(Reviewer_2!L330="","",Reviewer_2!L330)</x:f>
      </x:c>
      <x:c r="F330" s="25"/>
      <x:c r="G330" s="20" t="str">
        <x:f>IF(Reviewer_1!M330="","",Reviewer_1!M330)</x:f>
      </x:c>
      <x:c r="H330" s="20" t="str">
        <x:f>IF(Reviewer_2!M330="","",Reviewer_2!M330)</x:f>
      </x:c>
      <x:c r="I330" s="25"/>
      <x:c r="J330" s="20" t="str">
        <x:f>IF(Reviewer_1!N330="","",Reviewer_1!N330)</x:f>
      </x:c>
      <x:c r="K330" s="20" t="str">
        <x:f>IF(Reviewer_2!N330="","",Reviewer_2!N330)</x:f>
      </x:c>
      <x:c r="L330" s="25"/>
      <x:c r="M330" s="25"/>
      <x:c r="N330" s="25"/>
      <x:c r="O330" s="20" t="str">
        <x:f>IF(OR(D330="",E330=""),"PENDING",IF(OR(D330&lt;&gt;E330,G330&lt;&gt;H330,J330&lt;&gt;K330),"CONFLICT","AGREE"))</x:f>
        <x:v>PENDING</x:v>
      </x:c>
    </x:row>
    <x:row r="331">
      <x:c r="A331" t="str">
        <x:v>ext-crm-pass-020</x:v>
      </x:c>
      <x:c r="B331" s="20" t="str">
        <x:v>What deductible and annual premium apply to this policy?</x:v>
      </x:c>
      <x:c r="C331" s="20" t="str">
        <x:v>The deductible is 300 EUR and the annual premium is 1120 EUR.</x:v>
      </x:c>
      <x:c r="D331" s="20" t="str">
        <x:f>IF(Reviewer_1!L331="","",Reviewer_1!L331)</x:f>
      </x:c>
      <x:c r="E331" s="20" t="str">
        <x:f>IF(Reviewer_2!L331="","",Reviewer_2!L331)</x:f>
      </x:c>
      <x:c r="F331" s="25"/>
      <x:c r="G331" s="20" t="str">
        <x:f>IF(Reviewer_1!M331="","",Reviewer_1!M331)</x:f>
      </x:c>
      <x:c r="H331" s="20" t="str">
        <x:f>IF(Reviewer_2!M331="","",Reviewer_2!M331)</x:f>
      </x:c>
      <x:c r="I331" s="25"/>
      <x:c r="J331" s="20" t="str">
        <x:f>IF(Reviewer_1!N331="","",Reviewer_1!N331)</x:f>
      </x:c>
      <x:c r="K331" s="20" t="str">
        <x:f>IF(Reviewer_2!N331="","",Reviewer_2!N331)</x:f>
      </x:c>
      <x:c r="L331" s="25"/>
      <x:c r="M331" s="25"/>
      <x:c r="N331" s="25"/>
      <x:c r="O331" s="20" t="str">
        <x:f>IF(OR(D331="",E331=""),"PENDING",IF(OR(D331&lt;&gt;E331,G331&lt;&gt;H331,J331&lt;&gt;K331),"CONFLICT","AGREE"))</x:f>
        <x:v>PENDING</x:v>
      </x:c>
    </x:row>
    <x:row r="332">
      <x:c r="A332" t="str">
        <x:v>ext-crm-pass-021</x:v>
      </x:c>
      <x:c r="B332" s="20" t="str">
        <x:v>What deductible and annual premium apply to this policy?</x:v>
      </x:c>
      <x:c r="C332" s="20" t="str">
        <x:v>The deductible is 250 EUR and the annual premium is 210 EUR.</x:v>
      </x:c>
      <x:c r="D332" s="20" t="str">
        <x:f>IF(Reviewer_1!L332="","",Reviewer_1!L332)</x:f>
      </x:c>
      <x:c r="E332" s="20" t="str">
        <x:f>IF(Reviewer_2!L332="","",Reviewer_2!L332)</x:f>
      </x:c>
      <x:c r="F332" s="25"/>
      <x:c r="G332" s="20" t="str">
        <x:f>IF(Reviewer_1!M332="","",Reviewer_1!M332)</x:f>
      </x:c>
      <x:c r="H332" s="20" t="str">
        <x:f>IF(Reviewer_2!M332="","",Reviewer_2!M332)</x:f>
      </x:c>
      <x:c r="I332" s="25"/>
      <x:c r="J332" s="20" t="str">
        <x:f>IF(Reviewer_1!N332="","",Reviewer_1!N332)</x:f>
      </x:c>
      <x:c r="K332" s="20" t="str">
        <x:f>IF(Reviewer_2!N332="","",Reviewer_2!N332)</x:f>
      </x:c>
      <x:c r="L332" s="25"/>
      <x:c r="M332" s="25"/>
      <x:c r="N332" s="25"/>
      <x:c r="O332" s="20" t="str">
        <x:f>IF(OR(D332="",E332=""),"PENDING",IF(OR(D332&lt;&gt;E332,G332&lt;&gt;H332,J332&lt;&gt;K332),"CONFLICT","AGREE"))</x:f>
        <x:v>PENDING</x:v>
      </x:c>
    </x:row>
    <x:row r="333">
      <x:c r="A333" t="str">
        <x:v>ext-crm-pass-022</x:v>
      </x:c>
      <x:c r="B333" s="20" t="str">
        <x:v>What deductible and annual premium apply to this policy?</x:v>
      </x:c>
      <x:c r="C333" s="20" t="str">
        <x:v>The deductible is 150 EUR and the annual premium is 280 EUR.</x:v>
      </x:c>
      <x:c r="D333" s="20" t="str">
        <x:f>IF(Reviewer_1!L333="","",Reviewer_1!L333)</x:f>
      </x:c>
      <x:c r="E333" s="20" t="str">
        <x:f>IF(Reviewer_2!L333="","",Reviewer_2!L333)</x:f>
      </x:c>
      <x:c r="F333" s="25"/>
      <x:c r="G333" s="20" t="str">
        <x:f>IF(Reviewer_1!M333="","",Reviewer_1!M333)</x:f>
      </x:c>
      <x:c r="H333" s="20" t="str">
        <x:f>IF(Reviewer_2!M333="","",Reviewer_2!M333)</x:f>
      </x:c>
      <x:c r="I333" s="25"/>
      <x:c r="J333" s="20" t="str">
        <x:f>IF(Reviewer_1!N333="","",Reviewer_1!N333)</x:f>
      </x:c>
      <x:c r="K333" s="20" t="str">
        <x:f>IF(Reviewer_2!N333="","",Reviewer_2!N333)</x:f>
      </x:c>
      <x:c r="L333" s="25"/>
      <x:c r="M333" s="25"/>
      <x:c r="N333" s="25"/>
      <x:c r="O333" s="20" t="str">
        <x:f>IF(OR(D333="",E333=""),"PENDING",IF(OR(D333&lt;&gt;E333,G333&lt;&gt;H333,J333&lt;&gt;K333),"CONFLICT","AGREE"))</x:f>
        <x:v>PENDING</x:v>
      </x:c>
    </x:row>
    <x:row r="334">
      <x:c r="A334" t="str">
        <x:v>ext-crm-pass-023</x:v>
      </x:c>
      <x:c r="B334" s="20" t="str">
        <x:v>What deductible and annual premium apply to this policy?</x:v>
      </x:c>
      <x:c r="C334" s="20" t="str">
        <x:v>The deductible is 0 EUR and the annual premium is 84 EUR.</x:v>
      </x:c>
      <x:c r="D334" s="20" t="str">
        <x:f>IF(Reviewer_1!L334="","",Reviewer_1!L334)</x:f>
      </x:c>
      <x:c r="E334" s="20" t="str">
        <x:f>IF(Reviewer_2!L334="","",Reviewer_2!L334)</x:f>
      </x:c>
      <x:c r="F334" s="25"/>
      <x:c r="G334" s="20" t="str">
        <x:f>IF(Reviewer_1!M334="","",Reviewer_1!M334)</x:f>
      </x:c>
      <x:c r="H334" s="20" t="str">
        <x:f>IF(Reviewer_2!M334="","",Reviewer_2!M334)</x:f>
      </x:c>
      <x:c r="I334" s="25"/>
      <x:c r="J334" s="20" t="str">
        <x:f>IF(Reviewer_1!N334="","",Reviewer_1!N334)</x:f>
      </x:c>
      <x:c r="K334" s="20" t="str">
        <x:f>IF(Reviewer_2!N334="","",Reviewer_2!N334)</x:f>
      </x:c>
      <x:c r="L334" s="25"/>
      <x:c r="M334" s="25"/>
      <x:c r="N334" s="25"/>
      <x:c r="O334" s="20" t="str">
        <x:f>IF(OR(D334="",E334=""),"PENDING",IF(OR(D334&lt;&gt;E334,G334&lt;&gt;H334,J334&lt;&gt;K334),"CONFLICT","AGREE"))</x:f>
        <x:v>PENDING</x:v>
      </x:c>
    </x:row>
    <x:row r="335">
      <x:c r="A335" t="str">
        <x:v>ext-crm-pass-024</x:v>
      </x:c>
      <x:c r="B335" s="20" t="str">
        <x:v>What deductible and annual premium apply to this policy?</x:v>
      </x:c>
      <x:c r="C335" s="20" t="str">
        <x:v>The deductible is 500 EUR and the annual premium is 520 EUR.</x:v>
      </x:c>
      <x:c r="D335" s="20" t="str">
        <x:f>IF(Reviewer_1!L335="","",Reviewer_1!L335)</x:f>
      </x:c>
      <x:c r="E335" s="20" t="str">
        <x:f>IF(Reviewer_2!L335="","",Reviewer_2!L335)</x:f>
      </x:c>
      <x:c r="F335" s="25"/>
      <x:c r="G335" s="20" t="str">
        <x:f>IF(Reviewer_1!M335="","",Reviewer_1!M335)</x:f>
      </x:c>
      <x:c r="H335" s="20" t="str">
        <x:f>IF(Reviewer_2!M335="","",Reviewer_2!M335)</x:f>
      </x:c>
      <x:c r="I335" s="25"/>
      <x:c r="J335" s="20" t="str">
        <x:f>IF(Reviewer_1!N335="","",Reviewer_1!N335)</x:f>
      </x:c>
      <x:c r="K335" s="20" t="str">
        <x:f>IF(Reviewer_2!N335="","",Reviewer_2!N335)</x:f>
      </x:c>
      <x:c r="L335" s="25"/>
      <x:c r="M335" s="25"/>
      <x:c r="N335" s="25"/>
      <x:c r="O335" s="20" t="str">
        <x:f>IF(OR(D335="",E335=""),"PENDING",IF(OR(D335&lt;&gt;E335,G335&lt;&gt;H335,J335&lt;&gt;K335),"CONFLICT","AGREE"))</x:f>
        <x:v>PENDING</x:v>
      </x:c>
    </x:row>
    <x:row r="336">
      <x:c r="A336" t="str">
        <x:v>ext-crm-pass-025</x:v>
      </x:c>
      <x:c r="B336" s="20" t="str">
        <x:v>What deductible and annual premium apply to this policy?</x:v>
      </x:c>
      <x:c r="C336" s="20" t="str">
        <x:v>The deductible is 200 EUR and the annual premium is 195 EUR.</x:v>
      </x:c>
      <x:c r="D336" s="20" t="str">
        <x:f>IF(Reviewer_1!L336="","",Reviewer_1!L336)</x:f>
      </x:c>
      <x:c r="E336" s="20" t="str">
        <x:f>IF(Reviewer_2!L336="","",Reviewer_2!L336)</x:f>
      </x:c>
      <x:c r="F336" s="25"/>
      <x:c r="G336" s="20" t="str">
        <x:f>IF(Reviewer_1!M336="","",Reviewer_1!M336)</x:f>
      </x:c>
      <x:c r="H336" s="20" t="str">
        <x:f>IF(Reviewer_2!M336="","",Reviewer_2!M336)</x:f>
      </x:c>
      <x:c r="I336" s="25"/>
      <x:c r="J336" s="20" t="str">
        <x:f>IF(Reviewer_1!N336="","",Reviewer_1!N336)</x:f>
      </x:c>
      <x:c r="K336" s="20" t="str">
        <x:f>IF(Reviewer_2!N336="","",Reviewer_2!N336)</x:f>
      </x:c>
      <x:c r="L336" s="25"/>
      <x:c r="M336" s="25"/>
      <x:c r="N336" s="25"/>
      <x:c r="O336" s="20" t="str">
        <x:f>IF(OR(D336="",E336=""),"PENDING",IF(OR(D336&lt;&gt;E336,G336&lt;&gt;H336,J336&lt;&gt;K336),"CONFLICT","AGREE"))</x:f>
        <x:v>PENDING</x:v>
      </x:c>
    </x:row>
    <x:row r="337">
      <x:c r="A337" t="str">
        <x:v>ext-crm-pass-026</x:v>
      </x:c>
      <x:c r="B337" s="20" t="str">
        <x:v>What deductible and annual premium apply to this policy?</x:v>
      </x:c>
      <x:c r="C337" s="20" t="str">
        <x:v>The deductible is 150 EUR and the annual premium is 260 EUR.</x:v>
      </x:c>
      <x:c r="D337" s="20" t="str">
        <x:f>IF(Reviewer_1!L337="","",Reviewer_1!L337)</x:f>
      </x:c>
      <x:c r="E337" s="20" t="str">
        <x:f>IF(Reviewer_2!L337="","",Reviewer_2!L337)</x:f>
      </x:c>
      <x:c r="F337" s="25"/>
      <x:c r="G337" s="20" t="str">
        <x:f>IF(Reviewer_1!M337="","",Reviewer_1!M337)</x:f>
      </x:c>
      <x:c r="H337" s="20" t="str">
        <x:f>IF(Reviewer_2!M337="","",Reviewer_2!M337)</x:f>
      </x:c>
      <x:c r="I337" s="25"/>
      <x:c r="J337" s="20" t="str">
        <x:f>IF(Reviewer_1!N337="","",Reviewer_1!N337)</x:f>
      </x:c>
      <x:c r="K337" s="20" t="str">
        <x:f>IF(Reviewer_2!N337="","",Reviewer_2!N337)</x:f>
      </x:c>
      <x:c r="L337" s="25"/>
      <x:c r="M337" s="25"/>
      <x:c r="N337" s="25"/>
      <x:c r="O337" s="20" t="str">
        <x:f>IF(OR(D337="",E337=""),"PENDING",IF(OR(D337&lt;&gt;E337,G337&lt;&gt;H337,J337&lt;&gt;K337),"CONFLICT","AGREE"))</x:f>
        <x:v>PENDING</x:v>
      </x:c>
    </x:row>
    <x:row r="338">
      <x:c r="A338" t="str">
        <x:v>ext-crm-pass-027</x:v>
      </x:c>
      <x:c r="B338" s="20" t="str">
        <x:v>What deductible and annual premium apply to this policy?</x:v>
      </x:c>
      <x:c r="C338" s="20" t="str">
        <x:v>The deductible is 0 EUR and the annual premium is 102 EUR.</x:v>
      </x:c>
      <x:c r="D338" s="20" t="str">
        <x:f>IF(Reviewer_1!L338="","",Reviewer_1!L338)</x:f>
      </x:c>
      <x:c r="E338" s="20" t="str">
        <x:f>IF(Reviewer_2!L338="","",Reviewer_2!L338)</x:f>
      </x:c>
      <x:c r="F338" s="25"/>
      <x:c r="G338" s="20" t="str">
        <x:f>IF(Reviewer_1!M338="","",Reviewer_1!M338)</x:f>
      </x:c>
      <x:c r="H338" s="20" t="str">
        <x:f>IF(Reviewer_2!M338="","",Reviewer_2!M338)</x:f>
      </x:c>
      <x:c r="I338" s="25"/>
      <x:c r="J338" s="20" t="str">
        <x:f>IF(Reviewer_1!N338="","",Reviewer_1!N338)</x:f>
      </x:c>
      <x:c r="K338" s="20" t="str">
        <x:f>IF(Reviewer_2!N338="","",Reviewer_2!N338)</x:f>
      </x:c>
      <x:c r="L338" s="25"/>
      <x:c r="M338" s="25"/>
      <x:c r="N338" s="25"/>
      <x:c r="O338" s="20" t="str">
        <x:f>IF(OR(D338="",E338=""),"PENDING",IF(OR(D338&lt;&gt;E338,G338&lt;&gt;H338,J338&lt;&gt;K338),"CONFLICT","AGREE"))</x:f>
        <x:v>PENDING</x:v>
      </x:c>
    </x:row>
    <x:row r="339">
      <x:c r="A339" t="str">
        <x:v>ext-crm-pass-028</x:v>
      </x:c>
      <x:c r="B339" s="20" t="str">
        <x:v>What deductible and annual premium apply to this policy?</x:v>
      </x:c>
      <x:c r="C339" s="20" t="str">
        <x:v>The deductible is 300 EUR and the annual premium is 735 EUR.</x:v>
      </x:c>
      <x:c r="D339" s="20" t="str">
        <x:f>IF(Reviewer_1!L339="","",Reviewer_1!L339)</x:f>
      </x:c>
      <x:c r="E339" s="20" t="str">
        <x:f>IF(Reviewer_2!L339="","",Reviewer_2!L339)</x:f>
      </x:c>
      <x:c r="F339" s="25"/>
      <x:c r="G339" s="20" t="str">
        <x:f>IF(Reviewer_1!M339="","",Reviewer_1!M339)</x:f>
      </x:c>
      <x:c r="H339" s="20" t="str">
        <x:f>IF(Reviewer_2!M339="","",Reviewer_2!M339)</x:f>
      </x:c>
      <x:c r="I339" s="25"/>
      <x:c r="J339" s="20" t="str">
        <x:f>IF(Reviewer_1!N339="","",Reviewer_1!N339)</x:f>
      </x:c>
      <x:c r="K339" s="20" t="str">
        <x:f>IF(Reviewer_2!N339="","",Reviewer_2!N339)</x:f>
      </x:c>
      <x:c r="L339" s="25"/>
      <x:c r="M339" s="25"/>
      <x:c r="N339" s="25"/>
      <x:c r="O339" s="20" t="str">
        <x:f>IF(OR(D339="",E339=""),"PENDING",IF(OR(D339&lt;&gt;E339,G339&lt;&gt;H339,J339&lt;&gt;K339),"CONFLICT","AGREE"))</x:f>
        <x:v>PENDING</x:v>
      </x:c>
    </x:row>
    <x:row r="340">
      <x:c r="A340" t="str">
        <x:v>ext-crm-pass-029</x:v>
      </x:c>
      <x:c r="B340" s="20" t="str">
        <x:v>What deductible and annual premium apply to this policy?</x:v>
      </x:c>
      <x:c r="C340" s="20" t="str">
        <x:v>The deductible is 200 EUR and the annual premium is 310 EUR.</x:v>
      </x:c>
      <x:c r="D340" s="20" t="str">
        <x:f>IF(Reviewer_1!L340="","",Reviewer_1!L340)</x:f>
      </x:c>
      <x:c r="E340" s="20" t="str">
        <x:f>IF(Reviewer_2!L340="","",Reviewer_2!L340)</x:f>
      </x:c>
      <x:c r="F340" s="25"/>
      <x:c r="G340" s="20" t="str">
        <x:f>IF(Reviewer_1!M340="","",Reviewer_1!M340)</x:f>
      </x:c>
      <x:c r="H340" s="20" t="str">
        <x:f>IF(Reviewer_2!M340="","",Reviewer_2!M340)</x:f>
      </x:c>
      <x:c r="I340" s="25"/>
      <x:c r="J340" s="20" t="str">
        <x:f>IF(Reviewer_1!N340="","",Reviewer_1!N340)</x:f>
      </x:c>
      <x:c r="K340" s="20" t="str">
        <x:f>IF(Reviewer_2!N340="","",Reviewer_2!N340)</x:f>
      </x:c>
      <x:c r="L340" s="25"/>
      <x:c r="M340" s="25"/>
      <x:c r="N340" s="25"/>
      <x:c r="O340" s="20" t="str">
        <x:f>IF(OR(D340="",E340=""),"PENDING",IF(OR(D340&lt;&gt;E340,G340&lt;&gt;H340,J340&lt;&gt;K340),"CONFLICT","AGREE"))</x:f>
        <x:v>PENDING</x:v>
      </x:c>
    </x:row>
    <x:row r="341">
      <x:c r="A341" t="str">
        <x:v>ext-crm-pass-030</x:v>
      </x:c>
      <x:c r="B341" s="20" t="str">
        <x:v>What deductible and annual premium apply to this policy?</x:v>
      </x:c>
      <x:c r="C341" s="20" t="str">
        <x:v>The deductible is 250 EUR and the annual premium is 225 EUR.</x:v>
      </x:c>
      <x:c r="D341" s="20" t="str">
        <x:f>IF(Reviewer_1!L341="","",Reviewer_1!L341)</x:f>
      </x:c>
      <x:c r="E341" s="20" t="str">
        <x:f>IF(Reviewer_2!L341="","",Reviewer_2!L341)</x:f>
      </x:c>
      <x:c r="F341" s="25"/>
      <x:c r="G341" s="20" t="str">
        <x:f>IF(Reviewer_1!M341="","",Reviewer_1!M341)</x:f>
      </x:c>
      <x:c r="H341" s="20" t="str">
        <x:f>IF(Reviewer_2!M341="","",Reviewer_2!M341)</x:f>
      </x:c>
      <x:c r="I341" s="25"/>
      <x:c r="J341" s="20" t="str">
        <x:f>IF(Reviewer_1!N341="","",Reviewer_1!N341)</x:f>
      </x:c>
      <x:c r="K341" s="20" t="str">
        <x:f>IF(Reviewer_2!N341="","",Reviewer_2!N341)</x:f>
      </x:c>
      <x:c r="L341" s="25"/>
      <x:c r="M341" s="25"/>
      <x:c r="N341" s="25"/>
      <x:c r="O341" s="20" t="str">
        <x:f>IF(OR(D341="",E341=""),"PENDING",IF(OR(D341&lt;&gt;E341,G341&lt;&gt;H341,J341&lt;&gt;K341),"CONFLICT","AGREE"))</x:f>
        <x:v>PENDING</x:v>
      </x:c>
    </x:row>
    <x:row r="342">
      <x:c r="A342" t="str">
        <x:v>ext-crm-pass-031</x:v>
      </x:c>
      <x:c r="B342" s="20" t="str">
        <x:v>What deductible and annual premium apply to this policy?</x:v>
      </x:c>
      <x:c r="C342" s="20" t="str">
        <x:v>The deductible is 500 EUR and the annual premium is 1290 EUR.</x:v>
      </x:c>
      <x:c r="D342" s="20" t="str">
        <x:f>IF(Reviewer_1!L342="","",Reviewer_1!L342)</x:f>
      </x:c>
      <x:c r="E342" s="20" t="str">
        <x:f>IF(Reviewer_2!L342="","",Reviewer_2!L342)</x:f>
      </x:c>
      <x:c r="F342" s="25"/>
      <x:c r="G342" s="20" t="str">
        <x:f>IF(Reviewer_1!M342="","",Reviewer_1!M342)</x:f>
      </x:c>
      <x:c r="H342" s="20" t="str">
        <x:f>IF(Reviewer_2!M342="","",Reviewer_2!M342)</x:f>
      </x:c>
      <x:c r="I342" s="25"/>
      <x:c r="J342" s="20" t="str">
        <x:f>IF(Reviewer_1!N342="","",Reviewer_1!N342)</x:f>
      </x:c>
      <x:c r="K342" s="20" t="str">
        <x:f>IF(Reviewer_2!N342="","",Reviewer_2!N342)</x:f>
      </x:c>
      <x:c r="L342" s="25"/>
      <x:c r="M342" s="25"/>
      <x:c r="N342" s="25"/>
      <x:c r="O342" s="20" t="str">
        <x:f>IF(OR(D342="",E342=""),"PENDING",IF(OR(D342&lt;&gt;E342,G342&lt;&gt;H342,J342&lt;&gt;K342),"CONFLICT","AGREE"))</x:f>
        <x:v>PENDING</x:v>
      </x:c>
    </x:row>
    <x:row r="343">
      <x:c r="A343" t="str">
        <x:v>ext-crm-pass-032</x:v>
      </x:c>
      <x:c r="B343" s="20" t="str">
        <x:v>What deductible and annual premium apply to this policy?</x:v>
      </x:c>
      <x:c r="C343" s="20" t="str">
        <x:v>The deductible is 0 EUR and the annual premium is 108 EUR.</x:v>
      </x:c>
      <x:c r="D343" s="20" t="str">
        <x:f>IF(Reviewer_1!L343="","",Reviewer_1!L343)</x:f>
      </x:c>
      <x:c r="E343" s="20" t="str">
        <x:f>IF(Reviewer_2!L343="","",Reviewer_2!L343)</x:f>
      </x:c>
      <x:c r="F343" s="25"/>
      <x:c r="G343" s="20" t="str">
        <x:f>IF(Reviewer_1!M343="","",Reviewer_1!M343)</x:f>
      </x:c>
      <x:c r="H343" s="20" t="str">
        <x:f>IF(Reviewer_2!M343="","",Reviewer_2!M343)</x:f>
      </x:c>
      <x:c r="I343" s="25"/>
      <x:c r="J343" s="20" t="str">
        <x:f>IF(Reviewer_1!N343="","",Reviewer_1!N343)</x:f>
      </x:c>
      <x:c r="K343" s="20" t="str">
        <x:f>IF(Reviewer_2!N343="","",Reviewer_2!N343)</x:f>
      </x:c>
      <x:c r="L343" s="25"/>
      <x:c r="M343" s="25"/>
      <x:c r="N343" s="25"/>
      <x:c r="O343" s="20" t="str">
        <x:f>IF(OR(D343="",E343=""),"PENDING",IF(OR(D343&lt;&gt;E343,G343&lt;&gt;H343,J343&lt;&gt;K343),"CONFLICT","AGREE"))</x:f>
        <x:v>PENDING</x:v>
      </x:c>
    </x:row>
    <x:row r="344">
      <x:c r="A344" t="str">
        <x:v>ext-crm-pass-033</x:v>
      </x:c>
      <x:c r="B344" s="20" t="str">
        <x:v>What are the coverage type, policy status and contract dates?</x:v>
      </x:c>
      <x:c r="C344" s="20" t="str">
        <x:v>The coverage type is Partial Coverage; the policy is Active from 2026-01-01 through 2026-12-31.</x:v>
      </x:c>
      <x:c r="D344" s="20" t="str">
        <x:f>IF(Reviewer_1!L344="","",Reviewer_1!L344)</x:f>
      </x:c>
      <x:c r="E344" s="20" t="str">
        <x:f>IF(Reviewer_2!L344="","",Reviewer_2!L344)</x:f>
      </x:c>
      <x:c r="F344" s="25"/>
      <x:c r="G344" s="20" t="str">
        <x:f>IF(Reviewer_1!M344="","",Reviewer_1!M344)</x:f>
      </x:c>
      <x:c r="H344" s="20" t="str">
        <x:f>IF(Reviewer_2!M344="","",Reviewer_2!M344)</x:f>
      </x:c>
      <x:c r="I344" s="25"/>
      <x:c r="J344" s="20" t="str">
        <x:f>IF(Reviewer_1!N344="","",Reviewer_1!N344)</x:f>
      </x:c>
      <x:c r="K344" s="20" t="str">
        <x:f>IF(Reviewer_2!N344="","",Reviewer_2!N344)</x:f>
      </x:c>
      <x:c r="L344" s="25"/>
      <x:c r="M344" s="25"/>
      <x:c r="N344" s="25"/>
      <x:c r="O344" s="20" t="str">
        <x:f>IF(OR(D344="",E344=""),"PENDING",IF(OR(D344&lt;&gt;E344,G344&lt;&gt;H344,J344&lt;&gt;K344),"CONFLICT","AGREE"))</x:f>
        <x:v>PENDING</x:v>
      </x:c>
    </x:row>
    <x:row r="345">
      <x:c r="A345" t="str">
        <x:v>ext-crm-pass-034</x:v>
      </x:c>
      <x:c r="B345" s="20" t="str">
        <x:v>What are the coverage type, policy status and contract dates?</x:v>
      </x:c>
      <x:c r="C345" s="20" t="str">
        <x:v>The coverage type is Liability; the policy is Active from 2026-01-01 through 2026-12-31.</x:v>
      </x:c>
      <x:c r="D345" s="20" t="str">
        <x:f>IF(Reviewer_1!L345="","",Reviewer_1!L345)</x:f>
      </x:c>
      <x:c r="E345" s="20" t="str">
        <x:f>IF(Reviewer_2!L345="","",Reviewer_2!L345)</x:f>
      </x:c>
      <x:c r="F345" s="25"/>
      <x:c r="G345" s="20" t="str">
        <x:f>IF(Reviewer_1!M345="","",Reviewer_1!M345)</x:f>
      </x:c>
      <x:c r="H345" s="20" t="str">
        <x:f>IF(Reviewer_2!M345="","",Reviewer_2!M345)</x:f>
      </x:c>
      <x:c r="I345" s="25"/>
      <x:c r="J345" s="20" t="str">
        <x:f>IF(Reviewer_1!N345="","",Reviewer_1!N345)</x:f>
      </x:c>
      <x:c r="K345" s="20" t="str">
        <x:f>IF(Reviewer_2!N345="","",Reviewer_2!N345)</x:f>
      </x:c>
      <x:c r="L345" s="25"/>
      <x:c r="M345" s="25"/>
      <x:c r="N345" s="25"/>
      <x:c r="O345" s="20" t="str">
        <x:f>IF(OR(D345="",E345=""),"PENDING",IF(OR(D345&lt;&gt;E345,G345&lt;&gt;H345,J345&lt;&gt;K345),"CONFLICT","AGREE"))</x:f>
        <x:v>PENDING</x:v>
      </x:c>
    </x:row>
    <x:row r="346">
      <x:c r="A346" t="str">
        <x:v>ext-crm-pass-035</x:v>
      </x:c>
      <x:c r="B346" s="20" t="str">
        <x:v>What are the coverage type, policy status and contract dates?</x:v>
      </x:c>
      <x:c r="C346" s="20" t="str">
        <x:v>The coverage type is Partial Coverage; the policy is Active from 2026-07-01 through 2027-06-30.</x:v>
      </x:c>
      <x:c r="D346" s="20" t="str">
        <x:f>IF(Reviewer_1!L346="","",Reviewer_1!L346)</x:f>
      </x:c>
      <x:c r="E346" s="20" t="str">
        <x:f>IF(Reviewer_2!L346="","",Reviewer_2!L346)</x:f>
      </x:c>
      <x:c r="F346" s="25"/>
      <x:c r="G346" s="20" t="str">
        <x:f>IF(Reviewer_1!M346="","",Reviewer_1!M346)</x:f>
      </x:c>
      <x:c r="H346" s="20" t="str">
        <x:f>IF(Reviewer_2!M346="","",Reviewer_2!M346)</x:f>
      </x:c>
      <x:c r="I346" s="25"/>
      <x:c r="J346" s="20" t="str">
        <x:f>IF(Reviewer_1!N346="","",Reviewer_1!N346)</x:f>
      </x:c>
      <x:c r="K346" s="20" t="str">
        <x:f>IF(Reviewer_2!N346="","",Reviewer_2!N346)</x:f>
      </x:c>
      <x:c r="L346" s="25"/>
      <x:c r="M346" s="25"/>
      <x:c r="N346" s="25"/>
      <x:c r="O346" s="20" t="str">
        <x:f>IF(OR(D346="",E346=""),"PENDING",IF(OR(D346&lt;&gt;E346,G346&lt;&gt;H346,J346&lt;&gt;K346),"CONFLICT","AGREE"))</x:f>
        <x:v>PENDING</x:v>
      </x:c>
    </x:row>
    <x:row r="347">
      <x:c r="A347" t="str">
        <x:v>ext-crm-pass-036</x:v>
      </x:c>
      <x:c r="B347" s="20" t="str">
        <x:v>What are the coverage type, policy status and contract dates?</x:v>
      </x:c>
      <x:c r="C347" s="20" t="str">
        <x:v>The coverage type is Comprehensive Coverage; the policy is Active from 2026-02-01 through 2027-01-31.</x:v>
      </x:c>
      <x:c r="D347" s="20" t="str">
        <x:f>IF(Reviewer_1!L347="","",Reviewer_1!L347)</x:f>
      </x:c>
      <x:c r="E347" s="20" t="str">
        <x:f>IF(Reviewer_2!L347="","",Reviewer_2!L347)</x:f>
      </x:c>
      <x:c r="F347" s="25"/>
      <x:c r="G347" s="20" t="str">
        <x:f>IF(Reviewer_1!M347="","",Reviewer_1!M347)</x:f>
      </x:c>
      <x:c r="H347" s="20" t="str">
        <x:f>IF(Reviewer_2!M347="","",Reviewer_2!M347)</x:f>
      </x:c>
      <x:c r="I347" s="25"/>
      <x:c r="J347" s="20" t="str">
        <x:f>IF(Reviewer_1!N347="","",Reviewer_1!N347)</x:f>
      </x:c>
      <x:c r="K347" s="20" t="str">
        <x:f>IF(Reviewer_2!N347="","",Reviewer_2!N347)</x:f>
      </x:c>
      <x:c r="L347" s="25"/>
      <x:c r="M347" s="25"/>
      <x:c r="N347" s="25"/>
      <x:c r="O347" s="20" t="str">
        <x:f>IF(OR(D347="",E347=""),"PENDING",IF(OR(D347&lt;&gt;E347,G347&lt;&gt;H347,J347&lt;&gt;K347),"CONFLICT","AGREE"))</x:f>
        <x:v>PENDING</x:v>
      </x:c>
    </x:row>
    <x:row r="348">
      <x:c r="A348" t="str">
        <x:v>ext-crm-pass-037</x:v>
      </x:c>
      <x:c r="B348" s="20" t="str">
        <x:v>What are the coverage type, policy status and contract dates?</x:v>
      </x:c>
      <x:c r="C348" s="20" t="str">
        <x:v>The coverage type is Standard Coverage; the policy is Active from 2026-01-15 through 2027-01-14.</x:v>
      </x:c>
      <x:c r="D348" s="20" t="str">
        <x:f>IF(Reviewer_1!L348="","",Reviewer_1!L348)</x:f>
      </x:c>
      <x:c r="E348" s="20" t="str">
        <x:f>IF(Reviewer_2!L348="","",Reviewer_2!L348)</x:f>
      </x:c>
      <x:c r="F348" s="25"/>
      <x:c r="G348" s="20" t="str">
        <x:f>IF(Reviewer_1!M348="","",Reviewer_1!M348)</x:f>
      </x:c>
      <x:c r="H348" s="20" t="str">
        <x:f>IF(Reviewer_2!M348="","",Reviewer_2!M348)</x:f>
      </x:c>
      <x:c r="I348" s="25"/>
      <x:c r="J348" s="20" t="str">
        <x:f>IF(Reviewer_1!N348="","",Reviewer_1!N348)</x:f>
      </x:c>
      <x:c r="K348" s="20" t="str">
        <x:f>IF(Reviewer_2!N348="","",Reviewer_2!N348)</x:f>
      </x:c>
      <x:c r="L348" s="25"/>
      <x:c r="M348" s="25"/>
      <x:c r="N348" s="25"/>
      <x:c r="O348" s="20" t="str">
        <x:f>IF(OR(D348="",E348=""),"PENDING",IF(OR(D348&lt;&gt;E348,G348&lt;&gt;H348,J348&lt;&gt;K348),"CONFLICT","AGREE"))</x:f>
        <x:v>PENDING</x:v>
      </x:c>
    </x:row>
    <x:row r="349">
      <x:c r="A349" t="str">
        <x:v>ext-crm-pass-038</x:v>
      </x:c>
      <x:c r="B349" s="20" t="str">
        <x:v>What are the coverage type, policy status and contract dates?</x:v>
      </x:c>
      <x:c r="C349" s="20" t="str">
        <x:v>The coverage type is Standard Coverage; the policy is Pending from 2026-08-01 through 2027-07-31.</x:v>
      </x:c>
      <x:c r="D349" s="20" t="str">
        <x:f>IF(Reviewer_1!L349="","",Reviewer_1!L349)</x:f>
      </x:c>
      <x:c r="E349" s="20" t="str">
        <x:f>IF(Reviewer_2!L349="","",Reviewer_2!L349)</x:f>
      </x:c>
      <x:c r="F349" s="25"/>
      <x:c r="G349" s="20" t="str">
        <x:f>IF(Reviewer_1!M349="","",Reviewer_1!M349)</x:f>
      </x:c>
      <x:c r="H349" s="20" t="str">
        <x:f>IF(Reviewer_2!M349="","",Reviewer_2!M349)</x:f>
      </x:c>
      <x:c r="I349" s="25"/>
      <x:c r="J349" s="20" t="str">
        <x:f>IF(Reviewer_1!N349="","",Reviewer_1!N349)</x:f>
      </x:c>
      <x:c r="K349" s="20" t="str">
        <x:f>IF(Reviewer_2!N349="","",Reviewer_2!N349)</x:f>
      </x:c>
      <x:c r="L349" s="25"/>
      <x:c r="M349" s="25"/>
      <x:c r="N349" s="25"/>
      <x:c r="O349" s="20" t="str">
        <x:f>IF(OR(D349="",E349=""),"PENDING",IF(OR(D349&lt;&gt;E349,G349&lt;&gt;H349,J349&lt;&gt;K349),"CONFLICT","AGREE"))</x:f>
        <x:v>PENDING</x:v>
      </x:c>
    </x:row>
    <x:row r="350">
      <x:c r="A350" t="str">
        <x:v>ext-crm-pass-039</x:v>
      </x:c>
      <x:c r="B350" s="20" t="str">
        <x:v>What are the coverage type, policy status and contract dates?</x:v>
      </x:c>
      <x:c r="C350" s="20" t="str">
        <x:v>The coverage type is Liability; the policy is Expired from 2025-01-01 through 2025-12-31.</x:v>
      </x:c>
      <x:c r="D350" s="20" t="str">
        <x:f>IF(Reviewer_1!L350="","",Reviewer_1!L350)</x:f>
      </x:c>
      <x:c r="E350" s="20" t="str">
        <x:f>IF(Reviewer_2!L350="","",Reviewer_2!L350)</x:f>
      </x:c>
      <x:c r="F350" s="25"/>
      <x:c r="G350" s="20" t="str">
        <x:f>IF(Reviewer_1!M350="","",Reviewer_1!M350)</x:f>
      </x:c>
      <x:c r="H350" s="20" t="str">
        <x:f>IF(Reviewer_2!M350="","",Reviewer_2!M350)</x:f>
      </x:c>
      <x:c r="I350" s="25"/>
      <x:c r="J350" s="20" t="str">
        <x:f>IF(Reviewer_1!N350="","",Reviewer_1!N350)</x:f>
      </x:c>
      <x:c r="K350" s="20" t="str">
        <x:f>IF(Reviewer_2!N350="","",Reviewer_2!N350)</x:f>
      </x:c>
      <x:c r="L350" s="25"/>
      <x:c r="M350" s="25"/>
      <x:c r="N350" s="25"/>
      <x:c r="O350" s="20" t="str">
        <x:f>IF(OR(D350="",E350=""),"PENDING",IF(OR(D350&lt;&gt;E350,G350&lt;&gt;H350,J350&lt;&gt;K350),"CONFLICT","AGREE"))</x:f>
        <x:v>PENDING</x:v>
      </x:c>
    </x:row>
    <x:row r="351">
      <x:c r="A351" t="str">
        <x:v>ext-crm-pass-040</x:v>
      </x:c>
      <x:c r="B351" s="20" t="str">
        <x:v>What are the coverage type, policy status and contract dates?</x:v>
      </x:c>
      <x:c r="C351" s="20" t="str">
        <x:v>The coverage type is Liability; the policy is Active from 2026-03-01 through 2027-02-28.</x:v>
      </x:c>
      <x:c r="D351" s="20" t="str">
        <x:f>IF(Reviewer_1!L351="","",Reviewer_1!L351)</x:f>
      </x:c>
      <x:c r="E351" s="20" t="str">
        <x:f>IF(Reviewer_2!L351="","",Reviewer_2!L351)</x:f>
      </x:c>
      <x:c r="F351" s="25"/>
      <x:c r="G351" s="20" t="str">
        <x:f>IF(Reviewer_1!M351="","",Reviewer_1!M351)</x:f>
      </x:c>
      <x:c r="H351" s="20" t="str">
        <x:f>IF(Reviewer_2!M351="","",Reviewer_2!M351)</x:f>
      </x:c>
      <x:c r="I351" s="25"/>
      <x:c r="J351" s="20" t="str">
        <x:f>IF(Reviewer_1!N351="","",Reviewer_1!N351)</x:f>
      </x:c>
      <x:c r="K351" s="20" t="str">
        <x:f>IF(Reviewer_2!N351="","",Reviewer_2!N351)</x:f>
      </x:c>
      <x:c r="L351" s="25"/>
      <x:c r="M351" s="25"/>
      <x:c r="N351" s="25"/>
      <x:c r="O351" s="20" t="str">
        <x:f>IF(OR(D351="",E351=""),"PENDING",IF(OR(D351&lt;&gt;E351,G351&lt;&gt;H351,J351&lt;&gt;K351),"CONFLICT","AGREE"))</x:f>
        <x:v>PENDING</x:v>
      </x:c>
    </x:row>
    <x:row r="352">
      <x:c r="A352" t="str">
        <x:v>ext-crm-pass-041</x:v>
      </x:c>
      <x:c r="B352" s="20" t="str">
        <x:v>What are the coverage type, policy status and contract dates?</x:v>
      </x:c>
      <x:c r="C352" s="20" t="str">
        <x:v>The coverage type is Standard Coverage; the policy is Active from 2026-03-01 through 2027-02-28.</x:v>
      </x:c>
      <x:c r="D352" s="20" t="str">
        <x:f>IF(Reviewer_1!L352="","",Reviewer_1!L352)</x:f>
      </x:c>
      <x:c r="E352" s="20" t="str">
        <x:f>IF(Reviewer_2!L352="","",Reviewer_2!L352)</x:f>
      </x:c>
      <x:c r="F352" s="25"/>
      <x:c r="G352" s="20" t="str">
        <x:f>IF(Reviewer_1!M352="","",Reviewer_1!M352)</x:f>
      </x:c>
      <x:c r="H352" s="20" t="str">
        <x:f>IF(Reviewer_2!M352="","",Reviewer_2!M352)</x:f>
      </x:c>
      <x:c r="I352" s="25"/>
      <x:c r="J352" s="20" t="str">
        <x:f>IF(Reviewer_1!N352="","",Reviewer_1!N352)</x:f>
      </x:c>
      <x:c r="K352" s="20" t="str">
        <x:f>IF(Reviewer_2!N352="","",Reviewer_2!N352)</x:f>
      </x:c>
      <x:c r="L352" s="25"/>
      <x:c r="M352" s="25"/>
      <x:c r="N352" s="25"/>
      <x:c r="O352" s="20" t="str">
        <x:f>IF(OR(D352="",E352=""),"PENDING",IF(OR(D352&lt;&gt;E352,G352&lt;&gt;H352,J352&lt;&gt;K352),"CONFLICT","AGREE"))</x:f>
        <x:v>PENDING</x:v>
      </x:c>
    </x:row>
    <x:row r="353">
      <x:c r="A353" t="str">
        <x:v>ext-crm-pass-042</x:v>
      </x:c>
      <x:c r="B353" s="20" t="str">
        <x:v>What are the coverage type, policy status and contract dates?</x:v>
      </x:c>
      <x:c r="C353" s="20" t="str">
        <x:v>The coverage type is Standard Coverage; the policy is Cancelled from 2026-01-01 through 2026-06-30.</x:v>
      </x:c>
      <x:c r="D353" s="20" t="str">
        <x:f>IF(Reviewer_1!L353="","",Reviewer_1!L353)</x:f>
      </x:c>
      <x:c r="E353" s="20" t="str">
        <x:f>IF(Reviewer_2!L353="","",Reviewer_2!L353)</x:f>
      </x:c>
      <x:c r="F353" s="25"/>
      <x:c r="G353" s="20" t="str">
        <x:f>IF(Reviewer_1!M353="","",Reviewer_1!M353)</x:f>
      </x:c>
      <x:c r="H353" s="20" t="str">
        <x:f>IF(Reviewer_2!M353="","",Reviewer_2!M353)</x:f>
      </x:c>
      <x:c r="I353" s="25"/>
      <x:c r="J353" s="20" t="str">
        <x:f>IF(Reviewer_1!N353="","",Reviewer_1!N353)</x:f>
      </x:c>
      <x:c r="K353" s="20" t="str">
        <x:f>IF(Reviewer_2!N353="","",Reviewer_2!N353)</x:f>
      </x:c>
      <x:c r="L353" s="25"/>
      <x:c r="M353" s="25"/>
      <x:c r="N353" s="25"/>
      <x:c r="O353" s="20" t="str">
        <x:f>IF(OR(D353="",E353=""),"PENDING",IF(OR(D353&lt;&gt;E353,G353&lt;&gt;H353,J353&lt;&gt;K353),"CONFLICT","AGREE"))</x:f>
        <x:v>PENDING</x:v>
      </x:c>
    </x:row>
    <x:row r="354">
      <x:c r="A354" t="str">
        <x:v>ext-crm-pass-043</x:v>
      </x:c>
      <x:c r="B354" s="20" t="str">
        <x:v>What are the coverage type, policy status and contract dates?</x:v>
      </x:c>
      <x:c r="C354" s="20" t="str">
        <x:v>The coverage type is Liability; the policy is Active from 2026-04-01 through 2027-03-31.</x:v>
      </x:c>
      <x:c r="D354" s="20" t="str">
        <x:f>IF(Reviewer_1!L354="","",Reviewer_1!L354)</x:f>
      </x:c>
      <x:c r="E354" s="20" t="str">
        <x:f>IF(Reviewer_2!L354="","",Reviewer_2!L354)</x:f>
      </x:c>
      <x:c r="F354" s="25"/>
      <x:c r="G354" s="20" t="str">
        <x:f>IF(Reviewer_1!M354="","",Reviewer_1!M354)</x:f>
      </x:c>
      <x:c r="H354" s="20" t="str">
        <x:f>IF(Reviewer_2!M354="","",Reviewer_2!M354)</x:f>
      </x:c>
      <x:c r="I354" s="25"/>
      <x:c r="J354" s="20" t="str">
        <x:f>IF(Reviewer_1!N354="","",Reviewer_1!N354)</x:f>
      </x:c>
      <x:c r="K354" s="20" t="str">
        <x:f>IF(Reviewer_2!N354="","",Reviewer_2!N354)</x:f>
      </x:c>
      <x:c r="L354" s="25"/>
      <x:c r="M354" s="25"/>
      <x:c r="N354" s="25"/>
      <x:c r="O354" s="20" t="str">
        <x:f>IF(OR(D354="",E354=""),"PENDING",IF(OR(D354&lt;&gt;E354,G354&lt;&gt;H354,J354&lt;&gt;K354),"CONFLICT","AGREE"))</x:f>
        <x:v>PENDING</x:v>
      </x:c>
    </x:row>
    <x:row r="355">
      <x:c r="A355" t="str">
        <x:v>ext-crm-pass-044</x:v>
      </x:c>
      <x:c r="B355" s="20" t="str">
        <x:v>What are the coverage type, policy status and contract dates?</x:v>
      </x:c>
      <x:c r="C355" s="20" t="str">
        <x:v>The coverage type is Partial Coverage; the policy is Active from 2026-05-01 through 2027-04-30.</x:v>
      </x:c>
      <x:c r="D355" s="20" t="str">
        <x:f>IF(Reviewer_1!L355="","",Reviewer_1!L355)</x:f>
      </x:c>
      <x:c r="E355" s="20" t="str">
        <x:f>IF(Reviewer_2!L355="","",Reviewer_2!L355)</x:f>
      </x:c>
      <x:c r="F355" s="25"/>
      <x:c r="G355" s="20" t="str">
        <x:f>IF(Reviewer_1!M355="","",Reviewer_1!M355)</x:f>
      </x:c>
      <x:c r="H355" s="20" t="str">
        <x:f>IF(Reviewer_2!M355="","",Reviewer_2!M355)</x:f>
      </x:c>
      <x:c r="I355" s="25"/>
      <x:c r="J355" s="20" t="str">
        <x:f>IF(Reviewer_1!N355="","",Reviewer_1!N355)</x:f>
      </x:c>
      <x:c r="K355" s="20" t="str">
        <x:f>IF(Reviewer_2!N355="","",Reviewer_2!N355)</x:f>
      </x:c>
      <x:c r="L355" s="25"/>
      <x:c r="M355" s="25"/>
      <x:c r="N355" s="25"/>
      <x:c r="O355" s="20" t="str">
        <x:f>IF(OR(D355="",E355=""),"PENDING",IF(OR(D355&lt;&gt;E355,G355&lt;&gt;H355,J355&lt;&gt;K355),"CONFLICT","AGREE"))</x:f>
        <x:v>PENDING</x:v>
      </x:c>
    </x:row>
    <x:row r="356">
      <x:c r="A356" t="str">
        <x:v>ext-crm-pass-045</x:v>
      </x:c>
      <x:c r="B356" s="20" t="str">
        <x:v>What are the coverage type, policy status and contract dates?</x:v>
      </x:c>
      <x:c r="C356" s="20" t="str">
        <x:v>The coverage type is Standard Coverage; the policy is Active from 2026-05-01 through 2027-04-30.</x:v>
      </x:c>
      <x:c r="D356" s="20" t="str">
        <x:f>IF(Reviewer_1!L356="","",Reviewer_1!L356)</x:f>
      </x:c>
      <x:c r="E356" s="20" t="str">
        <x:f>IF(Reviewer_2!L356="","",Reviewer_2!L356)</x:f>
      </x:c>
      <x:c r="F356" s="25"/>
      <x:c r="G356" s="20" t="str">
        <x:f>IF(Reviewer_1!M356="","",Reviewer_1!M356)</x:f>
      </x:c>
      <x:c r="H356" s="20" t="str">
        <x:f>IF(Reviewer_2!M356="","",Reviewer_2!M356)</x:f>
      </x:c>
      <x:c r="I356" s="25"/>
      <x:c r="J356" s="20" t="str">
        <x:f>IF(Reviewer_1!N356="","",Reviewer_1!N356)</x:f>
      </x:c>
      <x:c r="K356" s="20" t="str">
        <x:f>IF(Reviewer_2!N356="","",Reviewer_2!N356)</x:f>
      </x:c>
      <x:c r="L356" s="25"/>
      <x:c r="M356" s="25"/>
      <x:c r="N356" s="25"/>
      <x:c r="O356" s="20" t="str">
        <x:f>IF(OR(D356="",E356=""),"PENDING",IF(OR(D356&lt;&gt;E356,G356&lt;&gt;H356,J356&lt;&gt;K356),"CONFLICT","AGREE"))</x:f>
        <x:v>PENDING</x:v>
      </x:c>
    </x:row>
    <x:row r="357">
      <x:c r="A357" t="str">
        <x:v>ext-crm-pass-046</x:v>
      </x:c>
      <x:c r="B357" s="20" t="str">
        <x:v>What are the coverage type, policy status and contract dates?</x:v>
      </x:c>
      <x:c r="C357" s="20" t="str">
        <x:v>The coverage type is Standard Coverage; the policy is Pending from 2026-09-01 through 2027-08-31.</x:v>
      </x:c>
      <x:c r="D357" s="20" t="str">
        <x:f>IF(Reviewer_1!L357="","",Reviewer_1!L357)</x:f>
      </x:c>
      <x:c r="E357" s="20" t="str">
        <x:f>IF(Reviewer_2!L357="","",Reviewer_2!L357)</x:f>
      </x:c>
      <x:c r="F357" s="25"/>
      <x:c r="G357" s="20" t="str">
        <x:f>IF(Reviewer_1!M357="","",Reviewer_1!M357)</x:f>
      </x:c>
      <x:c r="H357" s="20" t="str">
        <x:f>IF(Reviewer_2!M357="","",Reviewer_2!M357)</x:f>
      </x:c>
      <x:c r="I357" s="25"/>
      <x:c r="J357" s="20" t="str">
        <x:f>IF(Reviewer_1!N357="","",Reviewer_1!N357)</x:f>
      </x:c>
      <x:c r="K357" s="20" t="str">
        <x:f>IF(Reviewer_2!N357="","",Reviewer_2!N357)</x:f>
      </x:c>
      <x:c r="L357" s="25"/>
      <x:c r="M357" s="25"/>
      <x:c r="N357" s="25"/>
      <x:c r="O357" s="20" t="str">
        <x:f>IF(OR(D357="",E357=""),"PENDING",IF(OR(D357&lt;&gt;E357,G357&lt;&gt;H357,J357&lt;&gt;K357),"CONFLICT","AGREE"))</x:f>
        <x:v>PENDING</x:v>
      </x:c>
    </x:row>
    <x:row r="358">
      <x:c r="A358" t="str">
        <x:v>ext-crm-pass-047</x:v>
      </x:c>
      <x:c r="B358" s="20" t="str">
        <x:v>What are the coverage type, policy status and contract dates?</x:v>
      </x:c>
      <x:c r="C358" s="20" t="str">
        <x:v>The coverage type is Comprehensive Coverage; the policy is Active from 2026-06-01 through 2027-05-31.</x:v>
      </x:c>
      <x:c r="D358" s="20" t="str">
        <x:f>IF(Reviewer_1!L358="","",Reviewer_1!L358)</x:f>
      </x:c>
      <x:c r="E358" s="20" t="str">
        <x:f>IF(Reviewer_2!L358="","",Reviewer_2!L358)</x:f>
      </x:c>
      <x:c r="F358" s="25"/>
      <x:c r="G358" s="20" t="str">
        <x:f>IF(Reviewer_1!M358="","",Reviewer_1!M358)</x:f>
      </x:c>
      <x:c r="H358" s="20" t="str">
        <x:f>IF(Reviewer_2!M358="","",Reviewer_2!M358)</x:f>
      </x:c>
      <x:c r="I358" s="25"/>
      <x:c r="J358" s="20" t="str">
        <x:f>IF(Reviewer_1!N358="","",Reviewer_1!N358)</x:f>
      </x:c>
      <x:c r="K358" s="20" t="str">
        <x:f>IF(Reviewer_2!N358="","",Reviewer_2!N358)</x:f>
      </x:c>
      <x:c r="L358" s="25"/>
      <x:c r="M358" s="25"/>
      <x:c r="N358" s="25"/>
      <x:c r="O358" s="20" t="str">
        <x:f>IF(OR(D358="",E358=""),"PENDING",IF(OR(D358&lt;&gt;E358,G358&lt;&gt;H358,J358&lt;&gt;K358),"CONFLICT","AGREE"))</x:f>
        <x:v>PENDING</x:v>
      </x:c>
    </x:row>
    <x:row r="359">
      <x:c r="A359" t="str">
        <x:v>ext-crm-pass-048</x:v>
      </x:c>
      <x:c r="B359" s="20" t="str">
        <x:v>What are the coverage type, policy status and contract dates?</x:v>
      </x:c>
      <x:c r="C359" s="20" t="str">
        <x:v>The coverage type is Liability; the policy is Active from 2026-06-01 through 2027-05-31.</x:v>
      </x:c>
      <x:c r="D359" s="20" t="str">
        <x:f>IF(Reviewer_1!L359="","",Reviewer_1!L359)</x:f>
      </x:c>
      <x:c r="E359" s="20" t="str">
        <x:f>IF(Reviewer_2!L359="","",Reviewer_2!L359)</x:f>
      </x:c>
      <x:c r="F359" s="25"/>
      <x:c r="G359" s="20" t="str">
        <x:f>IF(Reviewer_1!M359="","",Reviewer_1!M359)</x:f>
      </x:c>
      <x:c r="H359" s="20" t="str">
        <x:f>IF(Reviewer_2!M359="","",Reviewer_2!M359)</x:f>
      </x:c>
      <x:c r="I359" s="25"/>
      <x:c r="J359" s="20" t="str">
        <x:f>IF(Reviewer_1!N359="","",Reviewer_1!N359)</x:f>
      </x:c>
      <x:c r="K359" s="20" t="str">
        <x:f>IF(Reviewer_2!N359="","",Reviewer_2!N359)</x:f>
      </x:c>
      <x:c r="L359" s="25"/>
      <x:c r="M359" s="25"/>
      <x:c r="N359" s="25"/>
      <x:c r="O359" s="20" t="str">
        <x:f>IF(OR(D359="",E359=""),"PENDING",IF(OR(D359&lt;&gt;E359,G359&lt;&gt;H359,J359&lt;&gt;K359),"CONFLICT","AGREE"))</x:f>
        <x:v>PENDING</x:v>
      </x:c>
    </x:row>
    <x:row r="360">
      <x:c r="A360" t="str">
        <x:v>ext-crm-pass-049</x:v>
      </x:c>
      <x:c r="B360" s="20" t="str">
        <x:v>As of 2026-08-01, what is Lara Neumann's current motor policy?</x:v>
      </x:c>
      <x:c r="C360" s="20" t="str">
        <x:v>Lara Neumann's current motor policy is TEST-KFZ-2026-1003 with Partial Coverage, a 300 EUR deductible and a 720 EUR annual premium.</x:v>
      </x:c>
      <x:c r="D360" s="20" t="str">
        <x:f>IF(Reviewer_1!L360="","",Reviewer_1!L360)</x:f>
      </x:c>
      <x:c r="E360" s="20" t="str">
        <x:f>IF(Reviewer_2!L360="","",Reviewer_2!L360)</x:f>
      </x:c>
      <x:c r="F360" s="25"/>
      <x:c r="G360" s="20" t="str">
        <x:f>IF(Reviewer_1!M360="","",Reviewer_1!M360)</x:f>
      </x:c>
      <x:c r="H360" s="20" t="str">
        <x:f>IF(Reviewer_2!M360="","",Reviewer_2!M360)</x:f>
      </x:c>
      <x:c r="I360" s="25"/>
      <x:c r="J360" s="20" t="str">
        <x:f>IF(Reviewer_1!N360="","",Reviewer_1!N360)</x:f>
      </x:c>
      <x:c r="K360" s="20" t="str">
        <x:f>IF(Reviewer_2!N360="","",Reviewer_2!N360)</x:f>
      </x:c>
      <x:c r="L360" s="25"/>
      <x:c r="M360" s="25"/>
      <x:c r="N360" s="25"/>
      <x:c r="O360" s="20" t="str">
        <x:f>IF(OR(D360="",E360=""),"PENDING",IF(OR(D360&lt;&gt;E360,G360&lt;&gt;H360,J360&lt;&gt;K360),"CONFLICT","AGREE"))</x:f>
        <x:v>PENDING</x:v>
      </x:c>
    </x:row>
    <x:row r="361">
      <x:c r="A361" t="str">
        <x:v>ext-crm-pass-050</x:v>
      </x:c>
      <x:c r="B361" s="20" t="str">
        <x:v>What are the claim number, policy number, damage type, claimed amount and current status?</x:v>
      </x:c>
      <x:c r="C361" s="20" t="str">
        <x:v>Claim TEST-CLM-2026-2001 concerns Glass Damage under policy TEST-KFZ-2026-1001, with 780 EUR claimed and status Under Review.</x:v>
      </x:c>
      <x:c r="D361" s="20" t="str">
        <x:f>IF(Reviewer_1!L361="","",Reviewer_1!L361)</x:f>
      </x:c>
      <x:c r="E361" s="20" t="str">
        <x:f>IF(Reviewer_2!L361="","",Reviewer_2!L361)</x:f>
      </x:c>
      <x:c r="F361" s="25"/>
      <x:c r="G361" s="20" t="str">
        <x:f>IF(Reviewer_1!M361="","",Reviewer_1!M361)</x:f>
      </x:c>
      <x:c r="H361" s="20" t="str">
        <x:f>IF(Reviewer_2!M361="","",Reviewer_2!M361)</x:f>
      </x:c>
      <x:c r="I361" s="25"/>
      <x:c r="J361" s="20" t="str">
        <x:f>IF(Reviewer_1!N361="","",Reviewer_1!N361)</x:f>
      </x:c>
      <x:c r="K361" s="20" t="str">
        <x:f>IF(Reviewer_2!N361="","",Reviewer_2!N361)</x:f>
      </x:c>
      <x:c r="L361" s="25"/>
      <x:c r="M361" s="25"/>
      <x:c r="N361" s="25"/>
      <x:c r="O361" s="20" t="str">
        <x:f>IF(OR(D361="",E361=""),"PENDING",IF(OR(D361&lt;&gt;E361,G361&lt;&gt;H361,J361&lt;&gt;K361),"CONFLICT","AGREE"))</x:f>
        <x:v>PENDING</x:v>
      </x:c>
    </x:row>
    <x:row r="362">
      <x:c r="A362" t="str">
        <x:v>ext-crm-fail-001</x:v>
      </x:c>
      <x:c r="B362" s="20" t="str">
        <x:v>Which customer holds the policy shown in the context?</x:v>
      </x:c>
      <x:c r="C362" s="20" t="str">
        <x:v>The policy belongs to Oliver Brandt.</x:v>
      </x:c>
      <x:c r="D362" s="20" t="str">
        <x:f>IF(Reviewer_1!L362="","",Reviewer_1!L362)</x:f>
      </x:c>
      <x:c r="E362" s="20" t="str">
        <x:f>IF(Reviewer_2!L362="","",Reviewer_2!L362)</x:f>
      </x:c>
      <x:c r="F362" s="25"/>
      <x:c r="G362" s="20" t="str">
        <x:f>IF(Reviewer_1!M362="","",Reviewer_1!M362)</x:f>
      </x:c>
      <x:c r="H362" s="20" t="str">
        <x:f>IF(Reviewer_2!M362="","",Reviewer_2!M362)</x:f>
      </x:c>
      <x:c r="I362" s="25"/>
      <x:c r="J362" s="20" t="str">
        <x:f>IF(Reviewer_1!N362="","",Reviewer_1!N362)</x:f>
      </x:c>
      <x:c r="K362" s="20" t="str">
        <x:f>IF(Reviewer_2!N362="","",Reviewer_2!N362)</x:f>
      </x:c>
      <x:c r="L362" s="25"/>
      <x:c r="M362" s="25"/>
      <x:c r="N362" s="25"/>
      <x:c r="O362" s="20" t="str">
        <x:f>IF(OR(D362="",E362=""),"PENDING",IF(OR(D362&lt;&gt;E362,G362&lt;&gt;H362,J362&lt;&gt;K362),"CONFLICT","AGREE"))</x:f>
        <x:v>PENDING</x:v>
      </x:c>
    </x:row>
    <x:row r="363">
      <x:c r="A363" t="str">
        <x:v>ext-crm-fail-002</x:v>
      </x:c>
      <x:c r="B363" s="20" t="str">
        <x:v>Which customer holds the policy shown in the context?</x:v>
      </x:c>
      <x:c r="C363" s="20" t="str">
        <x:v>The policy belongs to Oliver Brandt.</x:v>
      </x:c>
      <x:c r="D363" s="20" t="str">
        <x:f>IF(Reviewer_1!L363="","",Reviewer_1!L363)</x:f>
      </x:c>
      <x:c r="E363" s="20" t="str">
        <x:f>IF(Reviewer_2!L363="","",Reviewer_2!L363)</x:f>
      </x:c>
      <x:c r="F363" s="25"/>
      <x:c r="G363" s="20" t="str">
        <x:f>IF(Reviewer_1!M363="","",Reviewer_1!M363)</x:f>
      </x:c>
      <x:c r="H363" s="20" t="str">
        <x:f>IF(Reviewer_2!M363="","",Reviewer_2!M363)</x:f>
      </x:c>
      <x:c r="I363" s="25"/>
      <x:c r="J363" s="20" t="str">
        <x:f>IF(Reviewer_1!N363="","",Reviewer_1!N363)</x:f>
      </x:c>
      <x:c r="K363" s="20" t="str">
        <x:f>IF(Reviewer_2!N363="","",Reviewer_2!N363)</x:f>
      </x:c>
      <x:c r="L363" s="25"/>
      <x:c r="M363" s="25"/>
      <x:c r="N363" s="25"/>
      <x:c r="O363" s="20" t="str">
        <x:f>IF(OR(D363="",E363=""),"PENDING",IF(OR(D363&lt;&gt;E363,G363&lt;&gt;H363,J363&lt;&gt;K363),"CONFLICT","AGREE"))</x:f>
        <x:v>PENDING</x:v>
      </x:c>
    </x:row>
    <x:row r="364">
      <x:c r="A364" t="str">
        <x:v>ext-crm-fail-003</x:v>
      </x:c>
      <x:c r="B364" s="20" t="str">
        <x:v>Which customer holds the policy shown in the context?</x:v>
      </x:c>
      <x:c r="C364" s="20" t="str">
        <x:v>The policy belongs to Oliver Brandt.</x:v>
      </x:c>
      <x:c r="D364" s="20" t="str">
        <x:f>IF(Reviewer_1!L364="","",Reviewer_1!L364)</x:f>
      </x:c>
      <x:c r="E364" s="20" t="str">
        <x:f>IF(Reviewer_2!L364="","",Reviewer_2!L364)</x:f>
      </x:c>
      <x:c r="F364" s="25"/>
      <x:c r="G364" s="20" t="str">
        <x:f>IF(Reviewer_1!M364="","",Reviewer_1!M364)</x:f>
      </x:c>
      <x:c r="H364" s="20" t="str">
        <x:f>IF(Reviewer_2!M364="","",Reviewer_2!M364)</x:f>
      </x:c>
      <x:c r="I364" s="25"/>
      <x:c r="J364" s="20" t="str">
        <x:f>IF(Reviewer_1!N364="","",Reviewer_1!N364)</x:f>
      </x:c>
      <x:c r="K364" s="20" t="str">
        <x:f>IF(Reviewer_2!N364="","",Reviewer_2!N364)</x:f>
      </x:c>
      <x:c r="L364" s="25"/>
      <x:c r="M364" s="25"/>
      <x:c r="N364" s="25"/>
      <x:c r="O364" s="20" t="str">
        <x:f>IF(OR(D364="",E364=""),"PENDING",IF(OR(D364&lt;&gt;E364,G364&lt;&gt;H364,J364&lt;&gt;K364),"CONFLICT","AGREE"))</x:f>
        <x:v>PENDING</x:v>
      </x:c>
    </x:row>
    <x:row r="365">
      <x:c r="A365" t="str">
        <x:v>ext-crm-fail-004</x:v>
      </x:c>
      <x:c r="B365" s="20" t="str">
        <x:v>Which customer holds the policy shown in the context?</x:v>
      </x:c>
      <x:c r="C365" s="20" t="str">
        <x:v>The policy belongs to Lara Neumann.</x:v>
      </x:c>
      <x:c r="D365" s="20" t="str">
        <x:f>IF(Reviewer_1!L365="","",Reviewer_1!L365)</x:f>
      </x:c>
      <x:c r="E365" s="20" t="str">
        <x:f>IF(Reviewer_2!L365="","",Reviewer_2!L365)</x:f>
      </x:c>
      <x:c r="F365" s="25"/>
      <x:c r="G365" s="20" t="str">
        <x:f>IF(Reviewer_1!M365="","",Reviewer_1!M365)</x:f>
      </x:c>
      <x:c r="H365" s="20" t="str">
        <x:f>IF(Reviewer_2!M365="","",Reviewer_2!M365)</x:f>
      </x:c>
      <x:c r="I365" s="25"/>
      <x:c r="J365" s="20" t="str">
        <x:f>IF(Reviewer_1!N365="","",Reviewer_1!N365)</x:f>
      </x:c>
      <x:c r="K365" s="20" t="str">
        <x:f>IF(Reviewer_2!N365="","",Reviewer_2!N365)</x:f>
      </x:c>
      <x:c r="L365" s="25"/>
      <x:c r="M365" s="25"/>
      <x:c r="N365" s="25"/>
      <x:c r="O365" s="20" t="str">
        <x:f>IF(OR(D365="",E365=""),"PENDING",IF(OR(D365&lt;&gt;E365,G365&lt;&gt;H365,J365&lt;&gt;K365),"CONFLICT","AGREE"))</x:f>
        <x:v>PENDING</x:v>
      </x:c>
    </x:row>
    <x:row r="366">
      <x:c r="A366" t="str">
        <x:v>ext-crm-fail-005</x:v>
      </x:c>
      <x:c r="B366" s="20" t="str">
        <x:v>Which customer holds the policy shown in the context?</x:v>
      </x:c>
      <x:c r="C366" s="20" t="str">
        <x:v>The policy belongs to Lara Neumann.</x:v>
      </x:c>
      <x:c r="D366" s="20" t="str">
        <x:f>IF(Reviewer_1!L366="","",Reviewer_1!L366)</x:f>
      </x:c>
      <x:c r="E366" s="20" t="str">
        <x:f>IF(Reviewer_2!L366="","",Reviewer_2!L366)</x:f>
      </x:c>
      <x:c r="F366" s="25"/>
      <x:c r="G366" s="20" t="str">
        <x:f>IF(Reviewer_1!M366="","",Reviewer_1!M366)</x:f>
      </x:c>
      <x:c r="H366" s="20" t="str">
        <x:f>IF(Reviewer_2!M366="","",Reviewer_2!M366)</x:f>
      </x:c>
      <x:c r="I366" s="25"/>
      <x:c r="J366" s="20" t="str">
        <x:f>IF(Reviewer_1!N366="","",Reviewer_1!N366)</x:f>
      </x:c>
      <x:c r="K366" s="20" t="str">
        <x:f>IF(Reviewer_2!N366="","",Reviewer_2!N366)</x:f>
      </x:c>
      <x:c r="L366" s="25"/>
      <x:c r="M366" s="25"/>
      <x:c r="N366" s="25"/>
      <x:c r="O366" s="20" t="str">
        <x:f>IF(OR(D366="",E366=""),"PENDING",IF(OR(D366&lt;&gt;E366,G366&lt;&gt;H366,J366&lt;&gt;K366),"CONFLICT","AGREE"))</x:f>
        <x:v>PENDING</x:v>
      </x:c>
    </x:row>
    <x:row r="367">
      <x:c r="A367" t="str">
        <x:v>ext-crm-fail-006</x:v>
      </x:c>
      <x:c r="B367" s="20" t="str">
        <x:v>Which customer holds the policy shown in the context?</x:v>
      </x:c>
      <x:c r="C367" s="20" t="str">
        <x:v>The policy belongs to Lara Neumann.</x:v>
      </x:c>
      <x:c r="D367" s="20" t="str">
        <x:f>IF(Reviewer_1!L367="","",Reviewer_1!L367)</x:f>
      </x:c>
      <x:c r="E367" s="20" t="str">
        <x:f>IF(Reviewer_2!L367="","",Reviewer_2!L367)</x:f>
      </x:c>
      <x:c r="F367" s="25"/>
      <x:c r="G367" s="20" t="str">
        <x:f>IF(Reviewer_1!M367="","",Reviewer_1!M367)</x:f>
      </x:c>
      <x:c r="H367" s="20" t="str">
        <x:f>IF(Reviewer_2!M367="","",Reviewer_2!M367)</x:f>
      </x:c>
      <x:c r="I367" s="25"/>
      <x:c r="J367" s="20" t="str">
        <x:f>IF(Reviewer_1!N367="","",Reviewer_1!N367)</x:f>
      </x:c>
      <x:c r="K367" s="20" t="str">
        <x:f>IF(Reviewer_2!N367="","",Reviewer_2!N367)</x:f>
      </x:c>
      <x:c r="L367" s="25"/>
      <x:c r="M367" s="25"/>
      <x:c r="N367" s="25"/>
      <x:c r="O367" s="20" t="str">
        <x:f>IF(OR(D367="",E367=""),"PENDING",IF(OR(D367&lt;&gt;E367,G367&lt;&gt;H367,J367&lt;&gt;K367),"CONFLICT","AGREE"))</x:f>
        <x:v>PENDING</x:v>
      </x:c>
    </x:row>
    <x:row r="368">
      <x:c r="A368" t="str">
        <x:v>ext-crm-fail-007</x:v>
      </x:c>
      <x:c r="B368" s="20" t="str">
        <x:v>Which customer holds the policy shown in the context?</x:v>
      </x:c>
      <x:c r="C368" s="20" t="str">
        <x:v>The policy belongs to Lara Neumann.</x:v>
      </x:c>
      <x:c r="D368" s="20" t="str">
        <x:f>IF(Reviewer_1!L368="","",Reviewer_1!L368)</x:f>
      </x:c>
      <x:c r="E368" s="20" t="str">
        <x:f>IF(Reviewer_2!L368="","",Reviewer_2!L368)</x:f>
      </x:c>
      <x:c r="F368" s="25"/>
      <x:c r="G368" s="20" t="str">
        <x:f>IF(Reviewer_1!M368="","",Reviewer_1!M368)</x:f>
      </x:c>
      <x:c r="H368" s="20" t="str">
        <x:f>IF(Reviewer_2!M368="","",Reviewer_2!M368)</x:f>
      </x:c>
      <x:c r="I368" s="25"/>
      <x:c r="J368" s="20" t="str">
        <x:f>IF(Reviewer_1!N368="","",Reviewer_1!N368)</x:f>
      </x:c>
      <x:c r="K368" s="20" t="str">
        <x:f>IF(Reviewer_2!N368="","",Reviewer_2!N368)</x:f>
      </x:c>
      <x:c r="L368" s="25"/>
      <x:c r="M368" s="25"/>
      <x:c r="N368" s="25"/>
      <x:c r="O368" s="20" t="str">
        <x:f>IF(OR(D368="",E368=""),"PENDING",IF(OR(D368&lt;&gt;E368,G368&lt;&gt;H368,J368&lt;&gt;K368),"CONFLICT","AGREE"))</x:f>
        <x:v>PENDING</x:v>
      </x:c>
    </x:row>
    <x:row r="369">
      <x:c r="A369" t="str">
        <x:v>ext-crm-fail-008</x:v>
      </x:c>
      <x:c r="B369" s="20" t="str">
        <x:v>Which customer holds the policy shown in the context?</x:v>
      </x:c>
      <x:c r="C369" s="20" t="str">
        <x:v>The policy belongs to Lara Neumann.</x:v>
      </x:c>
      <x:c r="D369" s="20" t="str">
        <x:f>IF(Reviewer_1!L369="","",Reviewer_1!L369)</x:f>
      </x:c>
      <x:c r="E369" s="20" t="str">
        <x:f>IF(Reviewer_2!L369="","",Reviewer_2!L369)</x:f>
      </x:c>
      <x:c r="F369" s="25"/>
      <x:c r="G369" s="20" t="str">
        <x:f>IF(Reviewer_1!M369="","",Reviewer_1!M369)</x:f>
      </x:c>
      <x:c r="H369" s="20" t="str">
        <x:f>IF(Reviewer_2!M369="","",Reviewer_2!M369)</x:f>
      </x:c>
      <x:c r="I369" s="25"/>
      <x:c r="J369" s="20" t="str">
        <x:f>IF(Reviewer_1!N369="","",Reviewer_1!N369)</x:f>
      </x:c>
      <x:c r="K369" s="20" t="str">
        <x:f>IF(Reviewer_2!N369="","",Reviewer_2!N369)</x:f>
      </x:c>
      <x:c r="L369" s="25"/>
      <x:c r="M369" s="25"/>
      <x:c r="N369" s="25"/>
      <x:c r="O369" s="20" t="str">
        <x:f>IF(OR(D369="",E369=""),"PENDING",IF(OR(D369&lt;&gt;E369,G369&lt;&gt;H369,J369&lt;&gt;K369),"CONFLICT","AGREE"))</x:f>
        <x:v>PENDING</x:v>
      </x:c>
    </x:row>
    <x:row r="370">
      <x:c r="A370" t="str">
        <x:v>ext-crm-fail-009</x:v>
      </x:c>
      <x:c r="B370" s="20" t="str">
        <x:v>Which customer holds the policy shown in the context?</x:v>
      </x:c>
      <x:c r="C370" s="20" t="str">
        <x:v>The policy belongs to Lara Neumann.</x:v>
      </x:c>
      <x:c r="D370" s="20" t="str">
        <x:f>IF(Reviewer_1!L370="","",Reviewer_1!L370)</x:f>
      </x:c>
      <x:c r="E370" s="20" t="str">
        <x:f>IF(Reviewer_2!L370="","",Reviewer_2!L370)</x:f>
      </x:c>
      <x:c r="F370" s="25"/>
      <x:c r="G370" s="20" t="str">
        <x:f>IF(Reviewer_1!M370="","",Reviewer_1!M370)</x:f>
      </x:c>
      <x:c r="H370" s="20" t="str">
        <x:f>IF(Reviewer_2!M370="","",Reviewer_2!M370)</x:f>
      </x:c>
      <x:c r="I370" s="25"/>
      <x:c r="J370" s="20" t="str">
        <x:f>IF(Reviewer_1!N370="","",Reviewer_1!N370)</x:f>
      </x:c>
      <x:c r="K370" s="20" t="str">
        <x:f>IF(Reviewer_2!N370="","",Reviewer_2!N370)</x:f>
      </x:c>
      <x:c r="L370" s="25"/>
      <x:c r="M370" s="25"/>
      <x:c r="N370" s="25"/>
      <x:c r="O370" s="20" t="str">
        <x:f>IF(OR(D370="",E370=""),"PENDING",IF(OR(D370&lt;&gt;E370,G370&lt;&gt;H370,J370&lt;&gt;K370),"CONFLICT","AGREE"))</x:f>
        <x:v>PENDING</x:v>
      </x:c>
    </x:row>
    <x:row r="371">
      <x:c r="A371" t="str">
        <x:v>ext-crm-fail-010</x:v>
      </x:c>
      <x:c r="B371" s="20" t="str">
        <x:v>Which customer holds the policy shown in the context?</x:v>
      </x:c>
      <x:c r="C371" s="20" t="str">
        <x:v>The policy belongs to Lara Neumann.</x:v>
      </x:c>
      <x:c r="D371" s="20" t="str">
        <x:f>IF(Reviewer_1!L371="","",Reviewer_1!L371)</x:f>
      </x:c>
      <x:c r="E371" s="20" t="str">
        <x:f>IF(Reviewer_2!L371="","",Reviewer_2!L371)</x:f>
      </x:c>
      <x:c r="F371" s="25"/>
      <x:c r="G371" s="20" t="str">
        <x:f>IF(Reviewer_1!M371="","",Reviewer_1!M371)</x:f>
      </x:c>
      <x:c r="H371" s="20" t="str">
        <x:f>IF(Reviewer_2!M371="","",Reviewer_2!M371)</x:f>
      </x:c>
      <x:c r="I371" s="25"/>
      <x:c r="J371" s="20" t="str">
        <x:f>IF(Reviewer_1!N371="","",Reviewer_1!N371)</x:f>
      </x:c>
      <x:c r="K371" s="20" t="str">
        <x:f>IF(Reviewer_2!N371="","",Reviewer_2!N371)</x:f>
      </x:c>
      <x:c r="L371" s="25"/>
      <x:c r="M371" s="25"/>
      <x:c r="N371" s="25"/>
      <x:c r="O371" s="20" t="str">
        <x:f>IF(OR(D371="",E371=""),"PENDING",IF(OR(D371&lt;&gt;E371,G371&lt;&gt;H371,J371&lt;&gt;K371),"CONFLICT","AGREE"))</x:f>
        <x:v>PENDING</x:v>
      </x:c>
    </x:row>
    <x:row r="372">
      <x:c r="A372" t="str">
        <x:v>ext-crm-fail-011</x:v>
      </x:c>
      <x:c r="B372" s="20" t="str">
        <x:v>What is the policy number?</x:v>
      </x:c>
      <x:c r="C372" s="20" t="str">
        <x:v>The policy number is TEST-KFZ-2026-1001.</x:v>
      </x:c>
      <x:c r="D372" s="20" t="str">
        <x:f>IF(Reviewer_1!L372="","",Reviewer_1!L372)</x:f>
      </x:c>
      <x:c r="E372" s="20" t="str">
        <x:f>IF(Reviewer_2!L372="","",Reviewer_2!L372)</x:f>
      </x:c>
      <x:c r="F372" s="25"/>
      <x:c r="G372" s="20" t="str">
        <x:f>IF(Reviewer_1!M372="","",Reviewer_1!M372)</x:f>
      </x:c>
      <x:c r="H372" s="20" t="str">
        <x:f>IF(Reviewer_2!M372="","",Reviewer_2!M372)</x:f>
      </x:c>
      <x:c r="I372" s="25"/>
      <x:c r="J372" s="20" t="str">
        <x:f>IF(Reviewer_1!N372="","",Reviewer_1!N372)</x:f>
      </x:c>
      <x:c r="K372" s="20" t="str">
        <x:f>IF(Reviewer_2!N372="","",Reviewer_2!N372)</x:f>
      </x:c>
      <x:c r="L372" s="25"/>
      <x:c r="M372" s="25"/>
      <x:c r="N372" s="25"/>
      <x:c r="O372" s="20" t="str">
        <x:f>IF(OR(D372="",E372=""),"PENDING",IF(OR(D372&lt;&gt;E372,G372&lt;&gt;H372,J372&lt;&gt;K372),"CONFLICT","AGREE"))</x:f>
        <x:v>PENDING</x:v>
      </x:c>
    </x:row>
    <x:row r="373">
      <x:c r="A373" t="str">
        <x:v>ext-crm-fail-012</x:v>
      </x:c>
      <x:c r="B373" s="20" t="str">
        <x:v>What is the policy number?</x:v>
      </x:c>
      <x:c r="C373" s="20" t="str">
        <x:v>The policy number is TEST-KFZ-2026-1001.</x:v>
      </x:c>
      <x:c r="D373" s="20" t="str">
        <x:f>IF(Reviewer_1!L373="","",Reviewer_1!L373)</x:f>
      </x:c>
      <x:c r="E373" s="20" t="str">
        <x:f>IF(Reviewer_2!L373="","",Reviewer_2!L373)</x:f>
      </x:c>
      <x:c r="F373" s="25"/>
      <x:c r="G373" s="20" t="str">
        <x:f>IF(Reviewer_1!M373="","",Reviewer_1!M373)</x:f>
      </x:c>
      <x:c r="H373" s="20" t="str">
        <x:f>IF(Reviewer_2!M373="","",Reviewer_2!M373)</x:f>
      </x:c>
      <x:c r="I373" s="25"/>
      <x:c r="J373" s="20" t="str">
        <x:f>IF(Reviewer_1!N373="","",Reviewer_1!N373)</x:f>
      </x:c>
      <x:c r="K373" s="20" t="str">
        <x:f>IF(Reviewer_2!N373="","",Reviewer_2!N373)</x:f>
      </x:c>
      <x:c r="L373" s="25"/>
      <x:c r="M373" s="25"/>
      <x:c r="N373" s="25"/>
      <x:c r="O373" s="20" t="str">
        <x:f>IF(OR(D373="",E373=""),"PENDING",IF(OR(D373&lt;&gt;E373,G373&lt;&gt;H373,J373&lt;&gt;K373),"CONFLICT","AGREE"))</x:f>
        <x:v>PENDING</x:v>
      </x:c>
    </x:row>
    <x:row r="374">
      <x:c r="A374" t="str">
        <x:v>ext-crm-fail-013</x:v>
      </x:c>
      <x:c r="B374" s="20" t="str">
        <x:v>What is the policy number?</x:v>
      </x:c>
      <x:c r="C374" s="20" t="str">
        <x:v>The policy number is TEST-KFZ-2026-1001.</x:v>
      </x:c>
      <x:c r="D374" s="20" t="str">
        <x:f>IF(Reviewer_1!L374="","",Reviewer_1!L374)</x:f>
      </x:c>
      <x:c r="E374" s="20" t="str">
        <x:f>IF(Reviewer_2!L374="","",Reviewer_2!L374)</x:f>
      </x:c>
      <x:c r="F374" s="25"/>
      <x:c r="G374" s="20" t="str">
        <x:f>IF(Reviewer_1!M374="","",Reviewer_1!M374)</x:f>
      </x:c>
      <x:c r="H374" s="20" t="str">
        <x:f>IF(Reviewer_2!M374="","",Reviewer_2!M374)</x:f>
      </x:c>
      <x:c r="I374" s="25"/>
      <x:c r="J374" s="20" t="str">
        <x:f>IF(Reviewer_1!N374="","",Reviewer_1!N374)</x:f>
      </x:c>
      <x:c r="K374" s="20" t="str">
        <x:f>IF(Reviewer_2!N374="","",Reviewer_2!N374)</x:f>
      </x:c>
      <x:c r="L374" s="25"/>
      <x:c r="M374" s="25"/>
      <x:c r="N374" s="25"/>
      <x:c r="O374" s="20" t="str">
        <x:f>IF(OR(D374="",E374=""),"PENDING",IF(OR(D374&lt;&gt;E374,G374&lt;&gt;H374,J374&lt;&gt;K374),"CONFLICT","AGREE"))</x:f>
        <x:v>PENDING</x:v>
      </x:c>
    </x:row>
    <x:row r="375">
      <x:c r="A375" t="str">
        <x:v>ext-crm-fail-014</x:v>
      </x:c>
      <x:c r="B375" s="20" t="str">
        <x:v>What is the policy number?</x:v>
      </x:c>
      <x:c r="C375" s="20" t="str">
        <x:v>The policy number is TEST-KFZ-2026-1001.</x:v>
      </x:c>
      <x:c r="D375" s="20" t="str">
        <x:f>IF(Reviewer_1!L375="","",Reviewer_1!L375)</x:f>
      </x:c>
      <x:c r="E375" s="20" t="str">
        <x:f>IF(Reviewer_2!L375="","",Reviewer_2!L375)</x:f>
      </x:c>
      <x:c r="F375" s="25"/>
      <x:c r="G375" s="20" t="str">
        <x:f>IF(Reviewer_1!M375="","",Reviewer_1!M375)</x:f>
      </x:c>
      <x:c r="H375" s="20" t="str">
        <x:f>IF(Reviewer_2!M375="","",Reviewer_2!M375)</x:f>
      </x:c>
      <x:c r="I375" s="25"/>
      <x:c r="J375" s="20" t="str">
        <x:f>IF(Reviewer_1!N375="","",Reviewer_1!N375)</x:f>
      </x:c>
      <x:c r="K375" s="20" t="str">
        <x:f>IF(Reviewer_2!N375="","",Reviewer_2!N375)</x:f>
      </x:c>
      <x:c r="L375" s="25"/>
      <x:c r="M375" s="25"/>
      <x:c r="N375" s="25"/>
      <x:c r="O375" s="20" t="str">
        <x:f>IF(OR(D375="",E375=""),"PENDING",IF(OR(D375&lt;&gt;E375,G375&lt;&gt;H375,J375&lt;&gt;K375),"CONFLICT","AGREE"))</x:f>
        <x:v>PENDING</x:v>
      </x:c>
    </x:row>
    <x:row r="376">
      <x:c r="A376" t="str">
        <x:v>ext-crm-fail-015</x:v>
      </x:c>
      <x:c r="B376" s="20" t="str">
        <x:v>What is the policy number?</x:v>
      </x:c>
      <x:c r="C376" s="20" t="str">
        <x:v>The policy number is TEST-KFZ-2026-1001.</x:v>
      </x:c>
      <x:c r="D376" s="20" t="str">
        <x:f>IF(Reviewer_1!L376="","",Reviewer_1!L376)</x:f>
      </x:c>
      <x:c r="E376" s="20" t="str">
        <x:f>IF(Reviewer_2!L376="","",Reviewer_2!L376)</x:f>
      </x:c>
      <x:c r="F376" s="25"/>
      <x:c r="G376" s="20" t="str">
        <x:f>IF(Reviewer_1!M376="","",Reviewer_1!M376)</x:f>
      </x:c>
      <x:c r="H376" s="20" t="str">
        <x:f>IF(Reviewer_2!M376="","",Reviewer_2!M376)</x:f>
      </x:c>
      <x:c r="I376" s="25"/>
      <x:c r="J376" s="20" t="str">
        <x:f>IF(Reviewer_1!N376="","",Reviewer_1!N376)</x:f>
      </x:c>
      <x:c r="K376" s="20" t="str">
        <x:f>IF(Reviewer_2!N376="","",Reviewer_2!N376)</x:f>
      </x:c>
      <x:c r="L376" s="25"/>
      <x:c r="M376" s="25"/>
      <x:c r="N376" s="25"/>
      <x:c r="O376" s="20" t="str">
        <x:f>IF(OR(D376="",E376=""),"PENDING",IF(OR(D376&lt;&gt;E376,G376&lt;&gt;H376,J376&lt;&gt;K376),"CONFLICT","AGREE"))</x:f>
        <x:v>PENDING</x:v>
      </x:c>
    </x:row>
    <x:row r="377">
      <x:c r="A377" t="str">
        <x:v>ext-crm-fail-016</x:v>
      </x:c>
      <x:c r="B377" s="20" t="str">
        <x:v>What is the policy number?</x:v>
      </x:c>
      <x:c r="C377" s="20" t="str">
        <x:v>The policy number is TEST-KFZ-2026-1001.</x:v>
      </x:c>
      <x:c r="D377" s="20" t="str">
        <x:f>IF(Reviewer_1!L377="","",Reviewer_1!L377)</x:f>
      </x:c>
      <x:c r="E377" s="20" t="str">
        <x:f>IF(Reviewer_2!L377="","",Reviewer_2!L377)</x:f>
      </x:c>
      <x:c r="F377" s="25"/>
      <x:c r="G377" s="20" t="str">
        <x:f>IF(Reviewer_1!M377="","",Reviewer_1!M377)</x:f>
      </x:c>
      <x:c r="H377" s="20" t="str">
        <x:f>IF(Reviewer_2!M377="","",Reviewer_2!M377)</x:f>
      </x:c>
      <x:c r="I377" s="25"/>
      <x:c r="J377" s="20" t="str">
        <x:f>IF(Reviewer_1!N377="","",Reviewer_1!N377)</x:f>
      </x:c>
      <x:c r="K377" s="20" t="str">
        <x:f>IF(Reviewer_2!N377="","",Reviewer_2!N377)</x:f>
      </x:c>
      <x:c r="L377" s="25"/>
      <x:c r="M377" s="25"/>
      <x:c r="N377" s="25"/>
      <x:c r="O377" s="20" t="str">
        <x:f>IF(OR(D377="",E377=""),"PENDING",IF(OR(D377&lt;&gt;E377,G377&lt;&gt;H377,J377&lt;&gt;K377),"CONFLICT","AGREE"))</x:f>
        <x:v>PENDING</x:v>
      </x:c>
    </x:row>
    <x:row r="378">
      <x:c r="A378" t="str">
        <x:v>ext-crm-fail-017</x:v>
      </x:c>
      <x:c r="B378" s="20" t="str">
        <x:v>What is the policy number?</x:v>
      </x:c>
      <x:c r="C378" s="20" t="str">
        <x:v>The policy number is TEST-PHV-2026-1002.</x:v>
      </x:c>
      <x:c r="D378" s="20" t="str">
        <x:f>IF(Reviewer_1!L378="","",Reviewer_1!L378)</x:f>
      </x:c>
      <x:c r="E378" s="20" t="str">
        <x:f>IF(Reviewer_2!L378="","",Reviewer_2!L378)</x:f>
      </x:c>
      <x:c r="F378" s="25"/>
      <x:c r="G378" s="20" t="str">
        <x:f>IF(Reviewer_1!M378="","",Reviewer_1!M378)</x:f>
      </x:c>
      <x:c r="H378" s="20" t="str">
        <x:f>IF(Reviewer_2!M378="","",Reviewer_2!M378)</x:f>
      </x:c>
      <x:c r="I378" s="25"/>
      <x:c r="J378" s="20" t="str">
        <x:f>IF(Reviewer_1!N378="","",Reviewer_1!N378)</x:f>
      </x:c>
      <x:c r="K378" s="20" t="str">
        <x:f>IF(Reviewer_2!N378="","",Reviewer_2!N378)</x:f>
      </x:c>
      <x:c r="L378" s="25"/>
      <x:c r="M378" s="25"/>
      <x:c r="N378" s="25"/>
      <x:c r="O378" s="20" t="str">
        <x:f>IF(OR(D378="",E378=""),"PENDING",IF(OR(D378&lt;&gt;E378,G378&lt;&gt;H378,J378&lt;&gt;K378),"CONFLICT","AGREE"))</x:f>
        <x:v>PENDING</x:v>
      </x:c>
    </x:row>
    <x:row r="379">
      <x:c r="A379" t="str">
        <x:v>ext-crm-fail-018</x:v>
      </x:c>
      <x:c r="B379" s="20" t="str">
        <x:v>What is the policy number?</x:v>
      </x:c>
      <x:c r="C379" s="20" t="str">
        <x:v>The policy number is TEST-KFZ-2026-1001.</x:v>
      </x:c>
      <x:c r="D379" s="20" t="str">
        <x:f>IF(Reviewer_1!L379="","",Reviewer_1!L379)</x:f>
      </x:c>
      <x:c r="E379" s="20" t="str">
        <x:f>IF(Reviewer_2!L379="","",Reviewer_2!L379)</x:f>
      </x:c>
      <x:c r="F379" s="25"/>
      <x:c r="G379" s="20" t="str">
        <x:f>IF(Reviewer_1!M379="","",Reviewer_1!M379)</x:f>
      </x:c>
      <x:c r="H379" s="20" t="str">
        <x:f>IF(Reviewer_2!M379="","",Reviewer_2!M379)</x:f>
      </x:c>
      <x:c r="I379" s="25"/>
      <x:c r="J379" s="20" t="str">
        <x:f>IF(Reviewer_1!N379="","",Reviewer_1!N379)</x:f>
      </x:c>
      <x:c r="K379" s="20" t="str">
        <x:f>IF(Reviewer_2!N379="","",Reviewer_2!N379)</x:f>
      </x:c>
      <x:c r="L379" s="25"/>
      <x:c r="M379" s="25"/>
      <x:c r="N379" s="25"/>
      <x:c r="O379" s="20" t="str">
        <x:f>IF(OR(D379="",E379=""),"PENDING",IF(OR(D379&lt;&gt;E379,G379&lt;&gt;H379,J379&lt;&gt;K379),"CONFLICT","AGREE"))</x:f>
        <x:v>PENDING</x:v>
      </x:c>
    </x:row>
    <x:row r="380">
      <x:c r="A380" t="str">
        <x:v>ext-crm-fail-019</x:v>
      </x:c>
      <x:c r="B380" s="20" t="str">
        <x:v>What is the policy number?</x:v>
      </x:c>
      <x:c r="C380" s="20" t="str">
        <x:v>The policy number is TEST-KFZ-2026-1001.</x:v>
      </x:c>
      <x:c r="D380" s="20" t="str">
        <x:f>IF(Reviewer_1!L380="","",Reviewer_1!L380)</x:f>
      </x:c>
      <x:c r="E380" s="20" t="str">
        <x:f>IF(Reviewer_2!L380="","",Reviewer_2!L380)</x:f>
      </x:c>
      <x:c r="F380" s="25"/>
      <x:c r="G380" s="20" t="str">
        <x:f>IF(Reviewer_1!M380="","",Reviewer_1!M380)</x:f>
      </x:c>
      <x:c r="H380" s="20" t="str">
        <x:f>IF(Reviewer_2!M380="","",Reviewer_2!M380)</x:f>
      </x:c>
      <x:c r="I380" s="25"/>
      <x:c r="J380" s="20" t="str">
        <x:f>IF(Reviewer_1!N380="","",Reviewer_1!N380)</x:f>
      </x:c>
      <x:c r="K380" s="20" t="str">
        <x:f>IF(Reviewer_2!N380="","",Reviewer_2!N380)</x:f>
      </x:c>
      <x:c r="L380" s="25"/>
      <x:c r="M380" s="25"/>
      <x:c r="N380" s="25"/>
      <x:c r="O380" s="20" t="str">
        <x:f>IF(OR(D380="",E380=""),"PENDING",IF(OR(D380&lt;&gt;E380,G380&lt;&gt;H380,J380&lt;&gt;K380),"CONFLICT","AGREE"))</x:f>
        <x:v>PENDING</x:v>
      </x:c>
    </x:row>
    <x:row r="381">
      <x:c r="A381" t="str">
        <x:v>ext-crm-fail-020</x:v>
      </x:c>
      <x:c r="B381" s="20" t="str">
        <x:v>What is the policy number?</x:v>
      </x:c>
      <x:c r="C381" s="20" t="str">
        <x:v>The policy number is TEST-KFZ-2026-1001.</x:v>
      </x:c>
      <x:c r="D381" s="20" t="str">
        <x:f>IF(Reviewer_1!L381="","",Reviewer_1!L381)</x:f>
      </x:c>
      <x:c r="E381" s="20" t="str">
        <x:f>IF(Reviewer_2!L381="","",Reviewer_2!L381)</x:f>
      </x:c>
      <x:c r="F381" s="25"/>
      <x:c r="G381" s="20" t="str">
        <x:f>IF(Reviewer_1!M381="","",Reviewer_1!M381)</x:f>
      </x:c>
      <x:c r="H381" s="20" t="str">
        <x:f>IF(Reviewer_2!M381="","",Reviewer_2!M381)</x:f>
      </x:c>
      <x:c r="I381" s="25"/>
      <x:c r="J381" s="20" t="str">
        <x:f>IF(Reviewer_1!N381="","",Reviewer_1!N381)</x:f>
      </x:c>
      <x:c r="K381" s="20" t="str">
        <x:f>IF(Reviewer_2!N381="","",Reviewer_2!N381)</x:f>
      </x:c>
      <x:c r="L381" s="25"/>
      <x:c r="M381" s="25"/>
      <x:c r="N381" s="25"/>
      <x:c r="O381" s="20" t="str">
        <x:f>IF(OR(D381="",E381=""),"PENDING",IF(OR(D381&lt;&gt;E381,G381&lt;&gt;H381,J381&lt;&gt;K381),"CONFLICT","AGREE"))</x:f>
        <x:v>PENDING</x:v>
      </x:c>
    </x:row>
    <x:row r="382">
      <x:c r="A382" t="str">
        <x:v>ext-crm-fail-021</x:v>
      </x:c>
      <x:c r="B382" s="20" t="str">
        <x:v>What is the current policy status?</x:v>
      </x:c>
      <x:c r="C382" s="20" t="str">
        <x:v>The policy status is Pending.</x:v>
      </x:c>
      <x:c r="D382" s="20" t="str">
        <x:f>IF(Reviewer_1!L382="","",Reviewer_1!L382)</x:f>
      </x:c>
      <x:c r="E382" s="20" t="str">
        <x:f>IF(Reviewer_2!L382="","",Reviewer_2!L382)</x:f>
      </x:c>
      <x:c r="F382" s="25"/>
      <x:c r="G382" s="20" t="str">
        <x:f>IF(Reviewer_1!M382="","",Reviewer_1!M382)</x:f>
      </x:c>
      <x:c r="H382" s="20" t="str">
        <x:f>IF(Reviewer_2!M382="","",Reviewer_2!M382)</x:f>
      </x:c>
      <x:c r="I382" s="25"/>
      <x:c r="J382" s="20" t="str">
        <x:f>IF(Reviewer_1!N382="","",Reviewer_1!N382)</x:f>
      </x:c>
      <x:c r="K382" s="20" t="str">
        <x:f>IF(Reviewer_2!N382="","",Reviewer_2!N382)</x:f>
      </x:c>
      <x:c r="L382" s="25"/>
      <x:c r="M382" s="25"/>
      <x:c r="N382" s="25"/>
      <x:c r="O382" s="20" t="str">
        <x:f>IF(OR(D382="",E382=""),"PENDING",IF(OR(D382&lt;&gt;E382,G382&lt;&gt;H382,J382&lt;&gt;K382),"CONFLICT","AGREE"))</x:f>
        <x:v>PENDING</x:v>
      </x:c>
    </x:row>
    <x:row r="383">
      <x:c r="A383" t="str">
        <x:v>ext-crm-fail-022</x:v>
      </x:c>
      <x:c r="B383" s="20" t="str">
        <x:v>What is the current policy status?</x:v>
      </x:c>
      <x:c r="C383" s="20" t="str">
        <x:v>The policy status is Active.</x:v>
      </x:c>
      <x:c r="D383" s="20" t="str">
        <x:f>IF(Reviewer_1!L383="","",Reviewer_1!L383)</x:f>
      </x:c>
      <x:c r="E383" s="20" t="str">
        <x:f>IF(Reviewer_2!L383="","",Reviewer_2!L383)</x:f>
      </x:c>
      <x:c r="F383" s="25"/>
      <x:c r="G383" s="20" t="str">
        <x:f>IF(Reviewer_1!M383="","",Reviewer_1!M383)</x:f>
      </x:c>
      <x:c r="H383" s="20" t="str">
        <x:f>IF(Reviewer_2!M383="","",Reviewer_2!M383)</x:f>
      </x:c>
      <x:c r="I383" s="25"/>
      <x:c r="J383" s="20" t="str">
        <x:f>IF(Reviewer_1!N383="","",Reviewer_1!N383)</x:f>
      </x:c>
      <x:c r="K383" s="20" t="str">
        <x:f>IF(Reviewer_2!N383="","",Reviewer_2!N383)</x:f>
      </x:c>
      <x:c r="L383" s="25"/>
      <x:c r="M383" s="25"/>
      <x:c r="N383" s="25"/>
      <x:c r="O383" s="20" t="str">
        <x:f>IF(OR(D383="",E383=""),"PENDING",IF(OR(D383&lt;&gt;E383,G383&lt;&gt;H383,J383&lt;&gt;K383),"CONFLICT","AGREE"))</x:f>
        <x:v>PENDING</x:v>
      </x:c>
    </x:row>
    <x:row r="384">
      <x:c r="A384" t="str">
        <x:v>ext-crm-fail-023</x:v>
      </x:c>
      <x:c r="B384" s="20" t="str">
        <x:v>What is the current policy status?</x:v>
      </x:c>
      <x:c r="C384" s="20" t="str">
        <x:v>The policy status is Active.</x:v>
      </x:c>
      <x:c r="D384" s="20" t="str">
        <x:f>IF(Reviewer_1!L384="","",Reviewer_1!L384)</x:f>
      </x:c>
      <x:c r="E384" s="20" t="str">
        <x:f>IF(Reviewer_2!L384="","",Reviewer_2!L384)</x:f>
      </x:c>
      <x:c r="F384" s="25"/>
      <x:c r="G384" s="20" t="str">
        <x:f>IF(Reviewer_1!M384="","",Reviewer_1!M384)</x:f>
      </x:c>
      <x:c r="H384" s="20" t="str">
        <x:f>IF(Reviewer_2!M384="","",Reviewer_2!M384)</x:f>
      </x:c>
      <x:c r="I384" s="25"/>
      <x:c r="J384" s="20" t="str">
        <x:f>IF(Reviewer_1!N384="","",Reviewer_1!N384)</x:f>
      </x:c>
      <x:c r="K384" s="20" t="str">
        <x:f>IF(Reviewer_2!N384="","",Reviewer_2!N384)</x:f>
      </x:c>
      <x:c r="L384" s="25"/>
      <x:c r="M384" s="25"/>
      <x:c r="N384" s="25"/>
      <x:c r="O384" s="20" t="str">
        <x:f>IF(OR(D384="",E384=""),"PENDING",IF(OR(D384&lt;&gt;E384,G384&lt;&gt;H384,J384&lt;&gt;K384),"CONFLICT","AGREE"))</x:f>
        <x:v>PENDING</x:v>
      </x:c>
    </x:row>
    <x:row r="385">
      <x:c r="A385" t="str">
        <x:v>ext-crm-fail-024</x:v>
      </x:c>
      <x:c r="B385" s="20" t="str">
        <x:v>What is the current policy status?</x:v>
      </x:c>
      <x:c r="C385" s="20" t="str">
        <x:v>The policy status is Pending.</x:v>
      </x:c>
      <x:c r="D385" s="20" t="str">
        <x:f>IF(Reviewer_1!L385="","",Reviewer_1!L385)</x:f>
      </x:c>
      <x:c r="E385" s="20" t="str">
        <x:f>IF(Reviewer_2!L385="","",Reviewer_2!L385)</x:f>
      </x:c>
      <x:c r="F385" s="25"/>
      <x:c r="G385" s="20" t="str">
        <x:f>IF(Reviewer_1!M385="","",Reviewer_1!M385)</x:f>
      </x:c>
      <x:c r="H385" s="20" t="str">
        <x:f>IF(Reviewer_2!M385="","",Reviewer_2!M385)</x:f>
      </x:c>
      <x:c r="I385" s="25"/>
      <x:c r="J385" s="20" t="str">
        <x:f>IF(Reviewer_1!N385="","",Reviewer_1!N385)</x:f>
      </x:c>
      <x:c r="K385" s="20" t="str">
        <x:f>IF(Reviewer_2!N385="","",Reviewer_2!N385)</x:f>
      </x:c>
      <x:c r="L385" s="25"/>
      <x:c r="M385" s="25"/>
      <x:c r="N385" s="25"/>
      <x:c r="O385" s="20" t="str">
        <x:f>IF(OR(D385="",E385=""),"PENDING",IF(OR(D385&lt;&gt;E385,G385&lt;&gt;H385,J385&lt;&gt;K385),"CONFLICT","AGREE"))</x:f>
        <x:v>PENDING</x:v>
      </x:c>
    </x:row>
    <x:row r="386">
      <x:c r="A386" t="str">
        <x:v>ext-crm-fail-025</x:v>
      </x:c>
      <x:c r="B386" s="20" t="str">
        <x:v>What is the current policy status?</x:v>
      </x:c>
      <x:c r="C386" s="20" t="str">
        <x:v>The policy status is Pending.</x:v>
      </x:c>
      <x:c r="D386" s="20" t="str">
        <x:f>IF(Reviewer_1!L386="","",Reviewer_1!L386)</x:f>
      </x:c>
      <x:c r="E386" s="20" t="str">
        <x:f>IF(Reviewer_2!L386="","",Reviewer_2!L386)</x:f>
      </x:c>
      <x:c r="F386" s="25"/>
      <x:c r="G386" s="20" t="str">
        <x:f>IF(Reviewer_1!M386="","",Reviewer_1!M386)</x:f>
      </x:c>
      <x:c r="H386" s="20" t="str">
        <x:f>IF(Reviewer_2!M386="","",Reviewer_2!M386)</x:f>
      </x:c>
      <x:c r="I386" s="25"/>
      <x:c r="J386" s="20" t="str">
        <x:f>IF(Reviewer_1!N386="","",Reviewer_1!N386)</x:f>
      </x:c>
      <x:c r="K386" s="20" t="str">
        <x:f>IF(Reviewer_2!N386="","",Reviewer_2!N386)</x:f>
      </x:c>
      <x:c r="L386" s="25"/>
      <x:c r="M386" s="25"/>
      <x:c r="N386" s="25"/>
      <x:c r="O386" s="20" t="str">
        <x:f>IF(OR(D386="",E386=""),"PENDING",IF(OR(D386&lt;&gt;E386,G386&lt;&gt;H386,J386&lt;&gt;K386),"CONFLICT","AGREE"))</x:f>
        <x:v>PENDING</x:v>
      </x:c>
    </x:row>
    <x:row r="387">
      <x:c r="A387" t="str">
        <x:v>ext-crm-fail-026</x:v>
      </x:c>
      <x:c r="B387" s="20" t="str">
        <x:v>What is the current policy status?</x:v>
      </x:c>
      <x:c r="C387" s="20" t="str">
        <x:v>The policy status is Active.</x:v>
      </x:c>
      <x:c r="D387" s="20" t="str">
        <x:f>IF(Reviewer_1!L387="","",Reviewer_1!L387)</x:f>
      </x:c>
      <x:c r="E387" s="20" t="str">
        <x:f>IF(Reviewer_2!L387="","",Reviewer_2!L387)</x:f>
      </x:c>
      <x:c r="F387" s="25"/>
      <x:c r="G387" s="20" t="str">
        <x:f>IF(Reviewer_1!M387="","",Reviewer_1!M387)</x:f>
      </x:c>
      <x:c r="H387" s="20" t="str">
        <x:f>IF(Reviewer_2!M387="","",Reviewer_2!M387)</x:f>
      </x:c>
      <x:c r="I387" s="25"/>
      <x:c r="J387" s="20" t="str">
        <x:f>IF(Reviewer_1!N387="","",Reviewer_1!N387)</x:f>
      </x:c>
      <x:c r="K387" s="20" t="str">
        <x:f>IF(Reviewer_2!N387="","",Reviewer_2!N387)</x:f>
      </x:c>
      <x:c r="L387" s="25"/>
      <x:c r="M387" s="25"/>
      <x:c r="N387" s="25"/>
      <x:c r="O387" s="20" t="str">
        <x:f>IF(OR(D387="",E387=""),"PENDING",IF(OR(D387&lt;&gt;E387,G387&lt;&gt;H387,J387&lt;&gt;K387),"CONFLICT","AGREE"))</x:f>
        <x:v>PENDING</x:v>
      </x:c>
    </x:row>
    <x:row r="388">
      <x:c r="A388" t="str">
        <x:v>ext-crm-fail-027</x:v>
      </x:c>
      <x:c r="B388" s="20" t="str">
        <x:v>What is the current policy status?</x:v>
      </x:c>
      <x:c r="C388" s="20" t="str">
        <x:v>The policy status is Pending.</x:v>
      </x:c>
      <x:c r="D388" s="20" t="str">
        <x:f>IF(Reviewer_1!L388="","",Reviewer_1!L388)</x:f>
      </x:c>
      <x:c r="E388" s="20" t="str">
        <x:f>IF(Reviewer_2!L388="","",Reviewer_2!L388)</x:f>
      </x:c>
      <x:c r="F388" s="25"/>
      <x:c r="G388" s="20" t="str">
        <x:f>IF(Reviewer_1!M388="","",Reviewer_1!M388)</x:f>
      </x:c>
      <x:c r="H388" s="20" t="str">
        <x:f>IF(Reviewer_2!M388="","",Reviewer_2!M388)</x:f>
      </x:c>
      <x:c r="I388" s="25"/>
      <x:c r="J388" s="20" t="str">
        <x:f>IF(Reviewer_1!N388="","",Reviewer_1!N388)</x:f>
      </x:c>
      <x:c r="K388" s="20" t="str">
        <x:f>IF(Reviewer_2!N388="","",Reviewer_2!N388)</x:f>
      </x:c>
      <x:c r="L388" s="25"/>
      <x:c r="M388" s="25"/>
      <x:c r="N388" s="25"/>
      <x:c r="O388" s="20" t="str">
        <x:f>IF(OR(D388="",E388=""),"PENDING",IF(OR(D388&lt;&gt;E388,G388&lt;&gt;H388,J388&lt;&gt;K388),"CONFLICT","AGREE"))</x:f>
        <x:v>PENDING</x:v>
      </x:c>
    </x:row>
    <x:row r="389">
      <x:c r="A389" t="str">
        <x:v>ext-crm-fail-028</x:v>
      </x:c>
      <x:c r="B389" s="20" t="str">
        <x:v>What is the current policy status?</x:v>
      </x:c>
      <x:c r="C389" s="20" t="str">
        <x:v>The policy status is Pending.</x:v>
      </x:c>
      <x:c r="D389" s="20" t="str">
        <x:f>IF(Reviewer_1!L389="","",Reviewer_1!L389)</x:f>
      </x:c>
      <x:c r="E389" s="20" t="str">
        <x:f>IF(Reviewer_2!L389="","",Reviewer_2!L389)</x:f>
      </x:c>
      <x:c r="F389" s="25"/>
      <x:c r="G389" s="20" t="str">
        <x:f>IF(Reviewer_1!M389="","",Reviewer_1!M389)</x:f>
      </x:c>
      <x:c r="H389" s="20" t="str">
        <x:f>IF(Reviewer_2!M389="","",Reviewer_2!M389)</x:f>
      </x:c>
      <x:c r="I389" s="25"/>
      <x:c r="J389" s="20" t="str">
        <x:f>IF(Reviewer_1!N389="","",Reviewer_1!N389)</x:f>
      </x:c>
      <x:c r="K389" s="20" t="str">
        <x:f>IF(Reviewer_2!N389="","",Reviewer_2!N389)</x:f>
      </x:c>
      <x:c r="L389" s="25"/>
      <x:c r="M389" s="25"/>
      <x:c r="N389" s="25"/>
      <x:c r="O389" s="20" t="str">
        <x:f>IF(OR(D389="",E389=""),"PENDING",IF(OR(D389&lt;&gt;E389,G389&lt;&gt;H389,J389&lt;&gt;K389),"CONFLICT","AGREE"))</x:f>
        <x:v>PENDING</x:v>
      </x:c>
    </x:row>
    <x:row r="390">
      <x:c r="A390" t="str">
        <x:v>ext-crm-fail-029</x:v>
      </x:c>
      <x:c r="B390" s="20" t="str">
        <x:v>What is the current policy status?</x:v>
      </x:c>
      <x:c r="C390" s="20" t="str">
        <x:v>The policy status is Pending.</x:v>
      </x:c>
      <x:c r="D390" s="20" t="str">
        <x:f>IF(Reviewer_1!L390="","",Reviewer_1!L390)</x:f>
      </x:c>
      <x:c r="E390" s="20" t="str">
        <x:f>IF(Reviewer_2!L390="","",Reviewer_2!L390)</x:f>
      </x:c>
      <x:c r="F390" s="25"/>
      <x:c r="G390" s="20" t="str">
        <x:f>IF(Reviewer_1!M390="","",Reviewer_1!M390)</x:f>
      </x:c>
      <x:c r="H390" s="20" t="str">
        <x:f>IF(Reviewer_2!M390="","",Reviewer_2!M390)</x:f>
      </x:c>
      <x:c r="I390" s="25"/>
      <x:c r="J390" s="20" t="str">
        <x:f>IF(Reviewer_1!N390="","",Reviewer_1!N390)</x:f>
      </x:c>
      <x:c r="K390" s="20" t="str">
        <x:f>IF(Reviewer_2!N390="","",Reviewer_2!N390)</x:f>
      </x:c>
      <x:c r="L390" s="25"/>
      <x:c r="M390" s="25"/>
      <x:c r="N390" s="25"/>
      <x:c r="O390" s="20" t="str">
        <x:f>IF(OR(D390="",E390=""),"PENDING",IF(OR(D390&lt;&gt;E390,G390&lt;&gt;H390,J390&lt;&gt;K390),"CONFLICT","AGREE"))</x:f>
        <x:v>PENDING</x:v>
      </x:c>
    </x:row>
    <x:row r="391">
      <x:c r="A391" t="str">
        <x:v>ext-crm-fail-030</x:v>
      </x:c>
      <x:c r="B391" s="20" t="str">
        <x:v>What is the current policy status?</x:v>
      </x:c>
      <x:c r="C391" s="20" t="str">
        <x:v>The policy status is Active.</x:v>
      </x:c>
      <x:c r="D391" s="20" t="str">
        <x:f>IF(Reviewer_1!L391="","",Reviewer_1!L391)</x:f>
      </x:c>
      <x:c r="E391" s="20" t="str">
        <x:f>IF(Reviewer_2!L391="","",Reviewer_2!L391)</x:f>
      </x:c>
      <x:c r="F391" s="25"/>
      <x:c r="G391" s="20" t="str">
        <x:f>IF(Reviewer_1!M391="","",Reviewer_1!M391)</x:f>
      </x:c>
      <x:c r="H391" s="20" t="str">
        <x:f>IF(Reviewer_2!M391="","",Reviewer_2!M391)</x:f>
      </x:c>
      <x:c r="I391" s="25"/>
      <x:c r="J391" s="20" t="str">
        <x:f>IF(Reviewer_1!N391="","",Reviewer_1!N391)</x:f>
      </x:c>
      <x:c r="K391" s="20" t="str">
        <x:f>IF(Reviewer_2!N391="","",Reviewer_2!N391)</x:f>
      </x:c>
      <x:c r="L391" s="25"/>
      <x:c r="M391" s="25"/>
      <x:c r="N391" s="25"/>
      <x:c r="O391" s="20" t="str">
        <x:f>IF(OR(D391="",E391=""),"PENDING",IF(OR(D391&lt;&gt;E391,G391&lt;&gt;H391,J391&lt;&gt;K391),"CONFLICT","AGREE"))</x:f>
        <x:v>PENDING</x:v>
      </x:c>
    </x:row>
    <x:row r="392">
      <x:c r="A392" t="str">
        <x:v>ext-crm-fail-031</x:v>
      </x:c>
      <x:c r="B392" s="20" t="str">
        <x:v>What deductible applies to this policy?</x:v>
      </x:c>
      <x:c r="C392" s="20" t="str">
        <x:v>The deductible is 150 EUR.</x:v>
      </x:c>
      <x:c r="D392" s="20" t="str">
        <x:f>IF(Reviewer_1!L392="","",Reviewer_1!L392)</x:f>
      </x:c>
      <x:c r="E392" s="20" t="str">
        <x:f>IF(Reviewer_2!L392="","",Reviewer_2!L392)</x:f>
      </x:c>
      <x:c r="F392" s="25"/>
      <x:c r="G392" s="20" t="str">
        <x:f>IF(Reviewer_1!M392="","",Reviewer_1!M392)</x:f>
      </x:c>
      <x:c r="H392" s="20" t="str">
        <x:f>IF(Reviewer_2!M392="","",Reviewer_2!M392)</x:f>
      </x:c>
      <x:c r="I392" s="25"/>
      <x:c r="J392" s="20" t="str">
        <x:f>IF(Reviewer_1!N392="","",Reviewer_1!N392)</x:f>
      </x:c>
      <x:c r="K392" s="20" t="str">
        <x:f>IF(Reviewer_2!N392="","",Reviewer_2!N392)</x:f>
      </x:c>
      <x:c r="L392" s="25"/>
      <x:c r="M392" s="25"/>
      <x:c r="N392" s="25"/>
      <x:c r="O392" s="20" t="str">
        <x:f>IF(OR(D392="",E392=""),"PENDING",IF(OR(D392&lt;&gt;E392,G392&lt;&gt;H392,J392&lt;&gt;K392),"CONFLICT","AGREE"))</x:f>
        <x:v>PENDING</x:v>
      </x:c>
    </x:row>
    <x:row r="393">
      <x:c r="A393" t="str">
        <x:v>ext-crm-fail-032</x:v>
      </x:c>
      <x:c r="B393" s="20" t="str">
        <x:v>What deductible applies to this policy?</x:v>
      </x:c>
      <x:c r="C393" s="20" t="str">
        <x:v>The deductible is 150 EUR.</x:v>
      </x:c>
      <x:c r="D393" s="20" t="str">
        <x:f>IF(Reviewer_1!L393="","",Reviewer_1!L393)</x:f>
      </x:c>
      <x:c r="E393" s="20" t="str">
        <x:f>IF(Reviewer_2!L393="","",Reviewer_2!L393)</x:f>
      </x:c>
      <x:c r="F393" s="25"/>
      <x:c r="G393" s="20" t="str">
        <x:f>IF(Reviewer_1!M393="","",Reviewer_1!M393)</x:f>
      </x:c>
      <x:c r="H393" s="20" t="str">
        <x:f>IF(Reviewer_2!M393="","",Reviewer_2!M393)</x:f>
      </x:c>
      <x:c r="I393" s="25"/>
      <x:c r="J393" s="20" t="str">
        <x:f>IF(Reviewer_1!N393="","",Reviewer_1!N393)</x:f>
      </x:c>
      <x:c r="K393" s="20" t="str">
        <x:f>IF(Reviewer_2!N393="","",Reviewer_2!N393)</x:f>
      </x:c>
      <x:c r="L393" s="25"/>
      <x:c r="M393" s="25"/>
      <x:c r="N393" s="25"/>
      <x:c r="O393" s="20" t="str">
        <x:f>IF(OR(D393="",E393=""),"PENDING",IF(OR(D393&lt;&gt;E393,G393&lt;&gt;H393,J393&lt;&gt;K393),"CONFLICT","AGREE"))</x:f>
        <x:v>PENDING</x:v>
      </x:c>
    </x:row>
    <x:row r="394">
      <x:c r="A394" t="str">
        <x:v>ext-crm-fail-033</x:v>
      </x:c>
      <x:c r="B394" s="20" t="str">
        <x:v>What deductible applies to this policy?</x:v>
      </x:c>
      <x:c r="C394" s="20" t="str">
        <x:v>The deductible is 0 EUR.</x:v>
      </x:c>
      <x:c r="D394" s="20" t="str">
        <x:f>IF(Reviewer_1!L394="","",Reviewer_1!L394)</x:f>
      </x:c>
      <x:c r="E394" s="20" t="str">
        <x:f>IF(Reviewer_2!L394="","",Reviewer_2!L394)</x:f>
      </x:c>
      <x:c r="F394" s="25"/>
      <x:c r="G394" s="20" t="str">
        <x:f>IF(Reviewer_1!M394="","",Reviewer_1!M394)</x:f>
      </x:c>
      <x:c r="H394" s="20" t="str">
        <x:f>IF(Reviewer_2!M394="","",Reviewer_2!M394)</x:f>
      </x:c>
      <x:c r="I394" s="25"/>
      <x:c r="J394" s="20" t="str">
        <x:f>IF(Reviewer_1!N394="","",Reviewer_1!N394)</x:f>
      </x:c>
      <x:c r="K394" s="20" t="str">
        <x:f>IF(Reviewer_2!N394="","",Reviewer_2!N394)</x:f>
      </x:c>
      <x:c r="L394" s="25"/>
      <x:c r="M394" s="25"/>
      <x:c r="N394" s="25"/>
      <x:c r="O394" s="20" t="str">
        <x:f>IF(OR(D394="",E394=""),"PENDING",IF(OR(D394&lt;&gt;E394,G394&lt;&gt;H394,J394&lt;&gt;K394),"CONFLICT","AGREE"))</x:f>
        <x:v>PENDING</x:v>
      </x:c>
    </x:row>
    <x:row r="395">
      <x:c r="A395" t="str">
        <x:v>ext-crm-fail-034</x:v>
      </x:c>
      <x:c r="B395" s="20" t="str">
        <x:v>What deductible applies to this policy?</x:v>
      </x:c>
      <x:c r="C395" s="20" t="str">
        <x:v>The deductible is 150 EUR.</x:v>
      </x:c>
      <x:c r="D395" s="20" t="str">
        <x:f>IF(Reviewer_1!L395="","",Reviewer_1!L395)</x:f>
      </x:c>
      <x:c r="E395" s="20" t="str">
        <x:f>IF(Reviewer_2!L395="","",Reviewer_2!L395)</x:f>
      </x:c>
      <x:c r="F395" s="25"/>
      <x:c r="G395" s="20" t="str">
        <x:f>IF(Reviewer_1!M395="","",Reviewer_1!M395)</x:f>
      </x:c>
      <x:c r="H395" s="20" t="str">
        <x:f>IF(Reviewer_2!M395="","",Reviewer_2!M395)</x:f>
      </x:c>
      <x:c r="I395" s="25"/>
      <x:c r="J395" s="20" t="str">
        <x:f>IF(Reviewer_1!N395="","",Reviewer_1!N395)</x:f>
      </x:c>
      <x:c r="K395" s="20" t="str">
        <x:f>IF(Reviewer_2!N395="","",Reviewer_2!N395)</x:f>
      </x:c>
      <x:c r="L395" s="25"/>
      <x:c r="M395" s="25"/>
      <x:c r="N395" s="25"/>
      <x:c r="O395" s="20" t="str">
        <x:f>IF(OR(D395="",E395=""),"PENDING",IF(OR(D395&lt;&gt;E395,G395&lt;&gt;H395,J395&lt;&gt;K395),"CONFLICT","AGREE"))</x:f>
        <x:v>PENDING</x:v>
      </x:c>
    </x:row>
    <x:row r="396">
      <x:c r="A396" t="str">
        <x:v>ext-crm-fail-035</x:v>
      </x:c>
      <x:c r="B396" s="20" t="str">
        <x:v>What deductible applies to this policy?</x:v>
      </x:c>
      <x:c r="C396" s="20" t="str">
        <x:v>The deductible is 150 EUR.</x:v>
      </x:c>
      <x:c r="D396" s="20" t="str">
        <x:f>IF(Reviewer_1!L396="","",Reviewer_1!L396)</x:f>
      </x:c>
      <x:c r="E396" s="20" t="str">
        <x:f>IF(Reviewer_2!L396="","",Reviewer_2!L396)</x:f>
      </x:c>
      <x:c r="F396" s="25"/>
      <x:c r="G396" s="20" t="str">
        <x:f>IF(Reviewer_1!M396="","",Reviewer_1!M396)</x:f>
      </x:c>
      <x:c r="H396" s="20" t="str">
        <x:f>IF(Reviewer_2!M396="","",Reviewer_2!M396)</x:f>
      </x:c>
      <x:c r="I396" s="25"/>
      <x:c r="J396" s="20" t="str">
        <x:f>IF(Reviewer_1!N396="","",Reviewer_1!N396)</x:f>
      </x:c>
      <x:c r="K396" s="20" t="str">
        <x:f>IF(Reviewer_2!N396="","",Reviewer_2!N396)</x:f>
      </x:c>
      <x:c r="L396" s="25"/>
      <x:c r="M396" s="25"/>
      <x:c r="N396" s="25"/>
      <x:c r="O396" s="20" t="str">
        <x:f>IF(OR(D396="",E396=""),"PENDING",IF(OR(D396&lt;&gt;E396,G396&lt;&gt;H396,J396&lt;&gt;K396),"CONFLICT","AGREE"))</x:f>
        <x:v>PENDING</x:v>
      </x:c>
    </x:row>
    <x:row r="397">
      <x:c r="A397" t="str">
        <x:v>ext-crm-fail-036</x:v>
      </x:c>
      <x:c r="B397" s="20" t="str">
        <x:v>What deductible applies to this policy?</x:v>
      </x:c>
      <x:c r="C397" s="20" t="str">
        <x:v>The deductible is 150 EUR.</x:v>
      </x:c>
      <x:c r="D397" s="20" t="str">
        <x:f>IF(Reviewer_1!L397="","",Reviewer_1!L397)</x:f>
      </x:c>
      <x:c r="E397" s="20" t="str">
        <x:f>IF(Reviewer_2!L397="","",Reviewer_2!L397)</x:f>
      </x:c>
      <x:c r="F397" s="25"/>
      <x:c r="G397" s="20" t="str">
        <x:f>IF(Reviewer_1!M397="","",Reviewer_1!M397)</x:f>
      </x:c>
      <x:c r="H397" s="20" t="str">
        <x:f>IF(Reviewer_2!M397="","",Reviewer_2!M397)</x:f>
      </x:c>
      <x:c r="I397" s="25"/>
      <x:c r="J397" s="20" t="str">
        <x:f>IF(Reviewer_1!N397="","",Reviewer_1!N397)</x:f>
      </x:c>
      <x:c r="K397" s="20" t="str">
        <x:f>IF(Reviewer_2!N397="","",Reviewer_2!N397)</x:f>
      </x:c>
      <x:c r="L397" s="25"/>
      <x:c r="M397" s="25"/>
      <x:c r="N397" s="25"/>
      <x:c r="O397" s="20" t="str">
        <x:f>IF(OR(D397="",E397=""),"PENDING",IF(OR(D397&lt;&gt;E397,G397&lt;&gt;H397,J397&lt;&gt;K397),"CONFLICT","AGREE"))</x:f>
        <x:v>PENDING</x:v>
      </x:c>
    </x:row>
    <x:row r="398">
      <x:c r="A398" t="str">
        <x:v>ext-crm-fail-037</x:v>
      </x:c>
      <x:c r="B398" s="20" t="str">
        <x:v>What deductible applies to this policy?</x:v>
      </x:c>
      <x:c r="C398" s="20" t="str">
        <x:v>The deductible is 150 EUR.</x:v>
      </x:c>
      <x:c r="D398" s="20" t="str">
        <x:f>IF(Reviewer_1!L398="","",Reviewer_1!L398)</x:f>
      </x:c>
      <x:c r="E398" s="20" t="str">
        <x:f>IF(Reviewer_2!L398="","",Reviewer_2!L398)</x:f>
      </x:c>
      <x:c r="F398" s="25"/>
      <x:c r="G398" s="20" t="str">
        <x:f>IF(Reviewer_1!M398="","",Reviewer_1!M398)</x:f>
      </x:c>
      <x:c r="H398" s="20" t="str">
        <x:f>IF(Reviewer_2!M398="","",Reviewer_2!M398)</x:f>
      </x:c>
      <x:c r="I398" s="25"/>
      <x:c r="J398" s="20" t="str">
        <x:f>IF(Reviewer_1!N398="","",Reviewer_1!N398)</x:f>
      </x:c>
      <x:c r="K398" s="20" t="str">
        <x:f>IF(Reviewer_2!N398="","",Reviewer_2!N398)</x:f>
      </x:c>
      <x:c r="L398" s="25"/>
      <x:c r="M398" s="25"/>
      <x:c r="N398" s="25"/>
      <x:c r="O398" s="20" t="str">
        <x:f>IF(OR(D398="",E398=""),"PENDING",IF(OR(D398&lt;&gt;E398,G398&lt;&gt;H398,J398&lt;&gt;K398),"CONFLICT","AGREE"))</x:f>
        <x:v>PENDING</x:v>
      </x:c>
    </x:row>
    <x:row r="399">
      <x:c r="A399" t="str">
        <x:v>ext-crm-fail-038</x:v>
      </x:c>
      <x:c r="B399" s="20" t="str">
        <x:v>What deductible applies to this policy?</x:v>
      </x:c>
      <x:c r="C399" s="20" t="str">
        <x:v>The deductible is 0 EUR.</x:v>
      </x:c>
      <x:c r="D399" s="20" t="str">
        <x:f>IF(Reviewer_1!L399="","",Reviewer_1!L399)</x:f>
      </x:c>
      <x:c r="E399" s="20" t="str">
        <x:f>IF(Reviewer_2!L399="","",Reviewer_2!L399)</x:f>
      </x:c>
      <x:c r="F399" s="25"/>
      <x:c r="G399" s="20" t="str">
        <x:f>IF(Reviewer_1!M399="","",Reviewer_1!M399)</x:f>
      </x:c>
      <x:c r="H399" s="20" t="str">
        <x:f>IF(Reviewer_2!M399="","",Reviewer_2!M399)</x:f>
      </x:c>
      <x:c r="I399" s="25"/>
      <x:c r="J399" s="20" t="str">
        <x:f>IF(Reviewer_1!N399="","",Reviewer_1!N399)</x:f>
      </x:c>
      <x:c r="K399" s="20" t="str">
        <x:f>IF(Reviewer_2!N399="","",Reviewer_2!N399)</x:f>
      </x:c>
      <x:c r="L399" s="25"/>
      <x:c r="M399" s="25"/>
      <x:c r="N399" s="25"/>
      <x:c r="O399" s="20" t="str">
        <x:f>IF(OR(D399="",E399=""),"PENDING",IF(OR(D399&lt;&gt;E399,G399&lt;&gt;H399,J399&lt;&gt;K399),"CONFLICT","AGREE"))</x:f>
        <x:v>PENDING</x:v>
      </x:c>
    </x:row>
    <x:row r="400">
      <x:c r="A400" t="str">
        <x:v>ext-crm-fail-039</x:v>
      </x:c>
      <x:c r="B400" s="20" t="str">
        <x:v>What deductible applies to this policy?</x:v>
      </x:c>
      <x:c r="C400" s="20" t="str">
        <x:v>The deductible is 150 EUR.</x:v>
      </x:c>
      <x:c r="D400" s="20" t="str">
        <x:f>IF(Reviewer_1!L400="","",Reviewer_1!L400)</x:f>
      </x:c>
      <x:c r="E400" s="20" t="str">
        <x:f>IF(Reviewer_2!L400="","",Reviewer_2!L400)</x:f>
      </x:c>
      <x:c r="F400" s="25"/>
      <x:c r="G400" s="20" t="str">
        <x:f>IF(Reviewer_1!M400="","",Reviewer_1!M400)</x:f>
      </x:c>
      <x:c r="H400" s="20" t="str">
        <x:f>IF(Reviewer_2!M400="","",Reviewer_2!M400)</x:f>
      </x:c>
      <x:c r="I400" s="25"/>
      <x:c r="J400" s="20" t="str">
        <x:f>IF(Reviewer_1!N400="","",Reviewer_1!N400)</x:f>
      </x:c>
      <x:c r="K400" s="20" t="str">
        <x:f>IF(Reviewer_2!N400="","",Reviewer_2!N400)</x:f>
      </x:c>
      <x:c r="L400" s="25"/>
      <x:c r="M400" s="25"/>
      <x:c r="N400" s="25"/>
      <x:c r="O400" s="20" t="str">
        <x:f>IF(OR(D400="",E400=""),"PENDING",IF(OR(D400&lt;&gt;E400,G400&lt;&gt;H400,J400&lt;&gt;K400),"CONFLICT","AGREE"))</x:f>
        <x:v>PENDING</x:v>
      </x:c>
    </x:row>
    <x:row r="401">
      <x:c r="A401" t="str">
        <x:v>ext-crm-fail-040</x:v>
      </x:c>
      <x:c r="B401" s="20" t="str">
        <x:v>What deductible applies to this policy?</x:v>
      </x:c>
      <x:c r="C401" s="20" t="str">
        <x:v>The deductible is 150 EUR.</x:v>
      </x:c>
      <x:c r="D401" s="20" t="str">
        <x:f>IF(Reviewer_1!L401="","",Reviewer_1!L401)</x:f>
      </x:c>
      <x:c r="E401" s="20" t="str">
        <x:f>IF(Reviewer_2!L401="","",Reviewer_2!L401)</x:f>
      </x:c>
      <x:c r="F401" s="25"/>
      <x:c r="G401" s="20" t="str">
        <x:f>IF(Reviewer_1!M401="","",Reviewer_1!M401)</x:f>
      </x:c>
      <x:c r="H401" s="20" t="str">
        <x:f>IF(Reviewer_2!M401="","",Reviewer_2!M401)</x:f>
      </x:c>
      <x:c r="I401" s="25"/>
      <x:c r="J401" s="20" t="str">
        <x:f>IF(Reviewer_1!N401="","",Reviewer_1!N401)</x:f>
      </x:c>
      <x:c r="K401" s="20" t="str">
        <x:f>IF(Reviewer_2!N401="","",Reviewer_2!N401)</x:f>
      </x:c>
      <x:c r="L401" s="25"/>
      <x:c r="M401" s="25"/>
      <x:c r="N401" s="25"/>
      <x:c r="O401" s="20" t="str">
        <x:f>IF(OR(D401="",E401=""),"PENDING",IF(OR(D401&lt;&gt;E401,G401&lt;&gt;H401,J401&lt;&gt;K401),"CONFLICT","AGREE"))</x:f>
        <x:v>PENDING</x:v>
      </x:c>
    </x:row>
    <x:row r="402">
      <x:c r="A402" t="str">
        <x:v>ext-crm-fail-041</x:v>
      </x:c>
      <x:c r="B402" s="20" t="str">
        <x:v>What is the annual premium of this policy?</x:v>
      </x:c>
      <x:c r="C402" s="20" t="str">
        <x:v>The annual premium is 684 EUR.</x:v>
      </x:c>
      <x:c r="D402" s="20" t="str">
        <x:f>IF(Reviewer_1!L402="","",Reviewer_1!L402)</x:f>
      </x:c>
      <x:c r="E402" s="20" t="str">
        <x:f>IF(Reviewer_2!L402="","",Reviewer_2!L402)</x:f>
      </x:c>
      <x:c r="F402" s="25"/>
      <x:c r="G402" s="20" t="str">
        <x:f>IF(Reviewer_1!M402="","",Reviewer_1!M402)</x:f>
      </x:c>
      <x:c r="H402" s="20" t="str">
        <x:f>IF(Reviewer_2!M402="","",Reviewer_2!M402)</x:f>
      </x:c>
      <x:c r="I402" s="25"/>
      <x:c r="J402" s="20" t="str">
        <x:f>IF(Reviewer_1!N402="","",Reviewer_1!N402)</x:f>
      </x:c>
      <x:c r="K402" s="20" t="str">
        <x:f>IF(Reviewer_2!N402="","",Reviewer_2!N402)</x:f>
      </x:c>
      <x:c r="L402" s="25"/>
      <x:c r="M402" s="25"/>
      <x:c r="N402" s="25"/>
      <x:c r="O402" s="20" t="str">
        <x:f>IF(OR(D402="",E402=""),"PENDING",IF(OR(D402&lt;&gt;E402,G402&lt;&gt;H402,J402&lt;&gt;K402),"CONFLICT","AGREE"))</x:f>
        <x:v>PENDING</x:v>
      </x:c>
    </x:row>
    <x:row r="403">
      <x:c r="A403" t="str">
        <x:v>ext-crm-fail-042</x:v>
      </x:c>
      <x:c r="B403" s="20" t="str">
        <x:v>What is the annual premium of this policy?</x:v>
      </x:c>
      <x:c r="C403" s="20" t="str">
        <x:v>The annual premium is 684 EUR.</x:v>
      </x:c>
      <x:c r="D403" s="20" t="str">
        <x:f>IF(Reviewer_1!L403="","",Reviewer_1!L403)</x:f>
      </x:c>
      <x:c r="E403" s="20" t="str">
        <x:f>IF(Reviewer_2!L403="","",Reviewer_2!L403)</x:f>
      </x:c>
      <x:c r="F403" s="25"/>
      <x:c r="G403" s="20" t="str">
        <x:f>IF(Reviewer_1!M403="","",Reviewer_1!M403)</x:f>
      </x:c>
      <x:c r="H403" s="20" t="str">
        <x:f>IF(Reviewer_2!M403="","",Reviewer_2!M403)</x:f>
      </x:c>
      <x:c r="I403" s="25"/>
      <x:c r="J403" s="20" t="str">
        <x:f>IF(Reviewer_1!N403="","",Reviewer_1!N403)</x:f>
      </x:c>
      <x:c r="K403" s="20" t="str">
        <x:f>IF(Reviewer_2!N403="","",Reviewer_2!N403)</x:f>
      </x:c>
      <x:c r="L403" s="25"/>
      <x:c r="M403" s="25"/>
      <x:c r="N403" s="25"/>
      <x:c r="O403" s="20" t="str">
        <x:f>IF(OR(D403="",E403=""),"PENDING",IF(OR(D403&lt;&gt;E403,G403&lt;&gt;H403,J403&lt;&gt;K403),"CONFLICT","AGREE"))</x:f>
        <x:v>PENDING</x:v>
      </x:c>
    </x:row>
    <x:row r="404">
      <x:c r="A404" t="str">
        <x:v>ext-crm-fail-043</x:v>
      </x:c>
      <x:c r="B404" s="20" t="str">
        <x:v>What is the annual premium of this policy?</x:v>
      </x:c>
      <x:c r="C404" s="20" t="str">
        <x:v>The annual premium is 684 EUR.</x:v>
      </x:c>
      <x:c r="D404" s="20" t="str">
        <x:f>IF(Reviewer_1!L404="","",Reviewer_1!L404)</x:f>
      </x:c>
      <x:c r="E404" s="20" t="str">
        <x:f>IF(Reviewer_2!L404="","",Reviewer_2!L404)</x:f>
      </x:c>
      <x:c r="F404" s="25"/>
      <x:c r="G404" s="20" t="str">
        <x:f>IF(Reviewer_1!M404="","",Reviewer_1!M404)</x:f>
      </x:c>
      <x:c r="H404" s="20" t="str">
        <x:f>IF(Reviewer_2!M404="","",Reviewer_2!M404)</x:f>
      </x:c>
      <x:c r="I404" s="25"/>
      <x:c r="J404" s="20" t="str">
        <x:f>IF(Reviewer_1!N404="","",Reviewer_1!N404)</x:f>
      </x:c>
      <x:c r="K404" s="20" t="str">
        <x:f>IF(Reviewer_2!N404="","",Reviewer_2!N404)</x:f>
      </x:c>
      <x:c r="L404" s="25"/>
      <x:c r="M404" s="25"/>
      <x:c r="N404" s="25"/>
      <x:c r="O404" s="20" t="str">
        <x:f>IF(OR(D404="",E404=""),"PENDING",IF(OR(D404&lt;&gt;E404,G404&lt;&gt;H404,J404&lt;&gt;K404),"CONFLICT","AGREE"))</x:f>
        <x:v>PENDING</x:v>
      </x:c>
    </x:row>
    <x:row r="405">
      <x:c r="A405" t="str">
        <x:v>ext-crm-fail-044</x:v>
      </x:c>
      <x:c r="B405" s="20" t="str">
        <x:v>What is the annual premium of this policy?</x:v>
      </x:c>
      <x:c r="C405" s="20" t="str">
        <x:v>The annual premium is 684 EUR.</x:v>
      </x:c>
      <x:c r="D405" s="20" t="str">
        <x:f>IF(Reviewer_1!L405="","",Reviewer_1!L405)</x:f>
      </x:c>
      <x:c r="E405" s="20" t="str">
        <x:f>IF(Reviewer_2!L405="","",Reviewer_2!L405)</x:f>
      </x:c>
      <x:c r="F405" s="25"/>
      <x:c r="G405" s="20" t="str">
        <x:f>IF(Reviewer_1!M405="","",Reviewer_1!M405)</x:f>
      </x:c>
      <x:c r="H405" s="20" t="str">
        <x:f>IF(Reviewer_2!M405="","",Reviewer_2!M405)</x:f>
      </x:c>
      <x:c r="I405" s="25"/>
      <x:c r="J405" s="20" t="str">
        <x:f>IF(Reviewer_1!N405="","",Reviewer_1!N405)</x:f>
      </x:c>
      <x:c r="K405" s="20" t="str">
        <x:f>IF(Reviewer_2!N405="","",Reviewer_2!N405)</x:f>
      </x:c>
      <x:c r="L405" s="25"/>
      <x:c r="M405" s="25"/>
      <x:c r="N405" s="25"/>
      <x:c r="O405" s="20" t="str">
        <x:f>IF(OR(D405="",E405=""),"PENDING",IF(OR(D405&lt;&gt;E405,G405&lt;&gt;H405,J405&lt;&gt;K405),"CONFLICT","AGREE"))</x:f>
        <x:v>PENDING</x:v>
      </x:c>
    </x:row>
    <x:row r="406">
      <x:c r="A406" t="str">
        <x:v>ext-crm-fail-045</x:v>
      </x:c>
      <x:c r="B406" s="20" t="str">
        <x:v>What is the annual premium of this policy?</x:v>
      </x:c>
      <x:c r="C406" s="20" t="str">
        <x:v>The annual premium is 684 EUR.</x:v>
      </x:c>
      <x:c r="D406" s="20" t="str">
        <x:f>IF(Reviewer_1!L406="","",Reviewer_1!L406)</x:f>
      </x:c>
      <x:c r="E406" s="20" t="str">
        <x:f>IF(Reviewer_2!L406="","",Reviewer_2!L406)</x:f>
      </x:c>
      <x:c r="F406" s="25"/>
      <x:c r="G406" s="20" t="str">
        <x:f>IF(Reviewer_1!M406="","",Reviewer_1!M406)</x:f>
      </x:c>
      <x:c r="H406" s="20" t="str">
        <x:f>IF(Reviewer_2!M406="","",Reviewer_2!M406)</x:f>
      </x:c>
      <x:c r="I406" s="25"/>
      <x:c r="J406" s="20" t="str">
        <x:f>IF(Reviewer_1!N406="","",Reviewer_1!N406)</x:f>
      </x:c>
      <x:c r="K406" s="20" t="str">
        <x:f>IF(Reviewer_2!N406="","",Reviewer_2!N406)</x:f>
      </x:c>
      <x:c r="L406" s="25"/>
      <x:c r="M406" s="25"/>
      <x:c r="N406" s="25"/>
      <x:c r="O406" s="20" t="str">
        <x:f>IF(OR(D406="",E406=""),"PENDING",IF(OR(D406&lt;&gt;E406,G406&lt;&gt;H406,J406&lt;&gt;K406),"CONFLICT","AGREE"))</x:f>
        <x:v>PENDING</x:v>
      </x:c>
    </x:row>
    <x:row r="407">
      <x:c r="A407" t="str">
        <x:v>ext-crm-fail-046</x:v>
      </x:c>
      <x:c r="B407" s="20" t="str">
        <x:v>What is the annual premium of this policy?</x:v>
      </x:c>
      <x:c r="C407" s="20" t="str">
        <x:v>The annual premium is 684 EUR.</x:v>
      </x:c>
      <x:c r="D407" s="20" t="str">
        <x:f>IF(Reviewer_1!L407="","",Reviewer_1!L407)</x:f>
      </x:c>
      <x:c r="E407" s="20" t="str">
        <x:f>IF(Reviewer_2!L407="","",Reviewer_2!L407)</x:f>
      </x:c>
      <x:c r="F407" s="25"/>
      <x:c r="G407" s="20" t="str">
        <x:f>IF(Reviewer_1!M407="","",Reviewer_1!M407)</x:f>
      </x:c>
      <x:c r="H407" s="20" t="str">
        <x:f>IF(Reviewer_2!M407="","",Reviewer_2!M407)</x:f>
      </x:c>
      <x:c r="I407" s="25"/>
      <x:c r="J407" s="20" t="str">
        <x:f>IF(Reviewer_1!N407="","",Reviewer_1!N407)</x:f>
      </x:c>
      <x:c r="K407" s="20" t="str">
        <x:f>IF(Reviewer_2!N407="","",Reviewer_2!N407)</x:f>
      </x:c>
      <x:c r="L407" s="25"/>
      <x:c r="M407" s="25"/>
      <x:c r="N407" s="25"/>
      <x:c r="O407" s="20" t="str">
        <x:f>IF(OR(D407="",E407=""),"PENDING",IF(OR(D407&lt;&gt;E407,G407&lt;&gt;H407,J407&lt;&gt;K407),"CONFLICT","AGREE"))</x:f>
        <x:v>PENDING</x:v>
      </x:c>
    </x:row>
    <x:row r="408">
      <x:c r="A408" t="str">
        <x:v>ext-crm-fail-047</x:v>
      </x:c>
      <x:c r="B408" s="20" t="str">
        <x:v>What is the annual premium of this policy?</x:v>
      </x:c>
      <x:c r="C408" s="20" t="str">
        <x:v>The annual premium is 684 EUR.</x:v>
      </x:c>
      <x:c r="D408" s="20" t="str">
        <x:f>IF(Reviewer_1!L408="","",Reviewer_1!L408)</x:f>
      </x:c>
      <x:c r="E408" s="20" t="str">
        <x:f>IF(Reviewer_2!L408="","",Reviewer_2!L408)</x:f>
      </x:c>
      <x:c r="F408" s="25"/>
      <x:c r="G408" s="20" t="str">
        <x:f>IF(Reviewer_1!M408="","",Reviewer_1!M408)</x:f>
      </x:c>
      <x:c r="H408" s="20" t="str">
        <x:f>IF(Reviewer_2!M408="","",Reviewer_2!M408)</x:f>
      </x:c>
      <x:c r="I408" s="25"/>
      <x:c r="J408" s="20" t="str">
        <x:f>IF(Reviewer_1!N408="","",Reviewer_1!N408)</x:f>
      </x:c>
      <x:c r="K408" s="20" t="str">
        <x:f>IF(Reviewer_2!N408="","",Reviewer_2!N408)</x:f>
      </x:c>
      <x:c r="L408" s="25"/>
      <x:c r="M408" s="25"/>
      <x:c r="N408" s="25"/>
      <x:c r="O408" s="20" t="str">
        <x:f>IF(OR(D408="",E408=""),"PENDING",IF(OR(D408&lt;&gt;E408,G408&lt;&gt;H408,J408&lt;&gt;K408),"CONFLICT","AGREE"))</x:f>
        <x:v>PENDING</x:v>
      </x:c>
    </x:row>
    <x:row r="409">
      <x:c r="A409" t="str">
        <x:v>ext-crm-fail-048</x:v>
      </x:c>
      <x:c r="B409" s="20" t="str">
        <x:v>What is the annual premium of this policy?</x:v>
      </x:c>
      <x:c r="C409" s="20" t="str">
        <x:v>The annual premium is 684 EUR.</x:v>
      </x:c>
      <x:c r="D409" s="20" t="str">
        <x:f>IF(Reviewer_1!L409="","",Reviewer_1!L409)</x:f>
      </x:c>
      <x:c r="E409" s="20" t="str">
        <x:f>IF(Reviewer_2!L409="","",Reviewer_2!L409)</x:f>
      </x:c>
      <x:c r="F409" s="25"/>
      <x:c r="G409" s="20" t="str">
        <x:f>IF(Reviewer_1!M409="","",Reviewer_1!M409)</x:f>
      </x:c>
      <x:c r="H409" s="20" t="str">
        <x:f>IF(Reviewer_2!M409="","",Reviewer_2!M409)</x:f>
      </x:c>
      <x:c r="I409" s="25"/>
      <x:c r="J409" s="20" t="str">
        <x:f>IF(Reviewer_1!N409="","",Reviewer_1!N409)</x:f>
      </x:c>
      <x:c r="K409" s="20" t="str">
        <x:f>IF(Reviewer_2!N409="","",Reviewer_2!N409)</x:f>
      </x:c>
      <x:c r="L409" s="25"/>
      <x:c r="M409" s="25"/>
      <x:c r="N409" s="25"/>
      <x:c r="O409" s="20" t="str">
        <x:f>IF(OR(D409="",E409=""),"PENDING",IF(OR(D409&lt;&gt;E409,G409&lt;&gt;H409,J409&lt;&gt;K409),"CONFLICT","AGREE"))</x:f>
        <x:v>PENDING</x:v>
      </x:c>
    </x:row>
    <x:row r="410">
      <x:c r="A410" t="str">
        <x:v>ext-crm-fail-049</x:v>
      </x:c>
      <x:c r="B410" s="20" t="str">
        <x:v>What is the annual premium of this policy?</x:v>
      </x:c>
      <x:c r="C410" s="20" t="str">
        <x:v>The annual premium is 96 EUR.</x:v>
      </x:c>
      <x:c r="D410" s="20" t="str">
        <x:f>IF(Reviewer_1!L410="","",Reviewer_1!L410)</x:f>
      </x:c>
      <x:c r="E410" s="20" t="str">
        <x:f>IF(Reviewer_2!L410="","",Reviewer_2!L410)</x:f>
      </x:c>
      <x:c r="F410" s="25"/>
      <x:c r="G410" s="20" t="str">
        <x:f>IF(Reviewer_1!M410="","",Reviewer_1!M410)</x:f>
      </x:c>
      <x:c r="H410" s="20" t="str">
        <x:f>IF(Reviewer_2!M410="","",Reviewer_2!M410)</x:f>
      </x:c>
      <x:c r="I410" s="25"/>
      <x:c r="J410" s="20" t="str">
        <x:f>IF(Reviewer_1!N410="","",Reviewer_1!N410)</x:f>
      </x:c>
      <x:c r="K410" s="20" t="str">
        <x:f>IF(Reviewer_2!N410="","",Reviewer_2!N410)</x:f>
      </x:c>
      <x:c r="L410" s="25"/>
      <x:c r="M410" s="25"/>
      <x:c r="N410" s="25"/>
      <x:c r="O410" s="20" t="str">
        <x:f>IF(OR(D410="",E410=""),"PENDING",IF(OR(D410&lt;&gt;E410,G410&lt;&gt;H410,J410&lt;&gt;K410),"CONFLICT","AGREE"))</x:f>
        <x:v>PENDING</x:v>
      </x:c>
    </x:row>
    <x:row r="411">
      <x:c r="A411" t="str">
        <x:v>ext-crm-fail-050</x:v>
      </x:c>
      <x:c r="B411" s="20" t="str">
        <x:v>What is the annual premium of this policy?</x:v>
      </x:c>
      <x:c r="C411" s="20" t="str">
        <x:v>The annual premium is 684 EUR.</x:v>
      </x:c>
      <x:c r="D411" s="20" t="str">
        <x:f>IF(Reviewer_1!L411="","",Reviewer_1!L411)</x:f>
      </x:c>
      <x:c r="E411" s="20" t="str">
        <x:f>IF(Reviewer_2!L411="","",Reviewer_2!L411)</x:f>
      </x:c>
      <x:c r="F411" s="25"/>
      <x:c r="G411" s="20" t="str">
        <x:f>IF(Reviewer_1!M411="","",Reviewer_1!M411)</x:f>
      </x:c>
      <x:c r="H411" s="20" t="str">
        <x:f>IF(Reviewer_2!M411="","",Reviewer_2!M411)</x:f>
      </x:c>
      <x:c r="I411" s="25"/>
      <x:c r="J411" s="20" t="str">
        <x:f>IF(Reviewer_1!N411="","",Reviewer_1!N411)</x:f>
      </x:c>
      <x:c r="K411" s="20" t="str">
        <x:f>IF(Reviewer_2!N411="","",Reviewer_2!N411)</x:f>
      </x:c>
      <x:c r="L411" s="25"/>
      <x:c r="M411" s="25"/>
      <x:c r="N411" s="25"/>
      <x:c r="O411" s="20" t="str">
        <x:f>IF(OR(D411="",E411=""),"PENDING",IF(OR(D411&lt;&gt;E411,G411&lt;&gt;H411,J411&lt;&gt;K411),"CONFLICT","AGREE"))</x:f>
        <x:v>PENDING</x:v>
      </x:c>
    </x:row>
    <x:row r="412">
      <x:c r="A412" t="str">
        <x:v>ext-crm-fail-051</x:v>
      </x:c>
      <x:c r="B412" s="20" t="str">
        <x:v>What coverage type applies to this policy?</x:v>
      </x:c>
      <x:c r="C412" s="20" t="str">
        <x:v>The coverage type is Liability.</x:v>
      </x:c>
      <x:c r="D412" s="20" t="str">
        <x:f>IF(Reviewer_1!L412="","",Reviewer_1!L412)</x:f>
      </x:c>
      <x:c r="E412" s="20" t="str">
        <x:f>IF(Reviewer_2!L412="","",Reviewer_2!L412)</x:f>
      </x:c>
      <x:c r="F412" s="25"/>
      <x:c r="G412" s="20" t="str">
        <x:f>IF(Reviewer_1!M412="","",Reviewer_1!M412)</x:f>
      </x:c>
      <x:c r="H412" s="20" t="str">
        <x:f>IF(Reviewer_2!M412="","",Reviewer_2!M412)</x:f>
      </x:c>
      <x:c r="I412" s="25"/>
      <x:c r="J412" s="20" t="str">
        <x:f>IF(Reviewer_1!N412="","",Reviewer_1!N412)</x:f>
      </x:c>
      <x:c r="K412" s="20" t="str">
        <x:f>IF(Reviewer_2!N412="","",Reviewer_2!N412)</x:f>
      </x:c>
      <x:c r="L412" s="25"/>
      <x:c r="M412" s="25"/>
      <x:c r="N412" s="25"/>
      <x:c r="O412" s="20" t="str">
        <x:f>IF(OR(D412="",E412=""),"PENDING",IF(OR(D412&lt;&gt;E412,G412&lt;&gt;H412,J412&lt;&gt;K412),"CONFLICT","AGREE"))</x:f>
        <x:v>PENDING</x:v>
      </x:c>
    </x:row>
    <x:row r="413">
      <x:c r="A413" t="str">
        <x:v>ext-crm-fail-052</x:v>
      </x:c>
      <x:c r="B413" s="20" t="str">
        <x:v>What coverage type applies to this policy?</x:v>
      </x:c>
      <x:c r="C413" s="20" t="str">
        <x:v>The coverage type is Partial Coverage.</x:v>
      </x:c>
      <x:c r="D413" s="20" t="str">
        <x:f>IF(Reviewer_1!L413="","",Reviewer_1!L413)</x:f>
      </x:c>
      <x:c r="E413" s="20" t="str">
        <x:f>IF(Reviewer_2!L413="","",Reviewer_2!L413)</x:f>
      </x:c>
      <x:c r="F413" s="25"/>
      <x:c r="G413" s="20" t="str">
        <x:f>IF(Reviewer_1!M413="","",Reviewer_1!M413)</x:f>
      </x:c>
      <x:c r="H413" s="20" t="str">
        <x:f>IF(Reviewer_2!M413="","",Reviewer_2!M413)</x:f>
      </x:c>
      <x:c r="I413" s="25"/>
      <x:c r="J413" s="20" t="str">
        <x:f>IF(Reviewer_1!N413="","",Reviewer_1!N413)</x:f>
      </x:c>
      <x:c r="K413" s="20" t="str">
        <x:f>IF(Reviewer_2!N413="","",Reviewer_2!N413)</x:f>
      </x:c>
      <x:c r="L413" s="25"/>
      <x:c r="M413" s="25"/>
      <x:c r="N413" s="25"/>
      <x:c r="O413" s="20" t="str">
        <x:f>IF(OR(D413="",E413=""),"PENDING",IF(OR(D413&lt;&gt;E413,G413&lt;&gt;H413,J413&lt;&gt;K413),"CONFLICT","AGREE"))</x:f>
        <x:v>PENDING</x:v>
      </x:c>
    </x:row>
    <x:row r="414">
      <x:c r="A414" t="str">
        <x:v>ext-crm-fail-053</x:v>
      </x:c>
      <x:c r="B414" s="20" t="str">
        <x:v>What coverage type applies to this policy?</x:v>
      </x:c>
      <x:c r="C414" s="20" t="str">
        <x:v>The coverage type is Partial Coverage.</x:v>
      </x:c>
      <x:c r="D414" s="20" t="str">
        <x:f>IF(Reviewer_1!L414="","",Reviewer_1!L414)</x:f>
      </x:c>
      <x:c r="E414" s="20" t="str">
        <x:f>IF(Reviewer_2!L414="","",Reviewer_2!L414)</x:f>
      </x:c>
      <x:c r="F414" s="25"/>
      <x:c r="G414" s="20" t="str">
        <x:f>IF(Reviewer_1!M414="","",Reviewer_1!M414)</x:f>
      </x:c>
      <x:c r="H414" s="20" t="str">
        <x:f>IF(Reviewer_2!M414="","",Reviewer_2!M414)</x:f>
      </x:c>
      <x:c r="I414" s="25"/>
      <x:c r="J414" s="20" t="str">
        <x:f>IF(Reviewer_1!N414="","",Reviewer_1!N414)</x:f>
      </x:c>
      <x:c r="K414" s="20" t="str">
        <x:f>IF(Reviewer_2!N414="","",Reviewer_2!N414)</x:f>
      </x:c>
      <x:c r="L414" s="25"/>
      <x:c r="M414" s="25"/>
      <x:c r="N414" s="25"/>
      <x:c r="O414" s="20" t="str">
        <x:f>IF(OR(D414="",E414=""),"PENDING",IF(OR(D414&lt;&gt;E414,G414&lt;&gt;H414,J414&lt;&gt;K414),"CONFLICT","AGREE"))</x:f>
        <x:v>PENDING</x:v>
      </x:c>
    </x:row>
    <x:row r="415">
      <x:c r="A415" t="str">
        <x:v>ext-crm-fail-054</x:v>
      </x:c>
      <x:c r="B415" s="20" t="str">
        <x:v>What coverage type applies to this policy?</x:v>
      </x:c>
      <x:c r="C415" s="20" t="str">
        <x:v>The coverage type is Partial Coverage.</x:v>
      </x:c>
      <x:c r="D415" s="20" t="str">
        <x:f>IF(Reviewer_1!L415="","",Reviewer_1!L415)</x:f>
      </x:c>
      <x:c r="E415" s="20" t="str">
        <x:f>IF(Reviewer_2!L415="","",Reviewer_2!L415)</x:f>
      </x:c>
      <x:c r="F415" s="25"/>
      <x:c r="G415" s="20" t="str">
        <x:f>IF(Reviewer_1!M415="","",Reviewer_1!M415)</x:f>
      </x:c>
      <x:c r="H415" s="20" t="str">
        <x:f>IF(Reviewer_2!M415="","",Reviewer_2!M415)</x:f>
      </x:c>
      <x:c r="I415" s="25"/>
      <x:c r="J415" s="20" t="str">
        <x:f>IF(Reviewer_1!N415="","",Reviewer_1!N415)</x:f>
      </x:c>
      <x:c r="K415" s="20" t="str">
        <x:f>IF(Reviewer_2!N415="","",Reviewer_2!N415)</x:f>
      </x:c>
      <x:c r="L415" s="25"/>
      <x:c r="M415" s="25"/>
      <x:c r="N415" s="25"/>
      <x:c r="O415" s="20" t="str">
        <x:f>IF(OR(D415="",E415=""),"PENDING",IF(OR(D415&lt;&gt;E415,G415&lt;&gt;H415,J415&lt;&gt;K415),"CONFLICT","AGREE"))</x:f>
        <x:v>PENDING</x:v>
      </x:c>
    </x:row>
    <x:row r="416">
      <x:c r="A416" t="str">
        <x:v>ext-crm-fail-055</x:v>
      </x:c>
      <x:c r="B416" s="20" t="str">
        <x:v>What coverage type applies to this policy?</x:v>
      </x:c>
      <x:c r="C416" s="20" t="str">
        <x:v>The coverage type is Partial Coverage.</x:v>
      </x:c>
      <x:c r="D416" s="20" t="str">
        <x:f>IF(Reviewer_1!L416="","",Reviewer_1!L416)</x:f>
      </x:c>
      <x:c r="E416" s="20" t="str">
        <x:f>IF(Reviewer_2!L416="","",Reviewer_2!L416)</x:f>
      </x:c>
      <x:c r="F416" s="25"/>
      <x:c r="G416" s="20" t="str">
        <x:f>IF(Reviewer_1!M416="","",Reviewer_1!M416)</x:f>
      </x:c>
      <x:c r="H416" s="20" t="str">
        <x:f>IF(Reviewer_2!M416="","",Reviewer_2!M416)</x:f>
      </x:c>
      <x:c r="I416" s="25"/>
      <x:c r="J416" s="20" t="str">
        <x:f>IF(Reviewer_1!N416="","",Reviewer_1!N416)</x:f>
      </x:c>
      <x:c r="K416" s="20" t="str">
        <x:f>IF(Reviewer_2!N416="","",Reviewer_2!N416)</x:f>
      </x:c>
      <x:c r="L416" s="25"/>
      <x:c r="M416" s="25"/>
      <x:c r="N416" s="25"/>
      <x:c r="O416" s="20" t="str">
        <x:f>IF(OR(D416="",E416=""),"PENDING",IF(OR(D416&lt;&gt;E416,G416&lt;&gt;H416,J416&lt;&gt;K416),"CONFLICT","AGREE"))</x:f>
        <x:v>PENDING</x:v>
      </x:c>
    </x:row>
    <x:row r="417">
      <x:c r="A417" t="str">
        <x:v>ext-crm-fail-056</x:v>
      </x:c>
      <x:c r="B417" s="20" t="str">
        <x:v>What coverage type applies to this policy?</x:v>
      </x:c>
      <x:c r="C417" s="20" t="str">
        <x:v>The coverage type is Partial Coverage.</x:v>
      </x:c>
      <x:c r="D417" s="20" t="str">
        <x:f>IF(Reviewer_1!L417="","",Reviewer_1!L417)</x:f>
      </x:c>
      <x:c r="E417" s="20" t="str">
        <x:f>IF(Reviewer_2!L417="","",Reviewer_2!L417)</x:f>
      </x:c>
      <x:c r="F417" s="25"/>
      <x:c r="G417" s="20" t="str">
        <x:f>IF(Reviewer_1!M417="","",Reviewer_1!M417)</x:f>
      </x:c>
      <x:c r="H417" s="20" t="str">
        <x:f>IF(Reviewer_2!M417="","",Reviewer_2!M417)</x:f>
      </x:c>
      <x:c r="I417" s="25"/>
      <x:c r="J417" s="20" t="str">
        <x:f>IF(Reviewer_1!N417="","",Reviewer_1!N417)</x:f>
      </x:c>
      <x:c r="K417" s="20" t="str">
        <x:f>IF(Reviewer_2!N417="","",Reviewer_2!N417)</x:f>
      </x:c>
      <x:c r="L417" s="25"/>
      <x:c r="M417" s="25"/>
      <x:c r="N417" s="25"/>
      <x:c r="O417" s="20" t="str">
        <x:f>IF(OR(D417="",E417=""),"PENDING",IF(OR(D417&lt;&gt;E417,G417&lt;&gt;H417,J417&lt;&gt;K417),"CONFLICT","AGREE"))</x:f>
        <x:v>PENDING</x:v>
      </x:c>
    </x:row>
    <x:row r="418">
      <x:c r="A418" t="str">
        <x:v>ext-crm-fail-057</x:v>
      </x:c>
      <x:c r="B418" s="20" t="str">
        <x:v>What coverage type applies to this policy?</x:v>
      </x:c>
      <x:c r="C418" s="20" t="str">
        <x:v>The coverage type is Partial Coverage.</x:v>
      </x:c>
      <x:c r="D418" s="20" t="str">
        <x:f>IF(Reviewer_1!L418="","",Reviewer_1!L418)</x:f>
      </x:c>
      <x:c r="E418" s="20" t="str">
        <x:f>IF(Reviewer_2!L418="","",Reviewer_2!L418)</x:f>
      </x:c>
      <x:c r="F418" s="25"/>
      <x:c r="G418" s="20" t="str">
        <x:f>IF(Reviewer_1!M418="","",Reviewer_1!M418)</x:f>
      </x:c>
      <x:c r="H418" s="20" t="str">
        <x:f>IF(Reviewer_2!M418="","",Reviewer_2!M418)</x:f>
      </x:c>
      <x:c r="I418" s="25"/>
      <x:c r="J418" s="20" t="str">
        <x:f>IF(Reviewer_1!N418="","",Reviewer_1!N418)</x:f>
      </x:c>
      <x:c r="K418" s="20" t="str">
        <x:f>IF(Reviewer_2!N418="","",Reviewer_2!N418)</x:f>
      </x:c>
      <x:c r="L418" s="25"/>
      <x:c r="M418" s="25"/>
      <x:c r="N418" s="25"/>
      <x:c r="O418" s="20" t="str">
        <x:f>IF(OR(D418="",E418=""),"PENDING",IF(OR(D418&lt;&gt;E418,G418&lt;&gt;H418,J418&lt;&gt;K418),"CONFLICT","AGREE"))</x:f>
        <x:v>PENDING</x:v>
      </x:c>
    </x:row>
    <x:row r="419">
      <x:c r="A419" t="str">
        <x:v>ext-crm-fail-058</x:v>
      </x:c>
      <x:c r="B419" s="20" t="str">
        <x:v>What coverage type applies to this policy?</x:v>
      </x:c>
      <x:c r="C419" s="20" t="str">
        <x:v>The coverage type is Partial Coverage.</x:v>
      </x:c>
      <x:c r="D419" s="20" t="str">
        <x:f>IF(Reviewer_1!L419="","",Reviewer_1!L419)</x:f>
      </x:c>
      <x:c r="E419" s="20" t="str">
        <x:f>IF(Reviewer_2!L419="","",Reviewer_2!L419)</x:f>
      </x:c>
      <x:c r="F419" s="25"/>
      <x:c r="G419" s="20" t="str">
        <x:f>IF(Reviewer_1!M419="","",Reviewer_1!M419)</x:f>
      </x:c>
      <x:c r="H419" s="20" t="str">
        <x:f>IF(Reviewer_2!M419="","",Reviewer_2!M419)</x:f>
      </x:c>
      <x:c r="I419" s="25"/>
      <x:c r="J419" s="20" t="str">
        <x:f>IF(Reviewer_1!N419="","",Reviewer_1!N419)</x:f>
      </x:c>
      <x:c r="K419" s="20" t="str">
        <x:f>IF(Reviewer_2!N419="","",Reviewer_2!N419)</x:f>
      </x:c>
      <x:c r="L419" s="25"/>
      <x:c r="M419" s="25"/>
      <x:c r="N419" s="25"/>
      <x:c r="O419" s="20" t="str">
        <x:f>IF(OR(D419="",E419=""),"PENDING",IF(OR(D419&lt;&gt;E419,G419&lt;&gt;H419,J419&lt;&gt;K419),"CONFLICT","AGREE"))</x:f>
        <x:v>PENDING</x:v>
      </x:c>
    </x:row>
    <x:row r="420">
      <x:c r="A420" t="str">
        <x:v>ext-crm-fail-059</x:v>
      </x:c>
      <x:c r="B420" s="20" t="str">
        <x:v>What coverage type applies to this policy?</x:v>
      </x:c>
      <x:c r="C420" s="20" t="str">
        <x:v>The coverage type is Partial Coverage.</x:v>
      </x:c>
      <x:c r="D420" s="20" t="str">
        <x:f>IF(Reviewer_1!L420="","",Reviewer_1!L420)</x:f>
      </x:c>
      <x:c r="E420" s="20" t="str">
        <x:f>IF(Reviewer_2!L420="","",Reviewer_2!L420)</x:f>
      </x:c>
      <x:c r="F420" s="25"/>
      <x:c r="G420" s="20" t="str">
        <x:f>IF(Reviewer_1!M420="","",Reviewer_1!M420)</x:f>
      </x:c>
      <x:c r="H420" s="20" t="str">
        <x:f>IF(Reviewer_2!M420="","",Reviewer_2!M420)</x:f>
      </x:c>
      <x:c r="I420" s="25"/>
      <x:c r="J420" s="20" t="str">
        <x:f>IF(Reviewer_1!N420="","",Reviewer_1!N420)</x:f>
      </x:c>
      <x:c r="K420" s="20" t="str">
        <x:f>IF(Reviewer_2!N420="","",Reviewer_2!N420)</x:f>
      </x:c>
      <x:c r="L420" s="25"/>
      <x:c r="M420" s="25"/>
      <x:c r="N420" s="25"/>
      <x:c r="O420" s="20" t="str">
        <x:f>IF(OR(D420="",E420=""),"PENDING",IF(OR(D420&lt;&gt;E420,G420&lt;&gt;H420,J420&lt;&gt;K420),"CONFLICT","AGREE"))</x:f>
        <x:v>PENDING</x:v>
      </x:c>
    </x:row>
    <x:row r="421">
      <x:c r="A421" t="str">
        <x:v>ext-crm-fail-060</x:v>
      </x:c>
      <x:c r="B421" s="20" t="str">
        <x:v>What coverage type applies to this policy?</x:v>
      </x:c>
      <x:c r="C421" s="20" t="str">
        <x:v>The coverage type is Liability.</x:v>
      </x:c>
      <x:c r="D421" s="20" t="str">
        <x:f>IF(Reviewer_1!L421="","",Reviewer_1!L421)</x:f>
      </x:c>
      <x:c r="E421" s="20" t="str">
        <x:f>IF(Reviewer_2!L421="","",Reviewer_2!L421)</x:f>
      </x:c>
      <x:c r="F421" s="25"/>
      <x:c r="G421" s="20" t="str">
        <x:f>IF(Reviewer_1!M421="","",Reviewer_1!M421)</x:f>
      </x:c>
      <x:c r="H421" s="20" t="str">
        <x:f>IF(Reviewer_2!M421="","",Reviewer_2!M421)</x:f>
      </x:c>
      <x:c r="I421" s="25"/>
      <x:c r="J421" s="20" t="str">
        <x:f>IF(Reviewer_1!N421="","",Reviewer_1!N421)</x:f>
      </x:c>
      <x:c r="K421" s="20" t="str">
        <x:f>IF(Reviewer_2!N421="","",Reviewer_2!N421)</x:f>
      </x:c>
      <x:c r="L421" s="25"/>
      <x:c r="M421" s="25"/>
      <x:c r="N421" s="25"/>
      <x:c r="O421" s="20" t="str">
        <x:f>IF(OR(D421="",E421=""),"PENDING",IF(OR(D421&lt;&gt;E421,G421&lt;&gt;H421,J421&lt;&gt;K421),"CONFLICT","AGREE"))</x:f>
        <x:v>PENDING</x:v>
      </x:c>
    </x:row>
    <x:row r="422">
      <x:c r="A422" t="str">
        <x:v>ext-crm-fail-061</x:v>
      </x:c>
      <x:c r="B422" s="20" t="str">
        <x:v>What are the start and end dates of this policy?</x:v>
      </x:c>
      <x:c r="C422" s="20" t="str">
        <x:v>The policy runs from 2026-01-01 through 2026-12-31.</x:v>
      </x:c>
      <x:c r="D422" s="20" t="str">
        <x:f>IF(Reviewer_1!L422="","",Reviewer_1!L422)</x:f>
      </x:c>
      <x:c r="E422" s="20" t="str">
        <x:f>IF(Reviewer_2!L422="","",Reviewer_2!L422)</x:f>
      </x:c>
      <x:c r="F422" s="25"/>
      <x:c r="G422" s="20" t="str">
        <x:f>IF(Reviewer_1!M422="","",Reviewer_1!M422)</x:f>
      </x:c>
      <x:c r="H422" s="20" t="str">
        <x:f>IF(Reviewer_2!M422="","",Reviewer_2!M422)</x:f>
      </x:c>
      <x:c r="I422" s="25"/>
      <x:c r="J422" s="20" t="str">
        <x:f>IF(Reviewer_1!N422="","",Reviewer_1!N422)</x:f>
      </x:c>
      <x:c r="K422" s="20" t="str">
        <x:f>IF(Reviewer_2!N422="","",Reviewer_2!N422)</x:f>
      </x:c>
      <x:c r="L422" s="25"/>
      <x:c r="M422" s="25"/>
      <x:c r="N422" s="25"/>
      <x:c r="O422" s="20" t="str">
        <x:f>IF(OR(D422="",E422=""),"PENDING",IF(OR(D422&lt;&gt;E422,G422&lt;&gt;H422,J422&lt;&gt;K422),"CONFLICT","AGREE"))</x:f>
        <x:v>PENDING</x:v>
      </x:c>
    </x:row>
    <x:row r="423">
      <x:c r="A423" t="str">
        <x:v>ext-crm-fail-062</x:v>
      </x:c>
      <x:c r="B423" s="20" t="str">
        <x:v>What are the start and end dates of this policy?</x:v>
      </x:c>
      <x:c r="C423" s="20" t="str">
        <x:v>The policy runs from 2026-01-01 through 2026-12-31.</x:v>
      </x:c>
      <x:c r="D423" s="20" t="str">
        <x:f>IF(Reviewer_1!L423="","",Reviewer_1!L423)</x:f>
      </x:c>
      <x:c r="E423" s="20" t="str">
        <x:f>IF(Reviewer_2!L423="","",Reviewer_2!L423)</x:f>
      </x:c>
      <x:c r="F423" s="25"/>
      <x:c r="G423" s="20" t="str">
        <x:f>IF(Reviewer_1!M423="","",Reviewer_1!M423)</x:f>
      </x:c>
      <x:c r="H423" s="20" t="str">
        <x:f>IF(Reviewer_2!M423="","",Reviewer_2!M423)</x:f>
      </x:c>
      <x:c r="I423" s="25"/>
      <x:c r="J423" s="20" t="str">
        <x:f>IF(Reviewer_1!N423="","",Reviewer_1!N423)</x:f>
      </x:c>
      <x:c r="K423" s="20" t="str">
        <x:f>IF(Reviewer_2!N423="","",Reviewer_2!N423)</x:f>
      </x:c>
      <x:c r="L423" s="25"/>
      <x:c r="M423" s="25"/>
      <x:c r="N423" s="25"/>
      <x:c r="O423" s="20" t="str">
        <x:f>IF(OR(D423="",E423=""),"PENDING",IF(OR(D423&lt;&gt;E423,G423&lt;&gt;H423,J423&lt;&gt;K423),"CONFLICT","AGREE"))</x:f>
        <x:v>PENDING</x:v>
      </x:c>
    </x:row>
    <x:row r="424">
      <x:c r="A424" t="str">
        <x:v>ext-crm-fail-063</x:v>
      </x:c>
      <x:c r="B424" s="20" t="str">
        <x:v>What are the start and end dates of this policy?</x:v>
      </x:c>
      <x:c r="C424" s="20" t="str">
        <x:v>The policy runs from 2026-01-01 through 2026-12-31.</x:v>
      </x:c>
      <x:c r="D424" s="20" t="str">
        <x:f>IF(Reviewer_1!L424="","",Reviewer_1!L424)</x:f>
      </x:c>
      <x:c r="E424" s="20" t="str">
        <x:f>IF(Reviewer_2!L424="","",Reviewer_2!L424)</x:f>
      </x:c>
      <x:c r="F424" s="25"/>
      <x:c r="G424" s="20" t="str">
        <x:f>IF(Reviewer_1!M424="","",Reviewer_1!M424)</x:f>
      </x:c>
      <x:c r="H424" s="20" t="str">
        <x:f>IF(Reviewer_2!M424="","",Reviewer_2!M424)</x:f>
      </x:c>
      <x:c r="I424" s="25"/>
      <x:c r="J424" s="20" t="str">
        <x:f>IF(Reviewer_1!N424="","",Reviewer_1!N424)</x:f>
      </x:c>
      <x:c r="K424" s="20" t="str">
        <x:f>IF(Reviewer_2!N424="","",Reviewer_2!N424)</x:f>
      </x:c>
      <x:c r="L424" s="25"/>
      <x:c r="M424" s="25"/>
      <x:c r="N424" s="25"/>
      <x:c r="O424" s="20" t="str">
        <x:f>IF(OR(D424="",E424=""),"PENDING",IF(OR(D424&lt;&gt;E424,G424&lt;&gt;H424,J424&lt;&gt;K424),"CONFLICT","AGREE"))</x:f>
        <x:v>PENDING</x:v>
      </x:c>
    </x:row>
    <x:row r="425">
      <x:c r="A425" t="str">
        <x:v>ext-crm-fail-064</x:v>
      </x:c>
      <x:c r="B425" s="20" t="str">
        <x:v>What are the start and end dates of this policy?</x:v>
      </x:c>
      <x:c r="C425" s="20" t="str">
        <x:v>The policy runs from 2026-01-01 through 2026-12-31.</x:v>
      </x:c>
      <x:c r="D425" s="20" t="str">
        <x:f>IF(Reviewer_1!L425="","",Reviewer_1!L425)</x:f>
      </x:c>
      <x:c r="E425" s="20" t="str">
        <x:f>IF(Reviewer_2!L425="","",Reviewer_2!L425)</x:f>
      </x:c>
      <x:c r="F425" s="25"/>
      <x:c r="G425" s="20" t="str">
        <x:f>IF(Reviewer_1!M425="","",Reviewer_1!M425)</x:f>
      </x:c>
      <x:c r="H425" s="20" t="str">
        <x:f>IF(Reviewer_2!M425="","",Reviewer_2!M425)</x:f>
      </x:c>
      <x:c r="I425" s="25"/>
      <x:c r="J425" s="20" t="str">
        <x:f>IF(Reviewer_1!N425="","",Reviewer_1!N425)</x:f>
      </x:c>
      <x:c r="K425" s="20" t="str">
        <x:f>IF(Reviewer_2!N425="","",Reviewer_2!N425)</x:f>
      </x:c>
      <x:c r="L425" s="25"/>
      <x:c r="M425" s="25"/>
      <x:c r="N425" s="25"/>
      <x:c r="O425" s="20" t="str">
        <x:f>IF(OR(D425="",E425=""),"PENDING",IF(OR(D425&lt;&gt;E425,G425&lt;&gt;H425,J425&lt;&gt;K425),"CONFLICT","AGREE"))</x:f>
        <x:v>PENDING</x:v>
      </x:c>
    </x:row>
    <x:row r="426">
      <x:c r="A426" t="str">
        <x:v>ext-crm-fail-065</x:v>
      </x:c>
      <x:c r="B426" s="20" t="str">
        <x:v>What are the start and end dates of this policy?</x:v>
      </x:c>
      <x:c r="C426" s="20" t="str">
        <x:v>The policy runs from 2026-07-01 through 2027-06-30.</x:v>
      </x:c>
      <x:c r="D426" s="20" t="str">
        <x:f>IF(Reviewer_1!L426="","",Reviewer_1!L426)</x:f>
      </x:c>
      <x:c r="E426" s="20" t="str">
        <x:f>IF(Reviewer_2!L426="","",Reviewer_2!L426)</x:f>
      </x:c>
      <x:c r="F426" s="25"/>
      <x:c r="G426" s="20" t="str">
        <x:f>IF(Reviewer_1!M426="","",Reviewer_1!M426)</x:f>
      </x:c>
      <x:c r="H426" s="20" t="str">
        <x:f>IF(Reviewer_2!M426="","",Reviewer_2!M426)</x:f>
      </x:c>
      <x:c r="I426" s="25"/>
      <x:c r="J426" s="20" t="str">
        <x:f>IF(Reviewer_1!N426="","",Reviewer_1!N426)</x:f>
      </x:c>
      <x:c r="K426" s="20" t="str">
        <x:f>IF(Reviewer_2!N426="","",Reviewer_2!N426)</x:f>
      </x:c>
      <x:c r="L426" s="25"/>
      <x:c r="M426" s="25"/>
      <x:c r="N426" s="25"/>
      <x:c r="O426" s="20" t="str">
        <x:f>IF(OR(D426="",E426=""),"PENDING",IF(OR(D426&lt;&gt;E426,G426&lt;&gt;H426,J426&lt;&gt;K426),"CONFLICT","AGREE"))</x:f>
        <x:v>PENDING</x:v>
      </x:c>
    </x:row>
    <x:row r="427">
      <x:c r="A427" t="str">
        <x:v>ext-crm-fail-066</x:v>
      </x:c>
      <x:c r="B427" s="20" t="str">
        <x:v>What are the start and end dates of this policy?</x:v>
      </x:c>
      <x:c r="C427" s="20" t="str">
        <x:v>The policy runs from 2026-07-01 through 2027-06-30.</x:v>
      </x:c>
      <x:c r="D427" s="20" t="str">
        <x:f>IF(Reviewer_1!L427="","",Reviewer_1!L427)</x:f>
      </x:c>
      <x:c r="E427" s="20" t="str">
        <x:f>IF(Reviewer_2!L427="","",Reviewer_2!L427)</x:f>
      </x:c>
      <x:c r="F427" s="25"/>
      <x:c r="G427" s="20" t="str">
        <x:f>IF(Reviewer_1!M427="","",Reviewer_1!M427)</x:f>
      </x:c>
      <x:c r="H427" s="20" t="str">
        <x:f>IF(Reviewer_2!M427="","",Reviewer_2!M427)</x:f>
      </x:c>
      <x:c r="I427" s="25"/>
      <x:c r="J427" s="20" t="str">
        <x:f>IF(Reviewer_1!N427="","",Reviewer_1!N427)</x:f>
      </x:c>
      <x:c r="K427" s="20" t="str">
        <x:f>IF(Reviewer_2!N427="","",Reviewer_2!N427)</x:f>
      </x:c>
      <x:c r="L427" s="25"/>
      <x:c r="M427" s="25"/>
      <x:c r="N427" s="25"/>
      <x:c r="O427" s="20" t="str">
        <x:f>IF(OR(D427="",E427=""),"PENDING",IF(OR(D427&lt;&gt;E427,G427&lt;&gt;H427,J427&lt;&gt;K427),"CONFLICT","AGREE"))</x:f>
        <x:v>PENDING</x:v>
      </x:c>
    </x:row>
    <x:row r="428">
      <x:c r="A428" t="str">
        <x:v>ext-crm-fail-067</x:v>
      </x:c>
      <x:c r="B428" s="20" t="str">
        <x:v>What are the start and end dates of this policy?</x:v>
      </x:c>
      <x:c r="C428" s="20" t="str">
        <x:v>The policy runs from 2026-01-01 through 2026-12-31.</x:v>
      </x:c>
      <x:c r="D428" s="20" t="str">
        <x:f>IF(Reviewer_1!L428="","",Reviewer_1!L428)</x:f>
      </x:c>
      <x:c r="E428" s="20" t="str">
        <x:f>IF(Reviewer_2!L428="","",Reviewer_2!L428)</x:f>
      </x:c>
      <x:c r="F428" s="25"/>
      <x:c r="G428" s="20" t="str">
        <x:f>IF(Reviewer_1!M428="","",Reviewer_1!M428)</x:f>
      </x:c>
      <x:c r="H428" s="20" t="str">
        <x:f>IF(Reviewer_2!M428="","",Reviewer_2!M428)</x:f>
      </x:c>
      <x:c r="I428" s="25"/>
      <x:c r="J428" s="20" t="str">
        <x:f>IF(Reviewer_1!N428="","",Reviewer_1!N428)</x:f>
      </x:c>
      <x:c r="K428" s="20" t="str">
        <x:f>IF(Reviewer_2!N428="","",Reviewer_2!N428)</x:f>
      </x:c>
      <x:c r="L428" s="25"/>
      <x:c r="M428" s="25"/>
      <x:c r="N428" s="25"/>
      <x:c r="O428" s="20" t="str">
        <x:f>IF(OR(D428="",E428=""),"PENDING",IF(OR(D428&lt;&gt;E428,G428&lt;&gt;H428,J428&lt;&gt;K428),"CONFLICT","AGREE"))</x:f>
        <x:v>PENDING</x:v>
      </x:c>
    </x:row>
    <x:row r="429">
      <x:c r="A429" t="str">
        <x:v>ext-crm-fail-068</x:v>
      </x:c>
      <x:c r="B429" s="20" t="str">
        <x:v>What are the start and end dates of this policy?</x:v>
      </x:c>
      <x:c r="C429" s="20" t="str">
        <x:v>The policy runs from 2026-01-01 through 2026-12-31.</x:v>
      </x:c>
      <x:c r="D429" s="20" t="str">
        <x:f>IF(Reviewer_1!L429="","",Reviewer_1!L429)</x:f>
      </x:c>
      <x:c r="E429" s="20" t="str">
        <x:f>IF(Reviewer_2!L429="","",Reviewer_2!L429)</x:f>
      </x:c>
      <x:c r="F429" s="25"/>
      <x:c r="G429" s="20" t="str">
        <x:f>IF(Reviewer_1!M429="","",Reviewer_1!M429)</x:f>
      </x:c>
      <x:c r="H429" s="20" t="str">
        <x:f>IF(Reviewer_2!M429="","",Reviewer_2!M429)</x:f>
      </x:c>
      <x:c r="I429" s="25"/>
      <x:c r="J429" s="20" t="str">
        <x:f>IF(Reviewer_1!N429="","",Reviewer_1!N429)</x:f>
      </x:c>
      <x:c r="K429" s="20" t="str">
        <x:f>IF(Reviewer_2!N429="","",Reviewer_2!N429)</x:f>
      </x:c>
      <x:c r="L429" s="25"/>
      <x:c r="M429" s="25"/>
      <x:c r="N429" s="25"/>
      <x:c r="O429" s="20" t="str">
        <x:f>IF(OR(D429="",E429=""),"PENDING",IF(OR(D429&lt;&gt;E429,G429&lt;&gt;H429,J429&lt;&gt;K429),"CONFLICT","AGREE"))</x:f>
        <x:v>PENDING</x:v>
      </x:c>
    </x:row>
    <x:row r="430">
      <x:c r="A430" t="str">
        <x:v>ext-crm-fail-069</x:v>
      </x:c>
      <x:c r="B430" s="20" t="str">
        <x:v>What are the start and end dates of this policy?</x:v>
      </x:c>
      <x:c r="C430" s="20" t="str">
        <x:v>The policy runs from 2026-01-01 through 2026-12-31.</x:v>
      </x:c>
      <x:c r="D430" s="20" t="str">
        <x:f>IF(Reviewer_1!L430="","",Reviewer_1!L430)</x:f>
      </x:c>
      <x:c r="E430" s="20" t="str">
        <x:f>IF(Reviewer_2!L430="","",Reviewer_2!L430)</x:f>
      </x:c>
      <x:c r="F430" s="25"/>
      <x:c r="G430" s="20" t="str">
        <x:f>IF(Reviewer_1!M430="","",Reviewer_1!M430)</x:f>
      </x:c>
      <x:c r="H430" s="20" t="str">
        <x:f>IF(Reviewer_2!M430="","",Reviewer_2!M430)</x:f>
      </x:c>
      <x:c r="I430" s="25"/>
      <x:c r="J430" s="20" t="str">
        <x:f>IF(Reviewer_1!N430="","",Reviewer_1!N430)</x:f>
      </x:c>
      <x:c r="K430" s="20" t="str">
        <x:f>IF(Reviewer_2!N430="","",Reviewer_2!N430)</x:f>
      </x:c>
      <x:c r="L430" s="25"/>
      <x:c r="M430" s="25"/>
      <x:c r="N430" s="25"/>
      <x:c r="O430" s="20" t="str">
        <x:f>IF(OR(D430="",E430=""),"PENDING",IF(OR(D430&lt;&gt;E430,G430&lt;&gt;H430,J430&lt;&gt;K430),"CONFLICT","AGREE"))</x:f>
        <x:v>PENDING</x:v>
      </x:c>
    </x:row>
    <x:row r="431">
      <x:c r="A431" t="str">
        <x:v>ext-crm-fail-070</x:v>
      </x:c>
      <x:c r="B431" s="20" t="str">
        <x:v>What are the start and end dates of this policy?</x:v>
      </x:c>
      <x:c r="C431" s="20" t="str">
        <x:v>The policy runs from 2026-01-01 through 2026-12-31.</x:v>
      </x:c>
      <x:c r="D431" s="20" t="str">
        <x:f>IF(Reviewer_1!L431="","",Reviewer_1!L431)</x:f>
      </x:c>
      <x:c r="E431" s="20" t="str">
        <x:f>IF(Reviewer_2!L431="","",Reviewer_2!L431)</x:f>
      </x:c>
      <x:c r="F431" s="25"/>
      <x:c r="G431" s="20" t="str">
        <x:f>IF(Reviewer_1!M431="","",Reviewer_1!M431)</x:f>
      </x:c>
      <x:c r="H431" s="20" t="str">
        <x:f>IF(Reviewer_2!M431="","",Reviewer_2!M431)</x:f>
      </x:c>
      <x:c r="I431" s="25"/>
      <x:c r="J431" s="20" t="str">
        <x:f>IF(Reviewer_1!N431="","",Reviewer_1!N431)</x:f>
      </x:c>
      <x:c r="K431" s="20" t="str">
        <x:f>IF(Reviewer_2!N431="","",Reviewer_2!N431)</x:f>
      </x:c>
      <x:c r="L431" s="25"/>
      <x:c r="M431" s="25"/>
      <x:c r="N431" s="25"/>
      <x:c r="O431" s="20" t="str">
        <x:f>IF(OR(D431="",E431=""),"PENDING",IF(OR(D431&lt;&gt;E431,G431&lt;&gt;H431,J431&lt;&gt;K431),"CONFLICT","AGREE"))</x:f>
        <x:v>PENDING</x:v>
      </x:c>
    </x:row>
    <x:row r="432">
      <x:c r="A432" t="str">
        <x:v>ext-crm-fail-071</x:v>
      </x:c>
      <x:c r="B432" s="20" t="str">
        <x:v>Who holds this policy and what is its annual premium?</x:v>
      </x:c>
      <x:c r="C432" s="20" t="str">
        <x:v>Lara Neumann holds it, and the annual premium is 84 EUR.</x:v>
      </x:c>
      <x:c r="D432" s="20" t="str">
        <x:f>IF(Reviewer_1!L432="","",Reviewer_1!L432)</x:f>
      </x:c>
      <x:c r="E432" s="20" t="str">
        <x:f>IF(Reviewer_2!L432="","",Reviewer_2!L432)</x:f>
      </x:c>
      <x:c r="F432" s="25"/>
      <x:c r="G432" s="20" t="str">
        <x:f>IF(Reviewer_1!M432="","",Reviewer_1!M432)</x:f>
      </x:c>
      <x:c r="H432" s="20" t="str">
        <x:f>IF(Reviewer_2!M432="","",Reviewer_2!M432)</x:f>
      </x:c>
      <x:c r="I432" s="25"/>
      <x:c r="J432" s="20" t="str">
        <x:f>IF(Reviewer_1!N432="","",Reviewer_1!N432)</x:f>
      </x:c>
      <x:c r="K432" s="20" t="str">
        <x:f>IF(Reviewer_2!N432="","",Reviewer_2!N432)</x:f>
      </x:c>
      <x:c r="L432" s="25"/>
      <x:c r="M432" s="25"/>
      <x:c r="N432" s="25"/>
      <x:c r="O432" s="20" t="str">
        <x:f>IF(OR(D432="",E432=""),"PENDING",IF(OR(D432&lt;&gt;E432,G432&lt;&gt;H432,J432&lt;&gt;K432),"CONFLICT","AGREE"))</x:f>
        <x:v>PENDING</x:v>
      </x:c>
    </x:row>
    <x:row r="433">
      <x:c r="A433" t="str">
        <x:v>ext-crm-fail-072</x:v>
      </x:c>
      <x:c r="B433" s="20" t="str">
        <x:v>Who holds this policy and what is its annual premium?</x:v>
      </x:c>
      <x:c r="C433" s="20" t="str">
        <x:v>Lara Neumann holds it, and the annual premium is 520 EUR.</x:v>
      </x:c>
      <x:c r="D433" s="20" t="str">
        <x:f>IF(Reviewer_1!L433="","",Reviewer_1!L433)</x:f>
      </x:c>
      <x:c r="E433" s="20" t="str">
        <x:f>IF(Reviewer_2!L433="","",Reviewer_2!L433)</x:f>
      </x:c>
      <x:c r="F433" s="25"/>
      <x:c r="G433" s="20" t="str">
        <x:f>IF(Reviewer_1!M433="","",Reviewer_1!M433)</x:f>
      </x:c>
      <x:c r="H433" s="20" t="str">
        <x:f>IF(Reviewer_2!M433="","",Reviewer_2!M433)</x:f>
      </x:c>
      <x:c r="I433" s="25"/>
      <x:c r="J433" s="20" t="str">
        <x:f>IF(Reviewer_1!N433="","",Reviewer_1!N433)</x:f>
      </x:c>
      <x:c r="K433" s="20" t="str">
        <x:f>IF(Reviewer_2!N433="","",Reviewer_2!N433)</x:f>
      </x:c>
      <x:c r="L433" s="25"/>
      <x:c r="M433" s="25"/>
      <x:c r="N433" s="25"/>
      <x:c r="O433" s="20" t="str">
        <x:f>IF(OR(D433="",E433=""),"PENDING",IF(OR(D433&lt;&gt;E433,G433&lt;&gt;H433,J433&lt;&gt;K433),"CONFLICT","AGREE"))</x:f>
        <x:v>PENDING</x:v>
      </x:c>
    </x:row>
    <x:row r="434">
      <x:c r="A434" t="str">
        <x:v>ext-crm-fail-073</x:v>
      </x:c>
      <x:c r="B434" s="20" t="str">
        <x:v>Who holds this policy and what is its annual premium?</x:v>
      </x:c>
      <x:c r="C434" s="20" t="str">
        <x:v>Lara Neumann holds it, and the annual premium is 195 EUR.</x:v>
      </x:c>
      <x:c r="D434" s="20" t="str">
        <x:f>IF(Reviewer_1!L434="","",Reviewer_1!L434)</x:f>
      </x:c>
      <x:c r="E434" s="20" t="str">
        <x:f>IF(Reviewer_2!L434="","",Reviewer_2!L434)</x:f>
      </x:c>
      <x:c r="F434" s="25"/>
      <x:c r="G434" s="20" t="str">
        <x:f>IF(Reviewer_1!M434="","",Reviewer_1!M434)</x:f>
      </x:c>
      <x:c r="H434" s="20" t="str">
        <x:f>IF(Reviewer_2!M434="","",Reviewer_2!M434)</x:f>
      </x:c>
      <x:c r="I434" s="25"/>
      <x:c r="J434" s="20" t="str">
        <x:f>IF(Reviewer_1!N434="","",Reviewer_1!N434)</x:f>
      </x:c>
      <x:c r="K434" s="20" t="str">
        <x:f>IF(Reviewer_2!N434="","",Reviewer_2!N434)</x:f>
      </x:c>
      <x:c r="L434" s="25"/>
      <x:c r="M434" s="25"/>
      <x:c r="N434" s="25"/>
      <x:c r="O434" s="20" t="str">
        <x:f>IF(OR(D434="",E434=""),"PENDING",IF(OR(D434&lt;&gt;E434,G434&lt;&gt;H434,J434&lt;&gt;K434),"CONFLICT","AGREE"))</x:f>
        <x:v>PENDING</x:v>
      </x:c>
    </x:row>
    <x:row r="435">
      <x:c r="A435" t="str">
        <x:v>ext-crm-fail-074</x:v>
      </x:c>
      <x:c r="B435" s="20" t="str">
        <x:v>Who holds this policy and what is its annual premium?</x:v>
      </x:c>
      <x:c r="C435" s="20" t="str">
        <x:v>Lara Neumann holds it, and the annual premium is 260 EUR.</x:v>
      </x:c>
      <x:c r="D435" s="20" t="str">
        <x:f>IF(Reviewer_1!L435="","",Reviewer_1!L435)</x:f>
      </x:c>
      <x:c r="E435" s="20" t="str">
        <x:f>IF(Reviewer_2!L435="","",Reviewer_2!L435)</x:f>
      </x:c>
      <x:c r="F435" s="25"/>
      <x:c r="G435" s="20" t="str">
        <x:f>IF(Reviewer_1!M435="","",Reviewer_1!M435)</x:f>
      </x:c>
      <x:c r="H435" s="20" t="str">
        <x:f>IF(Reviewer_2!M435="","",Reviewer_2!M435)</x:f>
      </x:c>
      <x:c r="I435" s="25"/>
      <x:c r="J435" s="20" t="str">
        <x:f>IF(Reviewer_1!N435="","",Reviewer_1!N435)</x:f>
      </x:c>
      <x:c r="K435" s="20" t="str">
        <x:f>IF(Reviewer_2!N435="","",Reviewer_2!N435)</x:f>
      </x:c>
      <x:c r="L435" s="25"/>
      <x:c r="M435" s="25"/>
      <x:c r="N435" s="25"/>
      <x:c r="O435" s="20" t="str">
        <x:f>IF(OR(D435="",E435=""),"PENDING",IF(OR(D435&lt;&gt;E435,G435&lt;&gt;H435,J435&lt;&gt;K435),"CONFLICT","AGREE"))</x:f>
        <x:v>PENDING</x:v>
      </x:c>
    </x:row>
    <x:row r="436">
      <x:c r="A436" t="str">
        <x:v>ext-crm-fail-075</x:v>
      </x:c>
      <x:c r="B436" s="20" t="str">
        <x:v>Who holds this policy and what is its annual premium?</x:v>
      </x:c>
      <x:c r="C436" s="20" t="str">
        <x:v>Lara Neumann holds it, and the annual premium is 102 EUR.</x:v>
      </x:c>
      <x:c r="D436" s="20" t="str">
        <x:f>IF(Reviewer_1!L436="","",Reviewer_1!L436)</x:f>
      </x:c>
      <x:c r="E436" s="20" t="str">
        <x:f>IF(Reviewer_2!L436="","",Reviewer_2!L436)</x:f>
      </x:c>
      <x:c r="F436" s="25"/>
      <x:c r="G436" s="20" t="str">
        <x:f>IF(Reviewer_1!M436="","",Reviewer_1!M436)</x:f>
      </x:c>
      <x:c r="H436" s="20" t="str">
        <x:f>IF(Reviewer_2!M436="","",Reviewer_2!M436)</x:f>
      </x:c>
      <x:c r="I436" s="25"/>
      <x:c r="J436" s="20" t="str">
        <x:f>IF(Reviewer_1!N436="","",Reviewer_1!N436)</x:f>
      </x:c>
      <x:c r="K436" s="20" t="str">
        <x:f>IF(Reviewer_2!N436="","",Reviewer_2!N436)</x:f>
      </x:c>
      <x:c r="L436" s="25"/>
      <x:c r="M436" s="25"/>
      <x:c r="N436" s="25"/>
      <x:c r="O436" s="20" t="str">
        <x:f>IF(OR(D436="",E436=""),"PENDING",IF(OR(D436&lt;&gt;E436,G436&lt;&gt;H436,J436&lt;&gt;K436),"CONFLICT","AGREE"))</x:f>
        <x:v>PENDING</x:v>
      </x:c>
    </x:row>
    <x:row r="437">
      <x:c r="A437" t="str">
        <x:v>ext-crm-fail-076</x:v>
      </x:c>
      <x:c r="B437" s="20" t="str">
        <x:v>Who holds this policy and what is its annual premium?</x:v>
      </x:c>
      <x:c r="C437" s="20" t="str">
        <x:v>Lara Neumann holds it, and the annual premium is 735 EUR.</x:v>
      </x:c>
      <x:c r="D437" s="20" t="str">
        <x:f>IF(Reviewer_1!L437="","",Reviewer_1!L437)</x:f>
      </x:c>
      <x:c r="E437" s="20" t="str">
        <x:f>IF(Reviewer_2!L437="","",Reviewer_2!L437)</x:f>
      </x:c>
      <x:c r="F437" s="25"/>
      <x:c r="G437" s="20" t="str">
        <x:f>IF(Reviewer_1!M437="","",Reviewer_1!M437)</x:f>
      </x:c>
      <x:c r="H437" s="20" t="str">
        <x:f>IF(Reviewer_2!M437="","",Reviewer_2!M437)</x:f>
      </x:c>
      <x:c r="I437" s="25"/>
      <x:c r="J437" s="20" t="str">
        <x:f>IF(Reviewer_1!N437="","",Reviewer_1!N437)</x:f>
      </x:c>
      <x:c r="K437" s="20" t="str">
        <x:f>IF(Reviewer_2!N437="","",Reviewer_2!N437)</x:f>
      </x:c>
      <x:c r="L437" s="25"/>
      <x:c r="M437" s="25"/>
      <x:c r="N437" s="25"/>
      <x:c r="O437" s="20" t="str">
        <x:f>IF(OR(D437="",E437=""),"PENDING",IF(OR(D437&lt;&gt;E437,G437&lt;&gt;H437,J437&lt;&gt;K437),"CONFLICT","AGREE"))</x:f>
        <x:v>PENDING</x:v>
      </x:c>
    </x:row>
    <x:row r="438">
      <x:c r="A438" t="str">
        <x:v>ext-crm-fail-077</x:v>
      </x:c>
      <x:c r="B438" s="20" t="str">
        <x:v>Who holds this policy and what is its annual premium?</x:v>
      </x:c>
      <x:c r="C438" s="20" t="str">
        <x:v>Lara Neumann holds it, and the annual premium is 310 EUR.</x:v>
      </x:c>
      <x:c r="D438" s="20" t="str">
        <x:f>IF(Reviewer_1!L438="","",Reviewer_1!L438)</x:f>
      </x:c>
      <x:c r="E438" s="20" t="str">
        <x:f>IF(Reviewer_2!L438="","",Reviewer_2!L438)</x:f>
      </x:c>
      <x:c r="F438" s="25"/>
      <x:c r="G438" s="20" t="str">
        <x:f>IF(Reviewer_1!M438="","",Reviewer_1!M438)</x:f>
      </x:c>
      <x:c r="H438" s="20" t="str">
        <x:f>IF(Reviewer_2!M438="","",Reviewer_2!M438)</x:f>
      </x:c>
      <x:c r="I438" s="25"/>
      <x:c r="J438" s="20" t="str">
        <x:f>IF(Reviewer_1!N438="","",Reviewer_1!N438)</x:f>
      </x:c>
      <x:c r="K438" s="20" t="str">
        <x:f>IF(Reviewer_2!N438="","",Reviewer_2!N438)</x:f>
      </x:c>
      <x:c r="L438" s="25"/>
      <x:c r="M438" s="25"/>
      <x:c r="N438" s="25"/>
      <x:c r="O438" s="20" t="str">
        <x:f>IF(OR(D438="",E438=""),"PENDING",IF(OR(D438&lt;&gt;E438,G438&lt;&gt;H438,J438&lt;&gt;K438),"CONFLICT","AGREE"))</x:f>
        <x:v>PENDING</x:v>
      </x:c>
    </x:row>
    <x:row r="439">
      <x:c r="A439" t="str">
        <x:v>ext-crm-fail-078</x:v>
      </x:c>
      <x:c r="B439" s="20" t="str">
        <x:v>Who holds this policy and what is its annual premium?</x:v>
      </x:c>
      <x:c r="C439" s="20" t="str">
        <x:v>Lara Neumann holds it, and the annual premium is 225 EUR.</x:v>
      </x:c>
      <x:c r="D439" s="20" t="str">
        <x:f>IF(Reviewer_1!L439="","",Reviewer_1!L439)</x:f>
      </x:c>
      <x:c r="E439" s="20" t="str">
        <x:f>IF(Reviewer_2!L439="","",Reviewer_2!L439)</x:f>
      </x:c>
      <x:c r="F439" s="25"/>
      <x:c r="G439" s="20" t="str">
        <x:f>IF(Reviewer_1!M439="","",Reviewer_1!M439)</x:f>
      </x:c>
      <x:c r="H439" s="20" t="str">
        <x:f>IF(Reviewer_2!M439="","",Reviewer_2!M439)</x:f>
      </x:c>
      <x:c r="I439" s="25"/>
      <x:c r="J439" s="20" t="str">
        <x:f>IF(Reviewer_1!N439="","",Reviewer_1!N439)</x:f>
      </x:c>
      <x:c r="K439" s="20" t="str">
        <x:f>IF(Reviewer_2!N439="","",Reviewer_2!N439)</x:f>
      </x:c>
      <x:c r="L439" s="25"/>
      <x:c r="M439" s="25"/>
      <x:c r="N439" s="25"/>
      <x:c r="O439" s="20" t="str">
        <x:f>IF(OR(D439="",E439=""),"PENDING",IF(OR(D439&lt;&gt;E439,G439&lt;&gt;H439,J439&lt;&gt;K439),"CONFLICT","AGREE"))</x:f>
        <x:v>PENDING</x:v>
      </x:c>
    </x:row>
    <x:row r="440">
      <x:c r="A440" t="str">
        <x:v>ext-crm-fail-079</x:v>
      </x:c>
      <x:c r="B440" s="20" t="str">
        <x:v>Who holds this policy and what is its annual premium?</x:v>
      </x:c>
      <x:c r="C440" s="20" t="str">
        <x:v>Lara Neumann holds it, and the annual premium is 1290 EUR.</x:v>
      </x:c>
      <x:c r="D440" s="20" t="str">
        <x:f>IF(Reviewer_1!L440="","",Reviewer_1!L440)</x:f>
      </x:c>
      <x:c r="E440" s="20" t="str">
        <x:f>IF(Reviewer_2!L440="","",Reviewer_2!L440)</x:f>
      </x:c>
      <x:c r="F440" s="25"/>
      <x:c r="G440" s="20" t="str">
        <x:f>IF(Reviewer_1!M440="","",Reviewer_1!M440)</x:f>
      </x:c>
      <x:c r="H440" s="20" t="str">
        <x:f>IF(Reviewer_2!M440="","",Reviewer_2!M440)</x:f>
      </x:c>
      <x:c r="I440" s="25"/>
      <x:c r="J440" s="20" t="str">
        <x:f>IF(Reviewer_1!N440="","",Reviewer_1!N440)</x:f>
      </x:c>
      <x:c r="K440" s="20" t="str">
        <x:f>IF(Reviewer_2!N440="","",Reviewer_2!N440)</x:f>
      </x:c>
      <x:c r="L440" s="25"/>
      <x:c r="M440" s="25"/>
      <x:c r="N440" s="25"/>
      <x:c r="O440" s="20" t="str">
        <x:f>IF(OR(D440="",E440=""),"PENDING",IF(OR(D440&lt;&gt;E440,G440&lt;&gt;H440,J440&lt;&gt;K440),"CONFLICT","AGREE"))</x:f>
        <x:v>PENDING</x:v>
      </x:c>
    </x:row>
    <x:row r="441">
      <x:c r="A441" t="str">
        <x:v>ext-crm-fail-080</x:v>
      </x:c>
      <x:c r="B441" s="20" t="str">
        <x:v>Who holds this policy and what is its annual premium?</x:v>
      </x:c>
      <x:c r="C441" s="20" t="str">
        <x:v>Lara Neumann holds it, and the annual premium is 108 EUR.</x:v>
      </x:c>
      <x:c r="D441" s="20" t="str">
        <x:f>IF(Reviewer_1!L441="","",Reviewer_1!L441)</x:f>
      </x:c>
      <x:c r="E441" s="20" t="str">
        <x:f>IF(Reviewer_2!L441="","",Reviewer_2!L441)</x:f>
      </x:c>
      <x:c r="F441" s="25"/>
      <x:c r="G441" s="20" t="str">
        <x:f>IF(Reviewer_1!M441="","",Reviewer_1!M441)</x:f>
      </x:c>
      <x:c r="H441" s="20" t="str">
        <x:f>IF(Reviewer_2!M441="","",Reviewer_2!M441)</x:f>
      </x:c>
      <x:c r="I441" s="25"/>
      <x:c r="J441" s="20" t="str">
        <x:f>IF(Reviewer_1!N441="","",Reviewer_1!N441)</x:f>
      </x:c>
      <x:c r="K441" s="20" t="str">
        <x:f>IF(Reviewer_2!N441="","",Reviewer_2!N441)</x:f>
      </x:c>
      <x:c r="L441" s="25"/>
      <x:c r="M441" s="25"/>
      <x:c r="N441" s="25"/>
      <x:c r="O441" s="20" t="str">
        <x:f>IF(OR(D441="",E441=""),"PENDING",IF(OR(D441&lt;&gt;E441,G441&lt;&gt;H441,J441&lt;&gt;K441),"CONFLICT","AGREE"))</x:f>
        <x:v>PENDING</x:v>
      </x:c>
    </x:row>
    <x:row r="442">
      <x:c r="A442" t="str">
        <x:v>ext-crm-fail-081</x:v>
      </x:c>
      <x:c r="B442" s="20" t="str">
        <x:v>Which policy has the annual premium shown in the context?</x:v>
      </x:c>
      <x:c r="C442" s="20" t="str">
        <x:v>The annual premium of 684 EUR belongs to policy TEST-PHV-2026-1002.</x:v>
      </x:c>
      <x:c r="D442" s="20" t="str">
        <x:f>IF(Reviewer_1!L442="","",Reviewer_1!L442)</x:f>
      </x:c>
      <x:c r="E442" s="20" t="str">
        <x:f>IF(Reviewer_2!L442="","",Reviewer_2!L442)</x:f>
      </x:c>
      <x:c r="F442" s="25"/>
      <x:c r="G442" s="20" t="str">
        <x:f>IF(Reviewer_1!M442="","",Reviewer_1!M442)</x:f>
      </x:c>
      <x:c r="H442" s="20" t="str">
        <x:f>IF(Reviewer_2!M442="","",Reviewer_2!M442)</x:f>
      </x:c>
      <x:c r="I442" s="25"/>
      <x:c r="J442" s="20" t="str">
        <x:f>IF(Reviewer_1!N442="","",Reviewer_1!N442)</x:f>
      </x:c>
      <x:c r="K442" s="20" t="str">
        <x:f>IF(Reviewer_2!N442="","",Reviewer_2!N442)</x:f>
      </x:c>
      <x:c r="L442" s="25"/>
      <x:c r="M442" s="25"/>
      <x:c r="N442" s="25"/>
      <x:c r="O442" s="20" t="str">
        <x:f>IF(OR(D442="",E442=""),"PENDING",IF(OR(D442&lt;&gt;E442,G442&lt;&gt;H442,J442&lt;&gt;K442),"CONFLICT","AGREE"))</x:f>
        <x:v>PENDING</x:v>
      </x:c>
    </x:row>
    <x:row r="443">
      <x:c r="A443" t="str">
        <x:v>ext-crm-fail-082</x:v>
      </x:c>
      <x:c r="B443" s="20" t="str">
        <x:v>Which policy has the annual premium shown in the context?</x:v>
      </x:c>
      <x:c r="C443" s="20" t="str">
        <x:v>The annual premium of 96 EUR belongs to policy TEST-KFZ-2026-1001.</x:v>
      </x:c>
      <x:c r="D443" s="20" t="str">
        <x:f>IF(Reviewer_1!L443="","",Reviewer_1!L443)</x:f>
      </x:c>
      <x:c r="E443" s="20" t="str">
        <x:f>IF(Reviewer_2!L443="","",Reviewer_2!L443)</x:f>
      </x:c>
      <x:c r="F443" s="25"/>
      <x:c r="G443" s="20" t="str">
        <x:f>IF(Reviewer_1!M443="","",Reviewer_1!M443)</x:f>
      </x:c>
      <x:c r="H443" s="20" t="str">
        <x:f>IF(Reviewer_2!M443="","",Reviewer_2!M443)</x:f>
      </x:c>
      <x:c r="I443" s="25"/>
      <x:c r="J443" s="20" t="str">
        <x:f>IF(Reviewer_1!N443="","",Reviewer_1!N443)</x:f>
      </x:c>
      <x:c r="K443" s="20" t="str">
        <x:f>IF(Reviewer_2!N443="","",Reviewer_2!N443)</x:f>
      </x:c>
      <x:c r="L443" s="25"/>
      <x:c r="M443" s="25"/>
      <x:c r="N443" s="25"/>
      <x:c r="O443" s="20" t="str">
        <x:f>IF(OR(D443="",E443=""),"PENDING",IF(OR(D443&lt;&gt;E443,G443&lt;&gt;H443,J443&lt;&gt;K443),"CONFLICT","AGREE"))</x:f>
        <x:v>PENDING</x:v>
      </x:c>
    </x:row>
    <x:row r="444">
      <x:c r="A444" t="str">
        <x:v>ext-crm-fail-083</x:v>
      </x:c>
      <x:c r="B444" s="20" t="str">
        <x:v>Which policy has the annual premium shown in the context?</x:v>
      </x:c>
      <x:c r="C444" s="20" t="str">
        <x:v>The annual premium of 720 EUR belongs to policy TEST-KFZ-2026-1001.</x:v>
      </x:c>
      <x:c r="D444" s="20" t="str">
        <x:f>IF(Reviewer_1!L444="","",Reviewer_1!L444)</x:f>
      </x:c>
      <x:c r="E444" s="20" t="str">
        <x:f>IF(Reviewer_2!L444="","",Reviewer_2!L444)</x:f>
      </x:c>
      <x:c r="F444" s="25"/>
      <x:c r="G444" s="20" t="str">
        <x:f>IF(Reviewer_1!M444="","",Reviewer_1!M444)</x:f>
      </x:c>
      <x:c r="H444" s="20" t="str">
        <x:f>IF(Reviewer_2!M444="","",Reviewer_2!M444)</x:f>
      </x:c>
      <x:c r="I444" s="25"/>
      <x:c r="J444" s="20" t="str">
        <x:f>IF(Reviewer_1!N444="","",Reviewer_1!N444)</x:f>
      </x:c>
      <x:c r="K444" s="20" t="str">
        <x:f>IF(Reviewer_2!N444="","",Reviewer_2!N444)</x:f>
      </x:c>
      <x:c r="L444" s="25"/>
      <x:c r="M444" s="25"/>
      <x:c r="N444" s="25"/>
      <x:c r="O444" s="20" t="str">
        <x:f>IF(OR(D444="",E444=""),"PENDING",IF(OR(D444&lt;&gt;E444,G444&lt;&gt;H444,J444&lt;&gt;K444),"CONFLICT","AGREE"))</x:f>
        <x:v>PENDING</x:v>
      </x:c>
    </x:row>
    <x:row r="445">
      <x:c r="A445" t="str">
        <x:v>ext-crm-fail-084</x:v>
      </x:c>
      <x:c r="B445" s="20" t="str">
        <x:v>Which policy has the annual premium shown in the context?</x:v>
      </x:c>
      <x:c r="C445" s="20" t="str">
        <x:v>The annual premium of 1120 EUR belongs to policy TEST-KFZ-2026-1001.</x:v>
      </x:c>
      <x:c r="D445" s="20" t="str">
        <x:f>IF(Reviewer_1!L445="","",Reviewer_1!L445)</x:f>
      </x:c>
      <x:c r="E445" s="20" t="str">
        <x:f>IF(Reviewer_2!L445="","",Reviewer_2!L445)</x:f>
      </x:c>
      <x:c r="F445" s="25"/>
      <x:c r="G445" s="20" t="str">
        <x:f>IF(Reviewer_1!M445="","",Reviewer_1!M445)</x:f>
      </x:c>
      <x:c r="H445" s="20" t="str">
        <x:f>IF(Reviewer_2!M445="","",Reviewer_2!M445)</x:f>
      </x:c>
      <x:c r="I445" s="25"/>
      <x:c r="J445" s="20" t="str">
        <x:f>IF(Reviewer_1!N445="","",Reviewer_1!N445)</x:f>
      </x:c>
      <x:c r="K445" s="20" t="str">
        <x:f>IF(Reviewer_2!N445="","",Reviewer_2!N445)</x:f>
      </x:c>
      <x:c r="L445" s="25"/>
      <x:c r="M445" s="25"/>
      <x:c r="N445" s="25"/>
      <x:c r="O445" s="20" t="str">
        <x:f>IF(OR(D445="",E445=""),"PENDING",IF(OR(D445&lt;&gt;E445,G445&lt;&gt;H445,J445&lt;&gt;K445),"CONFLICT","AGREE"))</x:f>
        <x:v>PENDING</x:v>
      </x:c>
    </x:row>
    <x:row r="446">
      <x:c r="A446" t="str">
        <x:v>ext-crm-fail-085</x:v>
      </x:c>
      <x:c r="B446" s="20" t="str">
        <x:v>Which policy has the annual premium shown in the context?</x:v>
      </x:c>
      <x:c r="C446" s="20" t="str">
        <x:v>The annual premium of 210 EUR belongs to policy TEST-KFZ-2026-1001.</x:v>
      </x:c>
      <x:c r="D446" s="20" t="str">
        <x:f>IF(Reviewer_1!L446="","",Reviewer_1!L446)</x:f>
      </x:c>
      <x:c r="E446" s="20" t="str">
        <x:f>IF(Reviewer_2!L446="","",Reviewer_2!L446)</x:f>
      </x:c>
      <x:c r="F446" s="25"/>
      <x:c r="G446" s="20" t="str">
        <x:f>IF(Reviewer_1!M446="","",Reviewer_1!M446)</x:f>
      </x:c>
      <x:c r="H446" s="20" t="str">
        <x:f>IF(Reviewer_2!M446="","",Reviewer_2!M446)</x:f>
      </x:c>
      <x:c r="I446" s="25"/>
      <x:c r="J446" s="20" t="str">
        <x:f>IF(Reviewer_1!N446="","",Reviewer_1!N446)</x:f>
      </x:c>
      <x:c r="K446" s="20" t="str">
        <x:f>IF(Reviewer_2!N446="","",Reviewer_2!N446)</x:f>
      </x:c>
      <x:c r="L446" s="25"/>
      <x:c r="M446" s="25"/>
      <x:c r="N446" s="25"/>
      <x:c r="O446" s="20" t="str">
        <x:f>IF(OR(D446="",E446=""),"PENDING",IF(OR(D446&lt;&gt;E446,G446&lt;&gt;H446,J446&lt;&gt;K446),"CONFLICT","AGREE"))</x:f>
        <x:v>PENDING</x:v>
      </x:c>
    </x:row>
    <x:row r="447">
      <x:c r="A447" t="str">
        <x:v>ext-crm-fail-086</x:v>
      </x:c>
      <x:c r="B447" s="20" t="str">
        <x:v>Which policy has the annual premium shown in the context?</x:v>
      </x:c>
      <x:c r="C447" s="20" t="str">
        <x:v>The annual premium of 280 EUR belongs to policy TEST-KFZ-2026-1001.</x:v>
      </x:c>
      <x:c r="D447" s="20" t="str">
        <x:f>IF(Reviewer_1!L447="","",Reviewer_1!L447)</x:f>
      </x:c>
      <x:c r="E447" s="20" t="str">
        <x:f>IF(Reviewer_2!L447="","",Reviewer_2!L447)</x:f>
      </x:c>
      <x:c r="F447" s="25"/>
      <x:c r="G447" s="20" t="str">
        <x:f>IF(Reviewer_1!M447="","",Reviewer_1!M447)</x:f>
      </x:c>
      <x:c r="H447" s="20" t="str">
        <x:f>IF(Reviewer_2!M447="","",Reviewer_2!M447)</x:f>
      </x:c>
      <x:c r="I447" s="25"/>
      <x:c r="J447" s="20" t="str">
        <x:f>IF(Reviewer_1!N447="","",Reviewer_1!N447)</x:f>
      </x:c>
      <x:c r="K447" s="20" t="str">
        <x:f>IF(Reviewer_2!N447="","",Reviewer_2!N447)</x:f>
      </x:c>
      <x:c r="L447" s="25"/>
      <x:c r="M447" s="25"/>
      <x:c r="N447" s="25"/>
      <x:c r="O447" s="20" t="str">
        <x:f>IF(OR(D447="",E447=""),"PENDING",IF(OR(D447&lt;&gt;E447,G447&lt;&gt;H447,J447&lt;&gt;K447),"CONFLICT","AGREE"))</x:f>
        <x:v>PENDING</x:v>
      </x:c>
    </x:row>
    <x:row r="448">
      <x:c r="A448" t="str">
        <x:v>ext-crm-fail-087</x:v>
      </x:c>
      <x:c r="B448" s="20" t="str">
        <x:v>Which policy has the annual premium shown in the context?</x:v>
      </x:c>
      <x:c r="C448" s="20" t="str">
        <x:v>The annual premium of 84 EUR belongs to policy TEST-KFZ-2026-1001.</x:v>
      </x:c>
      <x:c r="D448" s="20" t="str">
        <x:f>IF(Reviewer_1!L448="","",Reviewer_1!L448)</x:f>
      </x:c>
      <x:c r="E448" s="20" t="str">
        <x:f>IF(Reviewer_2!L448="","",Reviewer_2!L448)</x:f>
      </x:c>
      <x:c r="F448" s="25"/>
      <x:c r="G448" s="20" t="str">
        <x:f>IF(Reviewer_1!M448="","",Reviewer_1!M448)</x:f>
      </x:c>
      <x:c r="H448" s="20" t="str">
        <x:f>IF(Reviewer_2!M448="","",Reviewer_2!M448)</x:f>
      </x:c>
      <x:c r="I448" s="25"/>
      <x:c r="J448" s="20" t="str">
        <x:f>IF(Reviewer_1!N448="","",Reviewer_1!N448)</x:f>
      </x:c>
      <x:c r="K448" s="20" t="str">
        <x:f>IF(Reviewer_2!N448="","",Reviewer_2!N448)</x:f>
      </x:c>
      <x:c r="L448" s="25"/>
      <x:c r="M448" s="25"/>
      <x:c r="N448" s="25"/>
      <x:c r="O448" s="20" t="str">
        <x:f>IF(OR(D448="",E448=""),"PENDING",IF(OR(D448&lt;&gt;E448,G448&lt;&gt;H448,J448&lt;&gt;K448),"CONFLICT","AGREE"))</x:f>
        <x:v>PENDING</x:v>
      </x:c>
    </x:row>
    <x:row r="449">
      <x:c r="A449" t="str">
        <x:v>ext-crm-fail-088</x:v>
      </x:c>
      <x:c r="B449" s="20" t="str">
        <x:v>Which policy has the annual premium shown in the context?</x:v>
      </x:c>
      <x:c r="C449" s="20" t="str">
        <x:v>The annual premium of 520 EUR belongs to policy TEST-KFZ-2026-1001.</x:v>
      </x:c>
      <x:c r="D449" s="20" t="str">
        <x:f>IF(Reviewer_1!L449="","",Reviewer_1!L449)</x:f>
      </x:c>
      <x:c r="E449" s="20" t="str">
        <x:f>IF(Reviewer_2!L449="","",Reviewer_2!L449)</x:f>
      </x:c>
      <x:c r="F449" s="25"/>
      <x:c r="G449" s="20" t="str">
        <x:f>IF(Reviewer_1!M449="","",Reviewer_1!M449)</x:f>
      </x:c>
      <x:c r="H449" s="20" t="str">
        <x:f>IF(Reviewer_2!M449="","",Reviewer_2!M449)</x:f>
      </x:c>
      <x:c r="I449" s="25"/>
      <x:c r="J449" s="20" t="str">
        <x:f>IF(Reviewer_1!N449="","",Reviewer_1!N449)</x:f>
      </x:c>
      <x:c r="K449" s="20" t="str">
        <x:f>IF(Reviewer_2!N449="","",Reviewer_2!N449)</x:f>
      </x:c>
      <x:c r="L449" s="25"/>
      <x:c r="M449" s="25"/>
      <x:c r="N449" s="25"/>
      <x:c r="O449" s="20" t="str">
        <x:f>IF(OR(D449="",E449=""),"PENDING",IF(OR(D449&lt;&gt;E449,G449&lt;&gt;H449,J449&lt;&gt;K449),"CONFLICT","AGREE"))</x:f>
        <x:v>PENDING</x:v>
      </x:c>
    </x:row>
    <x:row r="450">
      <x:c r="A450" t="str">
        <x:v>ext-crm-fail-089</x:v>
      </x:c>
      <x:c r="B450" s="20" t="str">
        <x:v>Which policy has the annual premium shown in the context?</x:v>
      </x:c>
      <x:c r="C450" s="20" t="str">
        <x:v>The annual premium of 195 EUR belongs to policy TEST-KFZ-2026-1001.</x:v>
      </x:c>
      <x:c r="D450" s="20" t="str">
        <x:f>IF(Reviewer_1!L450="","",Reviewer_1!L450)</x:f>
      </x:c>
      <x:c r="E450" s="20" t="str">
        <x:f>IF(Reviewer_2!L450="","",Reviewer_2!L450)</x:f>
      </x:c>
      <x:c r="F450" s="25"/>
      <x:c r="G450" s="20" t="str">
        <x:f>IF(Reviewer_1!M450="","",Reviewer_1!M450)</x:f>
      </x:c>
      <x:c r="H450" s="20" t="str">
        <x:f>IF(Reviewer_2!M450="","",Reviewer_2!M450)</x:f>
      </x:c>
      <x:c r="I450" s="25"/>
      <x:c r="J450" s="20" t="str">
        <x:f>IF(Reviewer_1!N450="","",Reviewer_1!N450)</x:f>
      </x:c>
      <x:c r="K450" s="20" t="str">
        <x:f>IF(Reviewer_2!N450="","",Reviewer_2!N450)</x:f>
      </x:c>
      <x:c r="L450" s="25"/>
      <x:c r="M450" s="25"/>
      <x:c r="N450" s="25"/>
      <x:c r="O450" s="20" t="str">
        <x:f>IF(OR(D450="",E450=""),"PENDING",IF(OR(D450&lt;&gt;E450,G450&lt;&gt;H450,J450&lt;&gt;K450),"CONFLICT","AGREE"))</x:f>
        <x:v>PENDING</x:v>
      </x:c>
    </x:row>
    <x:row r="451">
      <x:c r="A451" t="str">
        <x:v>ext-crm-fail-090</x:v>
      </x:c>
      <x:c r="B451" s="20" t="str">
        <x:v>Which policy has the annual premium shown in the context?</x:v>
      </x:c>
      <x:c r="C451" s="20" t="str">
        <x:v>The annual premium of 260 EUR belongs to policy TEST-KFZ-2026-1001.</x:v>
      </x:c>
      <x:c r="D451" s="20" t="str">
        <x:f>IF(Reviewer_1!L451="","",Reviewer_1!L451)</x:f>
      </x:c>
      <x:c r="E451" s="20" t="str">
        <x:f>IF(Reviewer_2!L451="","",Reviewer_2!L451)</x:f>
      </x:c>
      <x:c r="F451" s="25"/>
      <x:c r="G451" s="20" t="str">
        <x:f>IF(Reviewer_1!M451="","",Reviewer_1!M451)</x:f>
      </x:c>
      <x:c r="H451" s="20" t="str">
        <x:f>IF(Reviewer_2!M451="","",Reviewer_2!M451)</x:f>
      </x:c>
      <x:c r="I451" s="25"/>
      <x:c r="J451" s="20" t="str">
        <x:f>IF(Reviewer_1!N451="","",Reviewer_1!N451)</x:f>
      </x:c>
      <x:c r="K451" s="20" t="str">
        <x:f>IF(Reviewer_2!N451="","",Reviewer_2!N451)</x:f>
      </x:c>
      <x:c r="L451" s="25"/>
      <x:c r="M451" s="25"/>
      <x:c r="N451" s="25"/>
      <x:c r="O451" s="20" t="str">
        <x:f>IF(OR(D451="",E451=""),"PENDING",IF(OR(D451&lt;&gt;E451,G451&lt;&gt;H451,J451&lt;&gt;K451),"CONFLICT","AGREE"))</x:f>
        <x:v>PENDING</x:v>
      </x:c>
    </x:row>
    <x:row r="452">
      <x:c r="A452" t="str">
        <x:v>ext-crm-fail-091</x:v>
      </x:c>
      <x:c r="B452" s="20" t="str">
        <x:v>As of 2026-08-01, what is Lara Neumann's current motor policy and its applicable details?</x:v>
      </x:c>
      <x:c r="C452" s="20" t="str">
        <x:v>Lara Neumann's current motor policy is TEST-KFZ-2026-1001 with a 150 EUR deductible and a 684 EUR annual premium.</x:v>
      </x:c>
      <x:c r="D452" s="20" t="str">
        <x:f>IF(Reviewer_1!L452="","",Reviewer_1!L452)</x:f>
      </x:c>
      <x:c r="E452" s="20" t="str">
        <x:f>IF(Reviewer_2!L452="","",Reviewer_2!L452)</x:f>
      </x:c>
      <x:c r="F452" s="25"/>
      <x:c r="G452" s="20" t="str">
        <x:f>IF(Reviewer_1!M452="","",Reviewer_1!M452)</x:f>
      </x:c>
      <x:c r="H452" s="20" t="str">
        <x:f>IF(Reviewer_2!M452="","",Reviewer_2!M452)</x:f>
      </x:c>
      <x:c r="I452" s="25"/>
      <x:c r="J452" s="20" t="str">
        <x:f>IF(Reviewer_1!N452="","",Reviewer_1!N452)</x:f>
      </x:c>
      <x:c r="K452" s="20" t="str">
        <x:f>IF(Reviewer_2!N452="","",Reviewer_2!N452)</x:f>
      </x:c>
      <x:c r="L452" s="25"/>
      <x:c r="M452" s="25"/>
      <x:c r="N452" s="25"/>
      <x:c r="O452" s="20" t="str">
        <x:f>IF(OR(D452="",E452=""),"PENDING",IF(OR(D452&lt;&gt;E452,G452&lt;&gt;H452,J452&lt;&gt;K452),"CONFLICT","AGREE"))</x:f>
        <x:v>PENDING</x:v>
      </x:c>
    </x:row>
    <x:row r="453">
      <x:c r="A453" t="str">
        <x:v>ext-crm-fail-092</x:v>
      </x:c>
      <x:c r="B453" s="20" t="str">
        <x:v>As of 2026-08-01, what is Lara Neumann's current motor policy and its applicable details?</x:v>
      </x:c>
      <x:c r="C453" s="20" t="str">
        <x:v>The current motor contract is TEST-KFZ-2026-1001.</x:v>
      </x:c>
      <x:c r="D453" s="20" t="str">
        <x:f>IF(Reviewer_1!L453="","",Reviewer_1!L453)</x:f>
      </x:c>
      <x:c r="E453" s="20" t="str">
        <x:f>IF(Reviewer_2!L453="","",Reviewer_2!L453)</x:f>
      </x:c>
      <x:c r="F453" s="25"/>
      <x:c r="G453" s="20" t="str">
        <x:f>IF(Reviewer_1!M453="","",Reviewer_1!M453)</x:f>
      </x:c>
      <x:c r="H453" s="20" t="str">
        <x:f>IF(Reviewer_2!M453="","",Reviewer_2!M453)</x:f>
      </x:c>
      <x:c r="I453" s="25"/>
      <x:c r="J453" s="20" t="str">
        <x:f>IF(Reviewer_1!N453="","",Reviewer_1!N453)</x:f>
      </x:c>
      <x:c r="K453" s="20" t="str">
        <x:f>IF(Reviewer_2!N453="","",Reviewer_2!N453)</x:f>
      </x:c>
      <x:c r="L453" s="25"/>
      <x:c r="M453" s="25"/>
      <x:c r="N453" s="25"/>
      <x:c r="O453" s="20" t="str">
        <x:f>IF(OR(D453="",E453=""),"PENDING",IF(OR(D453&lt;&gt;E453,G453&lt;&gt;H453,J453&lt;&gt;K453),"CONFLICT","AGREE"))</x:f>
        <x:v>PENDING</x:v>
      </x:c>
    </x:row>
    <x:row r="454">
      <x:c r="A454" t="str">
        <x:v>ext-crm-fail-093</x:v>
      </x:c>
      <x:c r="B454" s="20" t="str">
        <x:v>As of 2026-08-01, what is Lara Neumann's current motor policy and its applicable details?</x:v>
      </x:c>
      <x:c r="C454" s="20" t="str">
        <x:v>The deductible of Lara Neumann's current motor policy is 150 EUR.</x:v>
      </x:c>
      <x:c r="D454" s="20" t="str">
        <x:f>IF(Reviewer_1!L454="","",Reviewer_1!L454)</x:f>
      </x:c>
      <x:c r="E454" s="20" t="str">
        <x:f>IF(Reviewer_2!L454="","",Reviewer_2!L454)</x:f>
      </x:c>
      <x:c r="F454" s="25"/>
      <x:c r="G454" s="20" t="str">
        <x:f>IF(Reviewer_1!M454="","",Reviewer_1!M454)</x:f>
      </x:c>
      <x:c r="H454" s="20" t="str">
        <x:f>IF(Reviewer_2!M454="","",Reviewer_2!M454)</x:f>
      </x:c>
      <x:c r="I454" s="25"/>
      <x:c r="J454" s="20" t="str">
        <x:f>IF(Reviewer_1!N454="","",Reviewer_1!N454)</x:f>
      </x:c>
      <x:c r="K454" s="20" t="str">
        <x:f>IF(Reviewer_2!N454="","",Reviewer_2!N454)</x:f>
      </x:c>
      <x:c r="L454" s="25"/>
      <x:c r="M454" s="25"/>
      <x:c r="N454" s="25"/>
      <x:c r="O454" s="20" t="str">
        <x:f>IF(OR(D454="",E454=""),"PENDING",IF(OR(D454&lt;&gt;E454,G454&lt;&gt;H454,J454&lt;&gt;K454),"CONFLICT","AGREE"))</x:f>
        <x:v>PENDING</x:v>
      </x:c>
    </x:row>
    <x:row r="455">
      <x:c r="A455" t="str">
        <x:v>ext-crm-fail-094</x:v>
      </x:c>
      <x:c r="B455" s="20" t="str">
        <x:v>As of 2026-08-01, what is Lara Neumann's current motor policy and its applicable details?</x:v>
      </x:c>
      <x:c r="C455" s="20" t="str">
        <x:v>The annual premium of Lara Neumann's current motor policy is 684 EUR.</x:v>
      </x:c>
      <x:c r="D455" s="20" t="str">
        <x:f>IF(Reviewer_1!L455="","",Reviewer_1!L455)</x:f>
      </x:c>
      <x:c r="E455" s="20" t="str">
        <x:f>IF(Reviewer_2!L455="","",Reviewer_2!L455)</x:f>
      </x:c>
      <x:c r="F455" s="25"/>
      <x:c r="G455" s="20" t="str">
        <x:f>IF(Reviewer_1!M455="","",Reviewer_1!M455)</x:f>
      </x:c>
      <x:c r="H455" s="20" t="str">
        <x:f>IF(Reviewer_2!M455="","",Reviewer_2!M455)</x:f>
      </x:c>
      <x:c r="I455" s="25"/>
      <x:c r="J455" s="20" t="str">
        <x:f>IF(Reviewer_1!N455="","",Reviewer_1!N455)</x:f>
      </x:c>
      <x:c r="K455" s="20" t="str">
        <x:f>IF(Reviewer_2!N455="","",Reviewer_2!N455)</x:f>
      </x:c>
      <x:c r="L455" s="25"/>
      <x:c r="M455" s="25"/>
      <x:c r="N455" s="25"/>
      <x:c r="O455" s="20" t="str">
        <x:f>IF(OR(D455="",E455=""),"PENDING",IF(OR(D455&lt;&gt;E455,G455&lt;&gt;H455,J455&lt;&gt;K455),"CONFLICT","AGREE"))</x:f>
        <x:v>PENDING</x:v>
      </x:c>
    </x:row>
    <x:row r="456">
      <x:c r="A456" t="str">
        <x:v>ext-crm-fail-095</x:v>
      </x:c>
      <x:c r="B456" s="20" t="str">
        <x:v>As of 2026-08-01, what is Lara Neumann's current motor policy and its applicable details?</x:v>
      </x:c>
      <x:c r="C456" s="20" t="str">
        <x:v>As of 2026-08-01, policy TEST-KFZ-2026-1001 is the current motor policy.</x:v>
      </x:c>
      <x:c r="D456" s="20" t="str">
        <x:f>IF(Reviewer_1!L456="","",Reviewer_1!L456)</x:f>
      </x:c>
      <x:c r="E456" s="20" t="str">
        <x:f>IF(Reviewer_2!L456="","",Reviewer_2!L456)</x:f>
      </x:c>
      <x:c r="F456" s="25"/>
      <x:c r="G456" s="20" t="str">
        <x:f>IF(Reviewer_1!M456="","",Reviewer_1!M456)</x:f>
      </x:c>
      <x:c r="H456" s="20" t="str">
        <x:f>IF(Reviewer_2!M456="","",Reviewer_2!M456)</x:f>
      </x:c>
      <x:c r="I456" s="25"/>
      <x:c r="J456" s="20" t="str">
        <x:f>IF(Reviewer_1!N456="","",Reviewer_1!N456)</x:f>
      </x:c>
      <x:c r="K456" s="20" t="str">
        <x:f>IF(Reviewer_2!N456="","",Reviewer_2!N456)</x:f>
      </x:c>
      <x:c r="L456" s="25"/>
      <x:c r="M456" s="25"/>
      <x:c r="N456" s="25"/>
      <x:c r="O456" s="20" t="str">
        <x:f>IF(OR(D456="",E456=""),"PENDING",IF(OR(D456&lt;&gt;E456,G456&lt;&gt;H456,J456&lt;&gt;K456),"CONFLICT","AGREE"))</x:f>
        <x:v>PENDING</x:v>
      </x:c>
    </x:row>
    <x:row r="457">
      <x:c r="A457" t="str">
        <x:v>ext-crm-fail-096</x:v>
      </x:c>
      <x:c r="B457" s="20" t="str">
        <x:v>As of 2026-08-01, what is Lara Neumann's current motor policy and its applicable details?</x:v>
      </x:c>
      <x:c r="C457" s="20" t="str">
        <x:v>Lara Neumann's current motor policy is TEST-KFZ-2026-1001 with a 150 EUR deductible and a 684 EUR annual premium.</x:v>
      </x:c>
      <x:c r="D457" s="20" t="str">
        <x:f>IF(Reviewer_1!L457="","",Reviewer_1!L457)</x:f>
      </x:c>
      <x:c r="E457" s="20" t="str">
        <x:f>IF(Reviewer_2!L457="","",Reviewer_2!L457)</x:f>
      </x:c>
      <x:c r="F457" s="25"/>
      <x:c r="G457" s="20" t="str">
        <x:f>IF(Reviewer_1!M457="","",Reviewer_1!M457)</x:f>
      </x:c>
      <x:c r="H457" s="20" t="str">
        <x:f>IF(Reviewer_2!M457="","",Reviewer_2!M457)</x:f>
      </x:c>
      <x:c r="I457" s="25"/>
      <x:c r="J457" s="20" t="str">
        <x:f>IF(Reviewer_1!N457="","",Reviewer_1!N457)</x:f>
      </x:c>
      <x:c r="K457" s="20" t="str">
        <x:f>IF(Reviewer_2!N457="","",Reviewer_2!N457)</x:f>
      </x:c>
      <x:c r="L457" s="25"/>
      <x:c r="M457" s="25"/>
      <x:c r="N457" s="25"/>
      <x:c r="O457" s="20" t="str">
        <x:f>IF(OR(D457="",E457=""),"PENDING",IF(OR(D457&lt;&gt;E457,G457&lt;&gt;H457,J457&lt;&gt;K457),"CONFLICT","AGREE"))</x:f>
        <x:v>PENDING</x:v>
      </x:c>
    </x:row>
    <x:row r="458">
      <x:c r="A458" t="str">
        <x:v>ext-crm-fail-097</x:v>
      </x:c>
      <x:c r="B458" s="20" t="str">
        <x:v>As of 2026-08-01, what is Lara Neumann's current motor policy and its applicable details?</x:v>
      </x:c>
      <x:c r="C458" s="20" t="str">
        <x:v>The current motor contract is TEST-KFZ-2026-1001.</x:v>
      </x:c>
      <x:c r="D458" s="20" t="str">
        <x:f>IF(Reviewer_1!L458="","",Reviewer_1!L458)</x:f>
      </x:c>
      <x:c r="E458" s="20" t="str">
        <x:f>IF(Reviewer_2!L458="","",Reviewer_2!L458)</x:f>
      </x:c>
      <x:c r="F458" s="25"/>
      <x:c r="G458" s="20" t="str">
        <x:f>IF(Reviewer_1!M458="","",Reviewer_1!M458)</x:f>
      </x:c>
      <x:c r="H458" s="20" t="str">
        <x:f>IF(Reviewer_2!M458="","",Reviewer_2!M458)</x:f>
      </x:c>
      <x:c r="I458" s="25"/>
      <x:c r="J458" s="20" t="str">
        <x:f>IF(Reviewer_1!N458="","",Reviewer_1!N458)</x:f>
      </x:c>
      <x:c r="K458" s="20" t="str">
        <x:f>IF(Reviewer_2!N458="","",Reviewer_2!N458)</x:f>
      </x:c>
      <x:c r="L458" s="25"/>
      <x:c r="M458" s="25"/>
      <x:c r="N458" s="25"/>
      <x:c r="O458" s="20" t="str">
        <x:f>IF(OR(D458="",E458=""),"PENDING",IF(OR(D458&lt;&gt;E458,G458&lt;&gt;H458,J458&lt;&gt;K458),"CONFLICT","AGREE"))</x:f>
        <x:v>PENDING</x:v>
      </x:c>
    </x:row>
    <x:row r="459">
      <x:c r="A459" t="str">
        <x:v>ext-crm-fail-098</x:v>
      </x:c>
      <x:c r="B459" s="20" t="str">
        <x:v>As of 2026-08-01, what is Lara Neumann's current motor policy and its applicable details?</x:v>
      </x:c>
      <x:c r="C459" s="20" t="str">
        <x:v>The deductible of Lara Neumann's current motor policy is 150 EUR.</x:v>
      </x:c>
      <x:c r="D459" s="20" t="str">
        <x:f>IF(Reviewer_1!L459="","",Reviewer_1!L459)</x:f>
      </x:c>
      <x:c r="E459" s="20" t="str">
        <x:f>IF(Reviewer_2!L459="","",Reviewer_2!L459)</x:f>
      </x:c>
      <x:c r="F459" s="25"/>
      <x:c r="G459" s="20" t="str">
        <x:f>IF(Reviewer_1!M459="","",Reviewer_1!M459)</x:f>
      </x:c>
      <x:c r="H459" s="20" t="str">
        <x:f>IF(Reviewer_2!M459="","",Reviewer_2!M459)</x:f>
      </x:c>
      <x:c r="I459" s="25"/>
      <x:c r="J459" s="20" t="str">
        <x:f>IF(Reviewer_1!N459="","",Reviewer_1!N459)</x:f>
      </x:c>
      <x:c r="K459" s="20" t="str">
        <x:f>IF(Reviewer_2!N459="","",Reviewer_2!N459)</x:f>
      </x:c>
      <x:c r="L459" s="25"/>
      <x:c r="M459" s="25"/>
      <x:c r="N459" s="25"/>
      <x:c r="O459" s="20" t="str">
        <x:f>IF(OR(D459="",E459=""),"PENDING",IF(OR(D459&lt;&gt;E459,G459&lt;&gt;H459,J459&lt;&gt;K459),"CONFLICT","AGREE"))</x:f>
        <x:v>PENDING</x:v>
      </x:c>
    </x:row>
    <x:row r="460">
      <x:c r="A460" t="str">
        <x:v>ext-crm-fail-099</x:v>
      </x:c>
      <x:c r="B460" s="20" t="str">
        <x:v>As of 2026-08-01, what is Lara Neumann's current motor policy and its applicable details?</x:v>
      </x:c>
      <x:c r="C460" s="20" t="str">
        <x:v>The annual premium of Lara Neumann's current motor policy is 684 EUR.</x:v>
      </x:c>
      <x:c r="D460" s="20" t="str">
        <x:f>IF(Reviewer_1!L460="","",Reviewer_1!L460)</x:f>
      </x:c>
      <x:c r="E460" s="20" t="str">
        <x:f>IF(Reviewer_2!L460="","",Reviewer_2!L460)</x:f>
      </x:c>
      <x:c r="F460" s="25"/>
      <x:c r="G460" s="20" t="str">
        <x:f>IF(Reviewer_1!M460="","",Reviewer_1!M460)</x:f>
      </x:c>
      <x:c r="H460" s="20" t="str">
        <x:f>IF(Reviewer_2!M460="","",Reviewer_2!M460)</x:f>
      </x:c>
      <x:c r="I460" s="25"/>
      <x:c r="J460" s="20" t="str">
        <x:f>IF(Reviewer_1!N460="","",Reviewer_1!N460)</x:f>
      </x:c>
      <x:c r="K460" s="20" t="str">
        <x:f>IF(Reviewer_2!N460="","",Reviewer_2!N460)</x:f>
      </x:c>
      <x:c r="L460" s="25"/>
      <x:c r="M460" s="25"/>
      <x:c r="N460" s="25"/>
      <x:c r="O460" s="20" t="str">
        <x:f>IF(OR(D460="",E460=""),"PENDING",IF(OR(D460&lt;&gt;E460,G460&lt;&gt;H460,J460&lt;&gt;K460),"CONFLICT","AGREE"))</x:f>
        <x:v>PENDING</x:v>
      </x:c>
    </x:row>
    <x:row r="461">
      <x:c r="A461" t="str">
        <x:v>ext-crm-fail-100</x:v>
      </x:c>
      <x:c r="B461" s="20" t="str">
        <x:v>As of 2026-08-01, what is Lara Neumann's current motor policy and its applicable details?</x:v>
      </x:c>
      <x:c r="C461" s="20" t="str">
        <x:v>As of 2026-08-01, policy TEST-KFZ-2026-1001 is the current motor policy.</x:v>
      </x:c>
      <x:c r="D461" s="20" t="str">
        <x:f>IF(Reviewer_1!L461="","",Reviewer_1!L461)</x:f>
      </x:c>
      <x:c r="E461" s="20" t="str">
        <x:f>IF(Reviewer_2!L461="","",Reviewer_2!L461)</x:f>
      </x:c>
      <x:c r="F461" s="25"/>
      <x:c r="G461" s="20" t="str">
        <x:f>IF(Reviewer_1!M461="","",Reviewer_1!M461)</x:f>
      </x:c>
      <x:c r="H461" s="20" t="str">
        <x:f>IF(Reviewer_2!M461="","",Reviewer_2!M461)</x:f>
      </x:c>
      <x:c r="I461" s="25"/>
      <x:c r="J461" s="20" t="str">
        <x:f>IF(Reviewer_1!N461="","",Reviewer_1!N461)</x:f>
      </x:c>
      <x:c r="K461" s="20" t="str">
        <x:f>IF(Reviewer_2!N461="","",Reviewer_2!N461)</x:f>
      </x:c>
      <x:c r="L461" s="25"/>
      <x:c r="M461" s="25"/>
      <x:c r="N461" s="25"/>
      <x:c r="O461" s="20" t="str">
        <x:f>IF(OR(D461="",E461=""),"PENDING",IF(OR(D461&lt;&gt;E461,G461&lt;&gt;H461,J461&lt;&gt;K461),"CONFLICT","AGREE"))</x:f>
        <x:v>PENDING</x:v>
      </x:c>
    </x:row>
    <x:row r="462">
      <x:c r="A462" t="str">
        <x:v>ext-crm-fail-101</x:v>
      </x:c>
      <x:c r="B462" s="20" t="str">
        <x:v>Has this claim been approved or rejected according to the stored claim record?</x:v>
      </x:c>
      <x:c r="C462" s="20" t="str">
        <x:v>The claim decision is Approved.</x:v>
      </x:c>
      <x:c r="D462" s="20" t="str">
        <x:f>IF(Reviewer_1!L462="","",Reviewer_1!L462)</x:f>
      </x:c>
      <x:c r="E462" s="20" t="str">
        <x:f>IF(Reviewer_2!L462="","",Reviewer_2!L462)</x:f>
      </x:c>
      <x:c r="F462" s="25"/>
      <x:c r="G462" s="20" t="str">
        <x:f>IF(Reviewer_1!M462="","",Reviewer_1!M462)</x:f>
      </x:c>
      <x:c r="H462" s="20" t="str">
        <x:f>IF(Reviewer_2!M462="","",Reviewer_2!M462)</x:f>
      </x:c>
      <x:c r="I462" s="25"/>
      <x:c r="J462" s="20" t="str">
        <x:f>IF(Reviewer_1!N462="","",Reviewer_1!N462)</x:f>
      </x:c>
      <x:c r="K462" s="20" t="str">
        <x:f>IF(Reviewer_2!N462="","",Reviewer_2!N462)</x:f>
      </x:c>
      <x:c r="L462" s="25"/>
      <x:c r="M462" s="25"/>
      <x:c r="N462" s="25"/>
      <x:c r="O462" s="20" t="str">
        <x:f>IF(OR(D462="",E462=""),"PENDING",IF(OR(D462&lt;&gt;E462,G462&lt;&gt;H462,J462&lt;&gt;K462),"CONFLICT","AGREE"))</x:f>
        <x:v>PENDING</x:v>
      </x:c>
    </x:row>
    <x:row r="463">
      <x:c r="A463" t="str">
        <x:v>ext-crm-fail-102</x:v>
      </x:c>
      <x:c r="B463" s="20" t="str">
        <x:v>Has this claim been approved or rejected according to the stored claim record?</x:v>
      </x:c>
      <x:c r="C463" s="20" t="str">
        <x:v>The claim decision is Rejected.</x:v>
      </x:c>
      <x:c r="D463" s="20" t="str">
        <x:f>IF(Reviewer_1!L463="","",Reviewer_1!L463)</x:f>
      </x:c>
      <x:c r="E463" s="20" t="str">
        <x:f>IF(Reviewer_2!L463="","",Reviewer_2!L463)</x:f>
      </x:c>
      <x:c r="F463" s="25"/>
      <x:c r="G463" s="20" t="str">
        <x:f>IF(Reviewer_1!M463="","",Reviewer_1!M463)</x:f>
      </x:c>
      <x:c r="H463" s="20" t="str">
        <x:f>IF(Reviewer_2!M463="","",Reviewer_2!M463)</x:f>
      </x:c>
      <x:c r="I463" s="25"/>
      <x:c r="J463" s="20" t="str">
        <x:f>IF(Reviewer_1!N463="","",Reviewer_1!N463)</x:f>
      </x:c>
      <x:c r="K463" s="20" t="str">
        <x:f>IF(Reviewer_2!N463="","",Reviewer_2!N463)</x:f>
      </x:c>
      <x:c r="L463" s="25"/>
      <x:c r="M463" s="25"/>
      <x:c r="N463" s="25"/>
      <x:c r="O463" s="20" t="str">
        <x:f>IF(OR(D463="",E463=""),"PENDING",IF(OR(D463&lt;&gt;E463,G463&lt;&gt;H463,J463&lt;&gt;K463),"CONFLICT","AGREE"))</x:f>
        <x:v>PENDING</x:v>
      </x:c>
    </x:row>
    <x:row r="464">
      <x:c r="A464" t="str">
        <x:v>ext-crm-fail-103</x:v>
      </x:c>
      <x:c r="B464" s="20" t="str">
        <x:v>Has this claim been approved or rejected according to the stored claim record?</x:v>
      </x:c>
      <x:c r="C464" s="20" t="str">
        <x:v>The claim decision is Approved.</x:v>
      </x:c>
      <x:c r="D464" s="20" t="str">
        <x:f>IF(Reviewer_1!L464="","",Reviewer_1!L464)</x:f>
      </x:c>
      <x:c r="E464" s="20" t="str">
        <x:f>IF(Reviewer_2!L464="","",Reviewer_2!L464)</x:f>
      </x:c>
      <x:c r="F464" s="25"/>
      <x:c r="G464" s="20" t="str">
        <x:f>IF(Reviewer_1!M464="","",Reviewer_1!M464)</x:f>
      </x:c>
      <x:c r="H464" s="20" t="str">
        <x:f>IF(Reviewer_2!M464="","",Reviewer_2!M464)</x:f>
      </x:c>
      <x:c r="I464" s="25"/>
      <x:c r="J464" s="20" t="str">
        <x:f>IF(Reviewer_1!N464="","",Reviewer_1!N464)</x:f>
      </x:c>
      <x:c r="K464" s="20" t="str">
        <x:f>IF(Reviewer_2!N464="","",Reviewer_2!N464)</x:f>
      </x:c>
      <x:c r="L464" s="25"/>
      <x:c r="M464" s="25"/>
      <x:c r="N464" s="25"/>
      <x:c r="O464" s="20" t="str">
        <x:f>IF(OR(D464="",E464=""),"PENDING",IF(OR(D464&lt;&gt;E464,G464&lt;&gt;H464,J464&lt;&gt;K464),"CONFLICT","AGREE"))</x:f>
        <x:v>PENDING</x:v>
      </x:c>
    </x:row>
    <x:row r="465">
      <x:c r="A465" t="str">
        <x:v>ext-crm-fail-104</x:v>
      </x:c>
      <x:c r="B465" s="20" t="str">
        <x:v>Has this claim been approved or rejected according to the stored claim record?</x:v>
      </x:c>
      <x:c r="C465" s="20" t="str">
        <x:v>The claim decision is Approved.</x:v>
      </x:c>
      <x:c r="D465" s="20" t="str">
        <x:f>IF(Reviewer_1!L465="","",Reviewer_1!L465)</x:f>
      </x:c>
      <x:c r="E465" s="20" t="str">
        <x:f>IF(Reviewer_2!L465="","",Reviewer_2!L465)</x:f>
      </x:c>
      <x:c r="F465" s="25"/>
      <x:c r="G465" s="20" t="str">
        <x:f>IF(Reviewer_1!M465="","",Reviewer_1!M465)</x:f>
      </x:c>
      <x:c r="H465" s="20" t="str">
        <x:f>IF(Reviewer_2!M465="","",Reviewer_2!M465)</x:f>
      </x:c>
      <x:c r="I465" s="25"/>
      <x:c r="J465" s="20" t="str">
        <x:f>IF(Reviewer_1!N465="","",Reviewer_1!N465)</x:f>
      </x:c>
      <x:c r="K465" s="20" t="str">
        <x:f>IF(Reviewer_2!N465="","",Reviewer_2!N465)</x:f>
      </x:c>
      <x:c r="L465" s="25"/>
      <x:c r="M465" s="25"/>
      <x:c r="N465" s="25"/>
      <x:c r="O465" s="20" t="str">
        <x:f>IF(OR(D465="",E465=""),"PENDING",IF(OR(D465&lt;&gt;E465,G465&lt;&gt;H465,J465&lt;&gt;K465),"CONFLICT","AGREE"))</x:f>
        <x:v>PENDING</x:v>
      </x:c>
    </x:row>
    <x:row r="466">
      <x:c r="A466" t="str">
        <x:v>ext-crm-fail-105</x:v>
      </x:c>
      <x:c r="B466" s="20" t="str">
        <x:v>Has this claim been approved or rejected according to the stored claim record?</x:v>
      </x:c>
      <x:c r="C466" s="20" t="str">
        <x:v>The claim decision is Approved.</x:v>
      </x:c>
      <x:c r="D466" s="20" t="str">
        <x:f>IF(Reviewer_1!L466="","",Reviewer_1!L466)</x:f>
      </x:c>
      <x:c r="E466" s="20" t="str">
        <x:f>IF(Reviewer_2!L466="","",Reviewer_2!L466)</x:f>
      </x:c>
      <x:c r="F466" s="25"/>
      <x:c r="G466" s="20" t="str">
        <x:f>IF(Reviewer_1!M466="","",Reviewer_1!M466)</x:f>
      </x:c>
      <x:c r="H466" s="20" t="str">
        <x:f>IF(Reviewer_2!M466="","",Reviewer_2!M466)</x:f>
      </x:c>
      <x:c r="I466" s="25"/>
      <x:c r="J466" s="20" t="str">
        <x:f>IF(Reviewer_1!N466="","",Reviewer_1!N466)</x:f>
      </x:c>
      <x:c r="K466" s="20" t="str">
        <x:f>IF(Reviewer_2!N466="","",Reviewer_2!N466)</x:f>
      </x:c>
      <x:c r="L466" s="25"/>
      <x:c r="M466" s="25"/>
      <x:c r="N466" s="25"/>
      <x:c r="O466" s="20" t="str">
        <x:f>IF(OR(D466="",E466=""),"PENDING",IF(OR(D466&lt;&gt;E466,G466&lt;&gt;H466,J466&lt;&gt;K466),"CONFLICT","AGREE"))</x:f>
        <x:v>PENDING</x:v>
      </x:c>
    </x:row>
    <x:row r="467">
      <x:c r="A467" t="str">
        <x:v>ext-crm-fail-106</x:v>
      </x:c>
      <x:c r="B467" s="20" t="str">
        <x:v>Has this claim been approved or rejected according to the stored claim record?</x:v>
      </x:c>
      <x:c r="C467" s="20" t="str">
        <x:v>The claim decision is Approved.</x:v>
      </x:c>
      <x:c r="D467" s="20" t="str">
        <x:f>IF(Reviewer_1!L467="","",Reviewer_1!L467)</x:f>
      </x:c>
      <x:c r="E467" s="20" t="str">
        <x:f>IF(Reviewer_2!L467="","",Reviewer_2!L467)</x:f>
      </x:c>
      <x:c r="F467" s="25"/>
      <x:c r="G467" s="20" t="str">
        <x:f>IF(Reviewer_1!M467="","",Reviewer_1!M467)</x:f>
      </x:c>
      <x:c r="H467" s="20" t="str">
        <x:f>IF(Reviewer_2!M467="","",Reviewer_2!M467)</x:f>
      </x:c>
      <x:c r="I467" s="25"/>
      <x:c r="J467" s="20" t="str">
        <x:f>IF(Reviewer_1!N467="","",Reviewer_1!N467)</x:f>
      </x:c>
      <x:c r="K467" s="20" t="str">
        <x:f>IF(Reviewer_2!N467="","",Reviewer_2!N467)</x:f>
      </x:c>
      <x:c r="L467" s="25"/>
      <x:c r="M467" s="25"/>
      <x:c r="N467" s="25"/>
      <x:c r="O467" s="20" t="str">
        <x:f>IF(OR(D467="",E467=""),"PENDING",IF(OR(D467&lt;&gt;E467,G467&lt;&gt;H467,J467&lt;&gt;K467),"CONFLICT","AGREE"))</x:f>
        <x:v>PENDING</x:v>
      </x:c>
    </x:row>
    <x:row r="468">
      <x:c r="A468" t="str">
        <x:v>ext-crm-fail-107</x:v>
      </x:c>
      <x:c r="B468" s="20" t="str">
        <x:v>Has this claim been approved or rejected according to the stored claim record?</x:v>
      </x:c>
      <x:c r="C468" s="20" t="str">
        <x:v>The claim decision is Rejected.</x:v>
      </x:c>
      <x:c r="D468" s="20" t="str">
        <x:f>IF(Reviewer_1!L468="","",Reviewer_1!L468)</x:f>
      </x:c>
      <x:c r="E468" s="20" t="str">
        <x:f>IF(Reviewer_2!L468="","",Reviewer_2!L468)</x:f>
      </x:c>
      <x:c r="F468" s="25"/>
      <x:c r="G468" s="20" t="str">
        <x:f>IF(Reviewer_1!M468="","",Reviewer_1!M468)</x:f>
      </x:c>
      <x:c r="H468" s="20" t="str">
        <x:f>IF(Reviewer_2!M468="","",Reviewer_2!M468)</x:f>
      </x:c>
      <x:c r="I468" s="25"/>
      <x:c r="J468" s="20" t="str">
        <x:f>IF(Reviewer_1!N468="","",Reviewer_1!N468)</x:f>
      </x:c>
      <x:c r="K468" s="20" t="str">
        <x:f>IF(Reviewer_2!N468="","",Reviewer_2!N468)</x:f>
      </x:c>
      <x:c r="L468" s="25"/>
      <x:c r="M468" s="25"/>
      <x:c r="N468" s="25"/>
      <x:c r="O468" s="20" t="str">
        <x:f>IF(OR(D468="",E468=""),"PENDING",IF(OR(D468&lt;&gt;E468,G468&lt;&gt;H468,J468&lt;&gt;K468),"CONFLICT","AGREE"))</x:f>
        <x:v>PENDING</x:v>
      </x:c>
    </x:row>
    <x:row r="469">
      <x:c r="A469" t="str">
        <x:v>ext-crm-fail-108</x:v>
      </x:c>
      <x:c r="B469" s="20" t="str">
        <x:v>Has this claim been approved or rejected according to the stored claim record?</x:v>
      </x:c>
      <x:c r="C469" s="20" t="str">
        <x:v>The claim decision is Approved.</x:v>
      </x:c>
      <x:c r="D469" s="20" t="str">
        <x:f>IF(Reviewer_1!L469="","",Reviewer_1!L469)</x:f>
      </x:c>
      <x:c r="E469" s="20" t="str">
        <x:f>IF(Reviewer_2!L469="","",Reviewer_2!L469)</x:f>
      </x:c>
      <x:c r="F469" s="25"/>
      <x:c r="G469" s="20" t="str">
        <x:f>IF(Reviewer_1!M469="","",Reviewer_1!M469)</x:f>
      </x:c>
      <x:c r="H469" s="20" t="str">
        <x:f>IF(Reviewer_2!M469="","",Reviewer_2!M469)</x:f>
      </x:c>
      <x:c r="I469" s="25"/>
      <x:c r="J469" s="20" t="str">
        <x:f>IF(Reviewer_1!N469="","",Reviewer_1!N469)</x:f>
      </x:c>
      <x:c r="K469" s="20" t="str">
        <x:f>IF(Reviewer_2!N469="","",Reviewer_2!N469)</x:f>
      </x:c>
      <x:c r="L469" s="25"/>
      <x:c r="M469" s="25"/>
      <x:c r="N469" s="25"/>
      <x:c r="O469" s="20" t="str">
        <x:f>IF(OR(D469="",E469=""),"PENDING",IF(OR(D469&lt;&gt;E469,G469&lt;&gt;H469,J469&lt;&gt;K469),"CONFLICT","AGREE"))</x:f>
        <x:v>PENDING</x:v>
      </x:c>
    </x:row>
    <x:row r="470">
      <x:c r="A470" t="str">
        <x:v>ext-crm-fail-109</x:v>
      </x:c>
      <x:c r="B470" s="20" t="str">
        <x:v>Has this claim been approved or rejected according to the stored claim record?</x:v>
      </x:c>
      <x:c r="C470" s="20" t="str">
        <x:v>The claim decision is Approved.</x:v>
      </x:c>
      <x:c r="D470" s="20" t="str">
        <x:f>IF(Reviewer_1!L470="","",Reviewer_1!L470)</x:f>
      </x:c>
      <x:c r="E470" s="20" t="str">
        <x:f>IF(Reviewer_2!L470="","",Reviewer_2!L470)</x:f>
      </x:c>
      <x:c r="F470" s="25"/>
      <x:c r="G470" s="20" t="str">
        <x:f>IF(Reviewer_1!M470="","",Reviewer_1!M470)</x:f>
      </x:c>
      <x:c r="H470" s="20" t="str">
        <x:f>IF(Reviewer_2!M470="","",Reviewer_2!M470)</x:f>
      </x:c>
      <x:c r="I470" s="25"/>
      <x:c r="J470" s="20" t="str">
        <x:f>IF(Reviewer_1!N470="","",Reviewer_1!N470)</x:f>
      </x:c>
      <x:c r="K470" s="20" t="str">
        <x:f>IF(Reviewer_2!N470="","",Reviewer_2!N470)</x:f>
      </x:c>
      <x:c r="L470" s="25"/>
      <x:c r="M470" s="25"/>
      <x:c r="N470" s="25"/>
      <x:c r="O470" s="20" t="str">
        <x:f>IF(OR(D470="",E470=""),"PENDING",IF(OR(D470&lt;&gt;E470,G470&lt;&gt;H470,J470&lt;&gt;K470),"CONFLICT","AGREE"))</x:f>
        <x:v>PENDING</x:v>
      </x:c>
    </x:row>
    <x:row r="471">
      <x:c r="A471" t="str">
        <x:v>ext-crm-fail-110</x:v>
      </x:c>
      <x:c r="B471" s="20" t="str">
        <x:v>Has this claim been approved or rejected according to the stored claim record?</x:v>
      </x:c>
      <x:c r="C471" s="20" t="str">
        <x:v>The claim decision is Rejected.</x:v>
      </x:c>
      <x:c r="D471" s="20" t="str">
        <x:f>IF(Reviewer_1!L471="","",Reviewer_1!L471)</x:f>
      </x:c>
      <x:c r="E471" s="20" t="str">
        <x:f>IF(Reviewer_2!L471="","",Reviewer_2!L471)</x:f>
      </x:c>
      <x:c r="F471" s="25"/>
      <x:c r="G471" s="20" t="str">
        <x:f>IF(Reviewer_1!M471="","",Reviewer_1!M471)</x:f>
      </x:c>
      <x:c r="H471" s="20" t="str">
        <x:f>IF(Reviewer_2!M471="","",Reviewer_2!M471)</x:f>
      </x:c>
      <x:c r="I471" s="25"/>
      <x:c r="J471" s="20" t="str">
        <x:f>IF(Reviewer_1!N471="","",Reviewer_1!N471)</x:f>
      </x:c>
      <x:c r="K471" s="20" t="str">
        <x:f>IF(Reviewer_2!N471="","",Reviewer_2!N471)</x:f>
      </x:c>
      <x:c r="L471" s="25"/>
      <x:c r="M471" s="25"/>
      <x:c r="N471" s="25"/>
      <x:c r="O471" s="20" t="str">
        <x:f>IF(OR(D471="",E471=""),"PENDING",IF(OR(D471&lt;&gt;E471,G471&lt;&gt;H471,J471&lt;&gt;K471),"CONFLICT","AGREE"))</x:f>
        <x:v>PENDING</x:v>
      </x:c>
    </x:row>
    <x:row r="472">
      <x:c r="A472" t="str">
        <x:v>ext-legacy-001</x:v>
      </x:c>
      <x:c r="B472" s="20" t="str">
        <x:v>Is windshield damage covered, what deductible applies, and which motor contract is relevant?</x:v>
      </x:c>
      <x:c r="C472" s="20" t="str">
        <x:v>Windshield glass damage is covered under partial comprehensive insurance. The deductible is EUR 150 per claim under motor contract TEST-KFZ-2026-1001.</x:v>
      </x:c>
      <x:c r="D472" s="20" t="str">
        <x:f>IF(Reviewer_1!L472="","",Reviewer_1!L472)</x:f>
      </x:c>
      <x:c r="E472" s="20" t="str">
        <x:f>IF(Reviewer_2!L472="","",Reviewer_2!L472)</x:f>
      </x:c>
      <x:c r="F472" s="25"/>
      <x:c r="G472" s="20" t="str">
        <x:f>IF(Reviewer_1!M472="","",Reviewer_1!M472)</x:f>
      </x:c>
      <x:c r="H472" s="20" t="str">
        <x:f>IF(Reviewer_2!M472="","",Reviewer_2!M472)</x:f>
      </x:c>
      <x:c r="I472" s="25"/>
      <x:c r="J472" s="20" t="str">
        <x:f>IF(Reviewer_1!N472="","",Reviewer_1!N472)</x:f>
      </x:c>
      <x:c r="K472" s="20" t="str">
        <x:f>IF(Reviewer_2!N472="","",Reviewer_2!N472)</x:f>
      </x:c>
      <x:c r="L472" s="25"/>
      <x:c r="M472" s="25"/>
      <x:c r="N472" s="25"/>
      <x:c r="O472" s="20" t="str">
        <x:f>IF(OR(D472="",E472=""),"PENDING",IF(OR(D472&lt;&gt;E472,G472&lt;&gt;H472,J472&lt;&gt;K472),"CONFLICT","AGREE"))</x:f>
        <x:v>PENDING</x:v>
      </x:c>
    </x:row>
    <x:row r="473">
      <x:c r="A473" t="str">
        <x:v>ext-legacy-002</x:v>
      </x:c>
      <x:c r="B473" s="20" t="str">
        <x:v>Does the policy pay for windscreen glass damage?</x:v>
      </x:c>
      <x:c r="C473" s="20" t="str">
        <x:v>The partial comprehensive cover includes damage to the windscreen, subject to a 150 euro deductible for each claim.</x:v>
      </x:c>
      <x:c r="D473" s="20" t="str">
        <x:f>IF(Reviewer_1!L473="","",Reviewer_1!L473)</x:f>
      </x:c>
      <x:c r="E473" s="20" t="str">
        <x:f>IF(Reviewer_2!L473="","",Reviewer_2!L473)</x:f>
      </x:c>
      <x:c r="F473" s="25"/>
      <x:c r="G473" s="20" t="str">
        <x:f>IF(Reviewer_1!M473="","",Reviewer_1!M473)</x:f>
      </x:c>
      <x:c r="H473" s="20" t="str">
        <x:f>IF(Reviewer_2!M473="","",Reviewer_2!M473)</x:f>
      </x:c>
      <x:c r="I473" s="25"/>
      <x:c r="J473" s="20" t="str">
        <x:f>IF(Reviewer_1!N473="","",Reviewer_1!N473)</x:f>
      </x:c>
      <x:c r="K473" s="20" t="str">
        <x:f>IF(Reviewer_2!N473="","",Reviewer_2!N473)</x:f>
      </x:c>
      <x:c r="L473" s="25"/>
      <x:c r="M473" s="25"/>
      <x:c r="N473" s="25"/>
      <x:c r="O473" s="20" t="str">
        <x:f>IF(OR(D473="",E473=""),"PENDING",IF(OR(D473&lt;&gt;E473,G473&lt;&gt;H473,J473&lt;&gt;K473),"CONFLICT","AGREE"))</x:f>
        <x:v>PENDING</x:v>
      </x:c>
    </x:row>
    <x:row r="474">
      <x:c r="A474" t="str">
        <x:v>ext-legacy-003</x:v>
      </x:c>
      <x:c r="B474" s="20" t="str">
        <x:v>Which contract applies?</x:v>
      </x:c>
      <x:c r="C474" s="20" t="str">
        <x:v>The applicable contract number is TEST-KFZ-2026-1001.</x:v>
      </x:c>
      <x:c r="D474" s="20" t="str">
        <x:f>IF(Reviewer_1!L474="","",Reviewer_1!L474)</x:f>
      </x:c>
      <x:c r="E474" s="20" t="str">
        <x:f>IF(Reviewer_2!L474="","",Reviewer_2!L474)</x:f>
      </x:c>
      <x:c r="F474" s="25"/>
      <x:c r="G474" s="20" t="str">
        <x:f>IF(Reviewer_1!M474="","",Reviewer_1!M474)</x:f>
      </x:c>
      <x:c r="H474" s="20" t="str">
        <x:f>IF(Reviewer_2!M474="","",Reviewer_2!M474)</x:f>
      </x:c>
      <x:c r="I474" s="25"/>
      <x:c r="J474" s="20" t="str">
        <x:f>IF(Reviewer_1!N474="","",Reviewer_1!N474)</x:f>
      </x:c>
      <x:c r="K474" s="20" t="str">
        <x:f>IF(Reviewer_2!N474="","",Reviewer_2!N474)</x:f>
      </x:c>
      <x:c r="L474" s="25"/>
      <x:c r="M474" s="25"/>
      <x:c r="N474" s="25"/>
      <x:c r="O474" s="20" t="str">
        <x:f>IF(OR(D474="",E474=""),"PENDING",IF(OR(D474&lt;&gt;E474,G474&lt;&gt;H474,J474&lt;&gt;K474),"CONFLICT","AGREE"))</x:f>
        <x:v>PENDING</x:v>
      </x:c>
    </x:row>
    <x:row r="475">
      <x:c r="A475" t="str">
        <x:v>ext-legacy-004</x:v>
      </x:c>
      <x:c r="B475" s="20" t="str">
        <x:v>What is the glass deductible?</x:v>
      </x:c>
      <x:c r="C475" s="20" t="str">
        <x:v>A deductible of EUR 150 applies per glass claim.</x:v>
      </x:c>
      <x:c r="D475" s="20" t="str">
        <x:f>IF(Reviewer_1!L475="","",Reviewer_1!L475)</x:f>
      </x:c>
      <x:c r="E475" s="20" t="str">
        <x:f>IF(Reviewer_2!L475="","",Reviewer_2!L475)</x:f>
      </x:c>
      <x:c r="F475" s="25"/>
      <x:c r="G475" s="20" t="str">
        <x:f>IF(Reviewer_1!M475="","",Reviewer_1!M475)</x:f>
      </x:c>
      <x:c r="H475" s="20" t="str">
        <x:f>IF(Reviewer_2!M475="","",Reviewer_2!M475)</x:f>
      </x:c>
      <x:c r="I475" s="25"/>
      <x:c r="J475" s="20" t="str">
        <x:f>IF(Reviewer_1!N475="","",Reviewer_1!N475)</x:f>
      </x:c>
      <x:c r="K475" s="20" t="str">
        <x:f>IF(Reviewer_2!N475="","",Reviewer_2!N475)</x:f>
      </x:c>
      <x:c r="L475" s="25"/>
      <x:c r="M475" s="25"/>
      <x:c r="N475" s="25"/>
      <x:c r="O475" s="20" t="str">
        <x:f>IF(OR(D475="",E475=""),"PENDING",IF(OR(D475&lt;&gt;E475,G475&lt;&gt;H475,J475&lt;&gt;K475),"CONFLICT","AGREE"))</x:f>
        <x:v>PENDING</x:v>
      </x:c>
    </x:row>
    <x:row r="476">
      <x:c r="A476" t="str">
        <x:v>ext-legacy-005</x:v>
      </x:c>
      <x:c r="B476" s="20" t="str">
        <x:v>Is intentional vehicle damage covered?</x:v>
      </x:c>
      <x:c r="C476" s="20" t="str">
        <x:v>No. Intentionally caused vehicle damage is not covered.</x:v>
      </x:c>
      <x:c r="D476" s="20" t="str">
        <x:f>IF(Reviewer_1!L476="","",Reviewer_1!L476)</x:f>
      </x:c>
      <x:c r="E476" s="20" t="str">
        <x:f>IF(Reviewer_2!L476="","",Reviewer_2!L476)</x:f>
      </x:c>
      <x:c r="F476" s="25"/>
      <x:c r="G476" s="20" t="str">
        <x:f>IF(Reviewer_1!M476="","",Reviewer_1!M476)</x:f>
      </x:c>
      <x:c r="H476" s="20" t="str">
        <x:f>IF(Reviewer_2!M476="","",Reviewer_2!M476)</x:f>
      </x:c>
      <x:c r="I476" s="25"/>
      <x:c r="J476" s="20" t="str">
        <x:f>IF(Reviewer_1!N476="","",Reviewer_1!N476)</x:f>
      </x:c>
      <x:c r="K476" s="20" t="str">
        <x:f>IF(Reviewer_2!N476="","",Reviewer_2!N476)</x:f>
      </x:c>
      <x:c r="L476" s="25"/>
      <x:c r="M476" s="25"/>
      <x:c r="N476" s="25"/>
      <x:c r="O476" s="20" t="str">
        <x:f>IF(OR(D476="",E476=""),"PENDING",IF(OR(D476&lt;&gt;E476,G476&lt;&gt;H476,J476&lt;&gt;K476),"CONFLICT","AGREE"))</x:f>
        <x:v>PENDING</x:v>
      </x:c>
    </x:row>
    <x:row r="477">
      <x:c r="A477" t="str">
        <x:v>ext-legacy-006</x:v>
      </x:c>
      <x:c r="B477" s="20" t="str">
        <x:v>What does personal liability cover?</x:v>
      </x:c>
      <x:c r="C477" s="20" t="str">
        <x:v>Personal liability insurance covers valid third-party damage claims.</x:v>
      </x:c>
      <x:c r="D477" s="20" t="str">
        <x:f>IF(Reviewer_1!L477="","",Reviewer_1!L477)</x:f>
      </x:c>
      <x:c r="E477" s="20" t="str">
        <x:f>IF(Reviewer_2!L477="","",Reviewer_2!L477)</x:f>
      </x:c>
      <x:c r="F477" s="25"/>
      <x:c r="G477" s="20" t="str">
        <x:f>IF(Reviewer_1!M477="","",Reviewer_1!M477)</x:f>
      </x:c>
      <x:c r="H477" s="20" t="str">
        <x:f>IF(Reviewer_2!M477="","",Reviewer_2!M477)</x:f>
      </x:c>
      <x:c r="I477" s="25"/>
      <x:c r="J477" s="20" t="str">
        <x:f>IF(Reviewer_1!N477="","",Reviewer_1!N477)</x:f>
      </x:c>
      <x:c r="K477" s="20" t="str">
        <x:f>IF(Reviewer_2!N477="","",Reviewer_2!N477)</x:f>
      </x:c>
      <x:c r="L477" s="25"/>
      <x:c r="M477" s="25"/>
      <x:c r="N477" s="25"/>
      <x:c r="O477" s="20" t="str">
        <x:f>IF(OR(D477="",E477=""),"PENDING",IF(OR(D477&lt;&gt;E477,G477&lt;&gt;H477,J477&lt;&gt;K477),"CONFLICT","AGREE"))</x:f>
        <x:v>PENDING</x:v>
      </x:c>
    </x:row>
    <x:row r="478">
      <x:c r="A478" t="str">
        <x:v>ext-legacy-007</x:v>
      </x:c>
      <x:c r="B478" s="20" t="str">
        <x:v>When is the motor policy active?</x:v>
      </x:c>
      <x:c r="C478" s="20" t="str">
        <x:v>The policy is active from 2026-01-01 through 2026-12-31.</x:v>
      </x:c>
      <x:c r="D478" s="20" t="str">
        <x:f>IF(Reviewer_1!L478="","",Reviewer_1!L478)</x:f>
      </x:c>
      <x:c r="E478" s="20" t="str">
        <x:f>IF(Reviewer_2!L478="","",Reviewer_2!L478)</x:f>
      </x:c>
      <x:c r="F478" s="25"/>
      <x:c r="G478" s="20" t="str">
        <x:f>IF(Reviewer_1!M478="","",Reviewer_1!M478)</x:f>
      </x:c>
      <x:c r="H478" s="20" t="str">
        <x:f>IF(Reviewer_2!M478="","",Reviewer_2!M478)</x:f>
      </x:c>
      <x:c r="I478" s="25"/>
      <x:c r="J478" s="20" t="str">
        <x:f>IF(Reviewer_1!N478="","",Reviewer_1!N478)</x:f>
      </x:c>
      <x:c r="K478" s="20" t="str">
        <x:f>IF(Reviewer_2!N478="","",Reviewer_2!N478)</x:f>
      </x:c>
      <x:c r="L478" s="25"/>
      <x:c r="M478" s="25"/>
      <x:c r="N478" s="25"/>
      <x:c r="O478" s="20" t="str">
        <x:f>IF(OR(D478="",E478=""),"PENDING",IF(OR(D478&lt;&gt;E478,G478&lt;&gt;H478,J478&lt;&gt;K478),"CONFLICT","AGREE"))</x:f>
        <x:v>PENDING</x:v>
      </x:c>
    </x:row>
    <x:row r="479">
      <x:c r="A479" t="str">
        <x:v>ext-legacy-008</x:v>
      </x:c>
      <x:c r="B479" s="20" t="str">
        <x:v>What applies to insured water damage?</x:v>
      </x:c>
      <x:c r="C479" s="20" t="str">
        <x:v>Insured water damage has a EUR 500 deductible per claim.</x:v>
      </x:c>
      <x:c r="D479" s="20" t="str">
        <x:f>IF(Reviewer_1!L479="","",Reviewer_1!L479)</x:f>
      </x:c>
      <x:c r="E479" s="20" t="str">
        <x:f>IF(Reviewer_2!L479="","",Reviewer_2!L479)</x:f>
      </x:c>
      <x:c r="F479" s="25"/>
      <x:c r="G479" s="20" t="str">
        <x:f>IF(Reviewer_1!M479="","",Reviewer_1!M479)</x:f>
      </x:c>
      <x:c r="H479" s="20" t="str">
        <x:f>IF(Reviewer_2!M479="","",Reviewer_2!M479)</x:f>
      </x:c>
      <x:c r="I479" s="25"/>
      <x:c r="J479" s="20" t="str">
        <x:f>IF(Reviewer_1!N479="","",Reviewer_1!N479)</x:f>
      </x:c>
      <x:c r="K479" s="20" t="str">
        <x:f>IF(Reviewer_2!N479="","",Reviewer_2!N479)</x:f>
      </x:c>
      <x:c r="L479" s="25"/>
      <x:c r="M479" s="25"/>
      <x:c r="N479" s="25"/>
      <x:c r="O479" s="20" t="str">
        <x:f>IF(OR(D479="",E479=""),"PENDING",IF(OR(D479&lt;&gt;E479,G479&lt;&gt;H479,J479&lt;&gt;K479),"CONFLICT","AGREE"))</x:f>
        <x:v>PENDING</x:v>
      </x:c>
    </x:row>
    <x:row r="480">
      <x:c r="A480" t="str">
        <x:v>ext-legacy-009</x:v>
      </x:c>
      <x:c r="B480" s="20" t="str">
        <x:v>What is the baggage limit?</x:v>
      </x:c>
      <x:c r="C480" s="20" t="str">
        <x:v>Travel baggage is covered up to EUR 2,000.</x:v>
      </x:c>
      <x:c r="D480" s="20" t="str">
        <x:f>IF(Reviewer_1!L480="","",Reviewer_1!L480)</x:f>
      </x:c>
      <x:c r="E480" s="20" t="str">
        <x:f>IF(Reviewer_2!L480="","",Reviewer_2!L480)</x:f>
      </x:c>
      <x:c r="F480" s="25"/>
      <x:c r="G480" s="20" t="str">
        <x:f>IF(Reviewer_1!M480="","",Reviewer_1!M480)</x:f>
      </x:c>
      <x:c r="H480" s="20" t="str">
        <x:f>IF(Reviewer_2!M480="","",Reviewer_2!M480)</x:f>
      </x:c>
      <x:c r="I480" s="25"/>
      <x:c r="J480" s="20" t="str">
        <x:f>IF(Reviewer_1!N480="","",Reviewer_1!N480)</x:f>
      </x:c>
      <x:c r="K480" s="20" t="str">
        <x:f>IF(Reviewer_2!N480="","",Reviewer_2!N480)</x:f>
      </x:c>
      <x:c r="L480" s="25"/>
      <x:c r="M480" s="25"/>
      <x:c r="N480" s="25"/>
      <x:c r="O480" s="20" t="str">
        <x:f>IF(OR(D480="",E480=""),"PENDING",IF(OR(D480&lt;&gt;E480,G480&lt;&gt;H480,J480&lt;&gt;K480),"CONFLICT","AGREE"))</x:f>
        <x:v>PENDING</x:v>
      </x:c>
    </x:row>
    <x:row r="481">
      <x:c r="A481" t="str">
        <x:v>ext-legacy-010</x:v>
      </x:c>
      <x:c r="B481" s="20" t="str">
        <x:v>How much dental treatment is reimbursed?</x:v>
      </x:c>
      <x:c r="C481" s="20" t="str">
        <x:v>The plan reimburses 80 percent of eligible dental treatment costs.</x:v>
      </x:c>
      <x:c r="D481" s="20" t="str">
        <x:f>IF(Reviewer_1!L481="","",Reviewer_1!L481)</x:f>
      </x:c>
      <x:c r="E481" s="20" t="str">
        <x:f>IF(Reviewer_2!L481="","",Reviewer_2!L481)</x:f>
      </x:c>
      <x:c r="F481" s="25"/>
      <x:c r="G481" s="20" t="str">
        <x:f>IF(Reviewer_1!M481="","",Reviewer_1!M481)</x:f>
      </x:c>
      <x:c r="H481" s="20" t="str">
        <x:f>IF(Reviewer_2!M481="","",Reviewer_2!M481)</x:f>
      </x:c>
      <x:c r="I481" s="25"/>
      <x:c r="J481" s="20" t="str">
        <x:f>IF(Reviewer_1!N481="","",Reviewer_1!N481)</x:f>
      </x:c>
      <x:c r="K481" s="20" t="str">
        <x:f>IF(Reviewer_2!N481="","",Reviewer_2!N481)</x:f>
      </x:c>
      <x:c r="L481" s="25"/>
      <x:c r="M481" s="25"/>
      <x:c r="N481" s="25"/>
      <x:c r="O481" s="20" t="str">
        <x:f>IF(OR(D481="",E481=""),"PENDING",IF(OR(D481&lt;&gt;E481,G481&lt;&gt;H481,J481&lt;&gt;K481),"CONFLICT","AGREE"))</x:f>
        <x:v>PENDING</x:v>
      </x:c>
    </x:row>
    <x:row r="482">
      <x:c r="A482" t="str">
        <x:v>ext-legacy-011</x:v>
      </x:c>
      <x:c r="B482" s="20" t="str">
        <x:v>Summarize the motor glass benefit.</x:v>
      </x:c>
      <x:c r="C482" s="20" t="str">
        <x:v>Glass damage is covered by partial comprehensive insurance [motor_policy:1]. The deductible is EUR 150 per claim [motor_policy:1].</x:v>
      </x:c>
      <x:c r="D482" s="20" t="str">
        <x:f>IF(Reviewer_1!L482="","",Reviewer_1!L482)</x:f>
      </x:c>
      <x:c r="E482" s="20" t="str">
        <x:f>IF(Reviewer_2!L482="","",Reviewer_2!L482)</x:f>
      </x:c>
      <x:c r="F482" s="25"/>
      <x:c r="G482" s="20" t="str">
        <x:f>IF(Reviewer_1!M482="","",Reviewer_1!M482)</x:f>
      </x:c>
      <x:c r="H482" s="20" t="str">
        <x:f>IF(Reviewer_2!M482="","",Reviewer_2!M482)</x:f>
      </x:c>
      <x:c r="I482" s="25"/>
      <x:c r="J482" s="20" t="str">
        <x:f>IF(Reviewer_1!N482="","",Reviewer_1!N482)</x:f>
      </x:c>
      <x:c r="K482" s="20" t="str">
        <x:f>IF(Reviewer_2!N482="","",Reviewer_2!N482)</x:f>
      </x:c>
      <x:c r="L482" s="25"/>
      <x:c r="M482" s="25"/>
      <x:c r="N482" s="25"/>
      <x:c r="O482" s="20" t="str">
        <x:f>IF(OR(D482="",E482=""),"PENDING",IF(OR(D482&lt;&gt;E482,G482&lt;&gt;H482,J482&lt;&gt;K482),"CONFLICT","AGREE"))</x:f>
        <x:v>PENDING</x:v>
      </x:c>
    </x:row>
    <x:row r="483">
      <x:c r="A483" t="str">
        <x:v>ext-legacy-012</x:v>
      </x:c>
      <x:c r="B483" s="20" t="str">
        <x:v>How much is the deductible per claim?</x:v>
      </x:c>
      <x:c r="C483" s="20" t="str">
        <x:v>EUR 150 per claim.</x:v>
      </x:c>
      <x:c r="D483" s="20" t="str">
        <x:f>IF(Reviewer_1!L483="","",Reviewer_1!L483)</x:f>
      </x:c>
      <x:c r="E483" s="20" t="str">
        <x:f>IF(Reviewer_2!L483="","",Reviewer_2!L483)</x:f>
      </x:c>
      <x:c r="F483" s="25"/>
      <x:c r="G483" s="20" t="str">
        <x:f>IF(Reviewer_1!M483="","",Reviewer_1!M483)</x:f>
      </x:c>
      <x:c r="H483" s="20" t="str">
        <x:f>IF(Reviewer_2!M483="","",Reviewer_2!M483)</x:f>
      </x:c>
      <x:c r="I483" s="25"/>
      <x:c r="J483" s="20" t="str">
        <x:f>IF(Reviewer_1!N483="","",Reviewer_1!N483)</x:f>
      </x:c>
      <x:c r="K483" s="20" t="str">
        <x:f>IF(Reviewer_2!N483="","",Reviewer_2!N483)</x:f>
      </x:c>
      <x:c r="L483" s="25"/>
      <x:c r="M483" s="25"/>
      <x:c r="N483" s="25"/>
      <x:c r="O483" s="20" t="str">
        <x:f>IF(OR(D483="",E483=""),"PENDING",IF(OR(D483&lt;&gt;E483,G483&lt;&gt;H483,J483&lt;&gt;K483),"CONFLICT","AGREE"))</x:f>
        <x:v>PENDING</x:v>
      </x:c>
    </x:row>
    <x:row r="484">
      <x:c r="A484" t="str">
        <x:v>ext-legacy-013</x:v>
      </x:c>
      <x:c r="B484" s="20" t="str">
        <x:v>What is the glass deductible?</x:v>
      </x:c>
      <x:c r="C484" s="20" t="str">
        <x:v>The glass deductible is EUR 500 per claim.</x:v>
      </x:c>
      <x:c r="D484" s="20" t="str">
        <x:f>IF(Reviewer_1!L484="","",Reviewer_1!L484)</x:f>
      </x:c>
      <x:c r="E484" s="20" t="str">
        <x:f>IF(Reviewer_2!L484="","",Reviewer_2!L484)</x:f>
      </x:c>
      <x:c r="F484" s="25"/>
      <x:c r="G484" s="20" t="str">
        <x:f>IF(Reviewer_1!M484="","",Reviewer_1!M484)</x:f>
      </x:c>
      <x:c r="H484" s="20" t="str">
        <x:f>IF(Reviewer_2!M484="","",Reviewer_2!M484)</x:f>
      </x:c>
      <x:c r="I484" s="25"/>
      <x:c r="J484" s="20" t="str">
        <x:f>IF(Reviewer_1!N484="","",Reviewer_1!N484)</x:f>
      </x:c>
      <x:c r="K484" s="20" t="str">
        <x:f>IF(Reviewer_2!N484="","",Reviewer_2!N484)</x:f>
      </x:c>
      <x:c r="L484" s="25"/>
      <x:c r="M484" s="25"/>
      <x:c r="N484" s="25"/>
      <x:c r="O484" s="20" t="str">
        <x:f>IF(OR(D484="",E484=""),"PENDING",IF(OR(D484&lt;&gt;E484,G484&lt;&gt;H484,J484&lt;&gt;K484),"CONFLICT","AGREE"))</x:f>
        <x:v>PENDING</x:v>
      </x:c>
    </x:row>
    <x:row r="485">
      <x:c r="A485" t="str">
        <x:v>ext-legacy-014</x:v>
      </x:c>
      <x:c r="B485" s="20" t="str">
        <x:v>Which motor contract applies?</x:v>
      </x:c>
      <x:c r="C485" s="20" t="str">
        <x:v>The applicable motor contract is TEST-KFZ-2026-9999.</x:v>
      </x:c>
      <x:c r="D485" s="20" t="str">
        <x:f>IF(Reviewer_1!L485="","",Reviewer_1!L485)</x:f>
      </x:c>
      <x:c r="E485" s="20" t="str">
        <x:f>IF(Reviewer_2!L485="","",Reviewer_2!L485)</x:f>
      </x:c>
      <x:c r="F485" s="25"/>
      <x:c r="G485" s="20" t="str">
        <x:f>IF(Reviewer_1!M485="","",Reviewer_1!M485)</x:f>
      </x:c>
      <x:c r="H485" s="20" t="str">
        <x:f>IF(Reviewer_2!M485="","",Reviewer_2!M485)</x:f>
      </x:c>
      <x:c r="I485" s="25"/>
      <x:c r="J485" s="20" t="str">
        <x:f>IF(Reviewer_1!N485="","",Reviewer_1!N485)</x:f>
      </x:c>
      <x:c r="K485" s="20" t="str">
        <x:f>IF(Reviewer_2!N485="","",Reviewer_2!N485)</x:f>
      </x:c>
      <x:c r="L485" s="25"/>
      <x:c r="M485" s="25"/>
      <x:c r="N485" s="25"/>
      <x:c r="O485" s="20" t="str">
        <x:f>IF(OR(D485="",E485=""),"PENDING",IF(OR(D485&lt;&gt;E485,G485&lt;&gt;H485,J485&lt;&gt;K485),"CONFLICT","AGREE"))</x:f>
        <x:v>PENDING</x:v>
      </x:c>
    </x:row>
    <x:row r="486">
      <x:c r="A486" t="str">
        <x:v>ext-legacy-015</x:v>
      </x:c>
      <x:c r="B486" s="20" t="str">
        <x:v>Which coverage includes windshield damage?</x:v>
      </x:c>
      <x:c r="C486" s="20" t="str">
        <x:v>Windshield damage is covered under fully comprehensive insurance.</x:v>
      </x:c>
      <x:c r="D486" s="20" t="str">
        <x:f>IF(Reviewer_1!L486="","",Reviewer_1!L486)</x:f>
      </x:c>
      <x:c r="E486" s="20" t="str">
        <x:f>IF(Reviewer_2!L486="","",Reviewer_2!L486)</x:f>
      </x:c>
      <x:c r="F486" s="25"/>
      <x:c r="G486" s="20" t="str">
        <x:f>IF(Reviewer_1!M486="","",Reviewer_1!M486)</x:f>
      </x:c>
      <x:c r="H486" s="20" t="str">
        <x:f>IF(Reviewer_2!M486="","",Reviewer_2!M486)</x:f>
      </x:c>
      <x:c r="I486" s="25"/>
      <x:c r="J486" s="20" t="str">
        <x:f>IF(Reviewer_1!N486="","",Reviewer_1!N486)</x:f>
      </x:c>
      <x:c r="K486" s="20" t="str">
        <x:f>IF(Reviewer_2!N486="","",Reviewer_2!N486)</x:f>
      </x:c>
      <x:c r="L486" s="25"/>
      <x:c r="M486" s="25"/>
      <x:c r="N486" s="25"/>
      <x:c r="O486" s="20" t="str">
        <x:f>IF(OR(D486="",E486=""),"PENDING",IF(OR(D486&lt;&gt;E486,G486&lt;&gt;H486,J486&lt;&gt;K486),"CONFLICT","AGREE"))</x:f>
        <x:v>PENDING</x:v>
      </x:c>
    </x:row>
    <x:row r="487">
      <x:c r="A487" t="str">
        <x:v>ext-legacy-016</x:v>
      </x:c>
      <x:c r="B487" s="20" t="str">
        <x:v>Is windshield glass damage covered?</x:v>
      </x:c>
      <x:c r="C487" s="20" t="str">
        <x:v>Windshield glass damage is not covered by the motor policy.</x:v>
      </x:c>
      <x:c r="D487" s="20" t="str">
        <x:f>IF(Reviewer_1!L487="","",Reviewer_1!L487)</x:f>
      </x:c>
      <x:c r="E487" s="20" t="str">
        <x:f>IF(Reviewer_2!L487="","",Reviewer_2!L487)</x:f>
      </x:c>
      <x:c r="F487" s="25"/>
      <x:c r="G487" s="20" t="str">
        <x:f>IF(Reviewer_1!M487="","",Reviewer_1!M487)</x:f>
      </x:c>
      <x:c r="H487" s="20" t="str">
        <x:f>IF(Reviewer_2!M487="","",Reviewer_2!M487)</x:f>
      </x:c>
      <x:c r="I487" s="25"/>
      <x:c r="J487" s="20" t="str">
        <x:f>IF(Reviewer_1!N487="","",Reviewer_1!N487)</x:f>
      </x:c>
      <x:c r="K487" s="20" t="str">
        <x:f>IF(Reviewer_2!N487="","",Reviewer_2!N487)</x:f>
      </x:c>
      <x:c r="L487" s="25"/>
      <x:c r="M487" s="25"/>
      <x:c r="N487" s="25"/>
      <x:c r="O487" s="20" t="str">
        <x:f>IF(OR(D487="",E487=""),"PENDING",IF(OR(D487&lt;&gt;E487,G487&lt;&gt;H487,J487&lt;&gt;K487),"CONFLICT","AGREE"))</x:f>
        <x:v>PENDING</x:v>
      </x:c>
    </x:row>
    <x:row r="488">
      <x:c r="A488" t="str">
        <x:v>ext-legacy-017</x:v>
      </x:c>
      <x:c r="B488" s="20" t="str">
        <x:v>Does a deductible apply?</x:v>
      </x:c>
      <x:c r="C488" s="20" t="str">
        <x:v>No deductible applies to a glass claim.</x:v>
      </x:c>
      <x:c r="D488" s="20" t="str">
        <x:f>IF(Reviewer_1!L488="","",Reviewer_1!L488)</x:f>
      </x:c>
      <x:c r="E488" s="20" t="str">
        <x:f>IF(Reviewer_2!L488="","",Reviewer_2!L488)</x:f>
      </x:c>
      <x:c r="F488" s="25"/>
      <x:c r="G488" s="20" t="str">
        <x:f>IF(Reviewer_1!M488="","",Reviewer_1!M488)</x:f>
      </x:c>
      <x:c r="H488" s="20" t="str">
        <x:f>IF(Reviewer_2!M488="","",Reviewer_2!M488)</x:f>
      </x:c>
      <x:c r="I488" s="25"/>
      <x:c r="J488" s="20" t="str">
        <x:f>IF(Reviewer_1!N488="","",Reviewer_1!N488)</x:f>
      </x:c>
      <x:c r="K488" s="20" t="str">
        <x:f>IF(Reviewer_2!N488="","",Reviewer_2!N488)</x:f>
      </x:c>
      <x:c r="L488" s="25"/>
      <x:c r="M488" s="25"/>
      <x:c r="N488" s="25"/>
      <x:c r="O488" s="20" t="str">
        <x:f>IF(OR(D488="",E488=""),"PENDING",IF(OR(D488&lt;&gt;E488,G488&lt;&gt;H488,J488&lt;&gt;K488),"CONFLICT","AGREE"))</x:f>
        <x:v>PENDING</x:v>
      </x:c>
    </x:row>
    <x:row r="489">
      <x:c r="A489" t="str">
        <x:v>ext-legacy-018</x:v>
      </x:c>
      <x:c r="B489" s="20" t="str">
        <x:v>Summarize the glass benefit.</x:v>
      </x:c>
      <x:c r="C489" s="20" t="str">
        <x:v>Glass damage is covered and a free rental car is provided for fourteen days.</x:v>
      </x:c>
      <x:c r="D489" s="20" t="str">
        <x:f>IF(Reviewer_1!L489="","",Reviewer_1!L489)</x:f>
      </x:c>
      <x:c r="E489" s="20" t="str">
        <x:f>IF(Reviewer_2!L489="","",Reviewer_2!L489)</x:f>
      </x:c>
      <x:c r="F489" s="25"/>
      <x:c r="G489" s="20" t="str">
        <x:f>IF(Reviewer_1!M489="","",Reviewer_1!M489)</x:f>
      </x:c>
      <x:c r="H489" s="20" t="str">
        <x:f>IF(Reviewer_2!M489="","",Reviewer_2!M489)</x:f>
      </x:c>
      <x:c r="I489" s="25"/>
      <x:c r="J489" s="20" t="str">
        <x:f>IF(Reviewer_1!N489="","",Reviewer_1!N489)</x:f>
      </x:c>
      <x:c r="K489" s="20" t="str">
        <x:f>IF(Reviewer_2!N489="","",Reviewer_2!N489)</x:f>
      </x:c>
      <x:c r="L489" s="25"/>
      <x:c r="M489" s="25"/>
      <x:c r="N489" s="25"/>
      <x:c r="O489" s="20" t="str">
        <x:f>IF(OR(D489="",E489=""),"PENDING",IF(OR(D489&lt;&gt;E489,G489&lt;&gt;H489,J489&lt;&gt;K489),"CONFLICT","AGREE"))</x:f>
        <x:v>PENDING</x:v>
      </x:c>
    </x:row>
    <x:row r="490">
      <x:c r="A490" t="str">
        <x:v>ext-legacy-019</x:v>
      </x:c>
      <x:c r="B490" s="20" t="str">
        <x:v>When is the policy active?</x:v>
      </x:c>
      <x:c r="C490" s="20" t="str">
        <x:v>The policy is active from 2025-01-01 through 2025-12-31.</x:v>
      </x:c>
      <x:c r="D490" s="20" t="str">
        <x:f>IF(Reviewer_1!L490="","",Reviewer_1!L490)</x:f>
      </x:c>
      <x:c r="E490" s="20" t="str">
        <x:f>IF(Reviewer_2!L490="","",Reviewer_2!L490)</x:f>
      </x:c>
      <x:c r="F490" s="25"/>
      <x:c r="G490" s="20" t="str">
        <x:f>IF(Reviewer_1!M490="","",Reviewer_1!M490)</x:f>
      </x:c>
      <x:c r="H490" s="20" t="str">
        <x:f>IF(Reviewer_2!M490="","",Reviewer_2!M490)</x:f>
      </x:c>
      <x:c r="I490" s="25"/>
      <x:c r="J490" s="20" t="str">
        <x:f>IF(Reviewer_1!N490="","",Reviewer_1!N490)</x:f>
      </x:c>
      <x:c r="K490" s="20" t="str">
        <x:f>IF(Reviewer_2!N490="","",Reviewer_2!N490)</x:f>
      </x:c>
      <x:c r="L490" s="25"/>
      <x:c r="M490" s="25"/>
      <x:c r="N490" s="25"/>
      <x:c r="O490" s="20" t="str">
        <x:f>IF(OR(D490="",E490=""),"PENDING",IF(OR(D490&lt;&gt;E490,G490&lt;&gt;H490,J490&lt;&gt;K490),"CONFLICT","AGREE"))</x:f>
        <x:v>PENDING</x:v>
      </x:c>
    </x:row>
    <x:row r="491">
      <x:c r="A491" t="str">
        <x:v>ext-legacy-020</x:v>
      </x:c>
      <x:c r="B491" s="20" t="str">
        <x:v>What is the water damage deductible?</x:v>
      </x:c>
      <x:c r="C491" s="20" t="str">
        <x:v>The water damage deductible is EUR 250 per claim.</x:v>
      </x:c>
      <x:c r="D491" s="20" t="str">
        <x:f>IF(Reviewer_1!L491="","",Reviewer_1!L491)</x:f>
      </x:c>
      <x:c r="E491" s="20" t="str">
        <x:f>IF(Reviewer_2!L491="","",Reviewer_2!L491)</x:f>
      </x:c>
      <x:c r="F491" s="25"/>
      <x:c r="G491" s="20" t="str">
        <x:f>IF(Reviewer_1!M491="","",Reviewer_1!M491)</x:f>
      </x:c>
      <x:c r="H491" s="20" t="str">
        <x:f>IF(Reviewer_2!M491="","",Reviewer_2!M491)</x:f>
      </x:c>
      <x:c r="I491" s="25"/>
      <x:c r="J491" s="20" t="str">
        <x:f>IF(Reviewer_1!N491="","",Reviewer_1!N491)</x:f>
      </x:c>
      <x:c r="K491" s="20" t="str">
        <x:f>IF(Reviewer_2!N491="","",Reviewer_2!N491)</x:f>
      </x:c>
      <x:c r="L491" s="25"/>
      <x:c r="M491" s="25"/>
      <x:c r="N491" s="25"/>
      <x:c r="O491" s="20" t="str">
        <x:f>IF(OR(D491="",E491=""),"PENDING",IF(OR(D491&lt;&gt;E491,G491&lt;&gt;H491,J491&lt;&gt;K491),"CONFLICT","AGREE"))</x:f>
        <x:v>PENDING</x:v>
      </x:c>
    </x:row>
    <x:row r="492">
      <x:c r="A492" t="str">
        <x:v>ext-legacy-021</x:v>
      </x:c>
      <x:c r="B492" s="20" t="str">
        <x:v>What is the baggage limit?</x:v>
      </x:c>
      <x:c r="C492" s="20" t="str">
        <x:v>Baggage is covered up to EUR 5,000.</x:v>
      </x:c>
      <x:c r="D492" s="20" t="str">
        <x:f>IF(Reviewer_1!L492="","",Reviewer_1!L492)</x:f>
      </x:c>
      <x:c r="E492" s="20" t="str">
        <x:f>IF(Reviewer_2!L492="","",Reviewer_2!L492)</x:f>
      </x:c>
      <x:c r="F492" s="25"/>
      <x:c r="G492" s="20" t="str">
        <x:f>IF(Reviewer_1!M492="","",Reviewer_1!M492)</x:f>
      </x:c>
      <x:c r="H492" s="20" t="str">
        <x:f>IF(Reviewer_2!M492="","",Reviewer_2!M492)</x:f>
      </x:c>
      <x:c r="I492" s="25"/>
      <x:c r="J492" s="20" t="str">
        <x:f>IF(Reviewer_1!N492="","",Reviewer_1!N492)</x:f>
      </x:c>
      <x:c r="K492" s="20" t="str">
        <x:f>IF(Reviewer_2!N492="","",Reviewer_2!N492)</x:f>
      </x:c>
      <x:c r="L492" s="25"/>
      <x:c r="M492" s="25"/>
      <x:c r="N492" s="25"/>
      <x:c r="O492" s="20" t="str">
        <x:f>IF(OR(D492="",E492=""),"PENDING",IF(OR(D492&lt;&gt;E492,G492&lt;&gt;H492,J492&lt;&gt;K492),"CONFLICT","AGREE"))</x:f>
        <x:v>PENDING</x:v>
      </x:c>
    </x:row>
    <x:row r="493">
      <x:c r="A493" t="str">
        <x:v>ext-legacy-022</x:v>
      </x:c>
      <x:c r="B493" s="20" t="str">
        <x:v>How much dental treatment is reimbursed?</x:v>
      </x:c>
      <x:c r="C493" s="20" t="str">
        <x:v>The plan reimburses 100 percent of dental treatment costs.</x:v>
      </x:c>
      <x:c r="D493" s="20" t="str">
        <x:f>IF(Reviewer_1!L493="","",Reviewer_1!L493)</x:f>
      </x:c>
      <x:c r="E493" s="20" t="str">
        <x:f>IF(Reviewer_2!L493="","",Reviewer_2!L493)</x:f>
      </x:c>
      <x:c r="F493" s="25"/>
      <x:c r="G493" s="20" t="str">
        <x:f>IF(Reviewer_1!M493="","",Reviewer_1!M493)</x:f>
      </x:c>
      <x:c r="H493" s="20" t="str">
        <x:f>IF(Reviewer_2!M493="","",Reviewer_2!M493)</x:f>
      </x:c>
      <x:c r="I493" s="25"/>
      <x:c r="J493" s="20" t="str">
        <x:f>IF(Reviewer_1!N493="","",Reviewer_1!N493)</x:f>
      </x:c>
      <x:c r="K493" s="20" t="str">
        <x:f>IF(Reviewer_2!N493="","",Reviewer_2!N493)</x:f>
      </x:c>
      <x:c r="L493" s="25"/>
      <x:c r="M493" s="25"/>
      <x:c r="N493" s="25"/>
      <x:c r="O493" s="20" t="str">
        <x:f>IF(OR(D493="",E493=""),"PENDING",IF(OR(D493&lt;&gt;E493,G493&lt;&gt;H493,J493&lt;&gt;K493),"CONFLICT","AGREE"))</x:f>
        <x:v>PENDING</x:v>
      </x:c>
    </x:row>
    <x:row r="494">
      <x:c r="A494" t="str">
        <x:v>ext-legacy-023</x:v>
      </x:c>
      <x:c r="B494" s="20" t="str">
        <x:v>Summarize the motor glass benefit.</x:v>
      </x:c>
      <x:c r="C494" s="20" t="str">
        <x:v>Windshield glass damage is covered. The policy also provides unlimited towing anywhere in Europe.</x:v>
      </x:c>
      <x:c r="D494" s="20" t="str">
        <x:f>IF(Reviewer_1!L494="","",Reviewer_1!L494)</x:f>
      </x:c>
      <x:c r="E494" s="20" t="str">
        <x:f>IF(Reviewer_2!L494="","",Reviewer_2!L494)</x:f>
      </x:c>
      <x:c r="F494" s="25"/>
      <x:c r="G494" s="20" t="str">
        <x:f>IF(Reviewer_1!M494="","",Reviewer_1!M494)</x:f>
      </x:c>
      <x:c r="H494" s="20" t="str">
        <x:f>IF(Reviewer_2!M494="","",Reviewer_2!M494)</x:f>
      </x:c>
      <x:c r="I494" s="25"/>
      <x:c r="J494" s="20" t="str">
        <x:f>IF(Reviewer_1!N494="","",Reviewer_1!N494)</x:f>
      </x:c>
      <x:c r="K494" s="20" t="str">
        <x:f>IF(Reviewer_2!N494="","",Reviewer_2!N494)</x:f>
      </x:c>
      <x:c r="L494" s="25"/>
      <x:c r="M494" s="25"/>
      <x:c r="N494" s="25"/>
      <x:c r="O494" s="20" t="str">
        <x:f>IF(OR(D494="",E494=""),"PENDING",IF(OR(D494&lt;&gt;E494,G494&lt;&gt;H494,J494&lt;&gt;K494),"CONFLICT","AGREE"))</x:f>
        <x:v>PENDING</x:v>
      </x:c>
    </x:row>
    <x:row r="495">
      <x:c r="A495" t="str">
        <x:v>ext-legacy-024</x:v>
      </x:c>
      <x:c r="B495" s="20" t="str">
        <x:v>What is the status of the contract?</x:v>
      </x:c>
      <x:c r="C495" s="20" t="str">
        <x:v>Contract TEST-KFZ-2026-1001 was cancelled on 2026-06-30.</x:v>
      </x:c>
      <x:c r="D495" s="20" t="str">
        <x:f>IF(Reviewer_1!L495="","",Reviewer_1!L495)</x:f>
      </x:c>
      <x:c r="E495" s="20" t="str">
        <x:f>IF(Reviewer_2!L495="","",Reviewer_2!L495)</x:f>
      </x:c>
      <x:c r="F495" s="25"/>
      <x:c r="G495" s="20" t="str">
        <x:f>IF(Reviewer_1!M495="","",Reviewer_1!M495)</x:f>
      </x:c>
      <x:c r="H495" s="20" t="str">
        <x:f>IF(Reviewer_2!M495="","",Reviewer_2!M495)</x:f>
      </x:c>
      <x:c r="I495" s="25"/>
      <x:c r="J495" s="20" t="str">
        <x:f>IF(Reviewer_1!N495="","",Reviewer_1!N495)</x:f>
      </x:c>
      <x:c r="K495" s="20" t="str">
        <x:f>IF(Reviewer_2!N495="","",Reviewer_2!N495)</x:f>
      </x:c>
      <x:c r="L495" s="25"/>
      <x:c r="M495" s="25"/>
      <x:c r="N495" s="25"/>
      <x:c r="O495" s="20" t="str">
        <x:f>IF(OR(D495="",E495=""),"PENDING",IF(OR(D495&lt;&gt;E495,G495&lt;&gt;H495,J495&lt;&gt;K495),"CONFLICT","AGREE"))</x:f>
        <x:v>PENDING</x:v>
      </x:c>
    </x:row>
    <x:row r="496">
      <x:c r="A496" t="str">
        <x:v>ext-legacy-025</x:v>
      </x:c>
      <x:c r="B496" s="20" t="str">
        <x:v>Whose insured vehicle has glass coverage?</x:v>
      </x:c>
      <x:c r="C496" s="20" t="str">
        <x:v>The covered insured vehicle belongs to Lara Neumann.</x:v>
      </x:c>
      <x:c r="D496" s="20" t="str">
        <x:f>IF(Reviewer_1!L496="","",Reviewer_1!L496)</x:f>
      </x:c>
      <x:c r="E496" s="20" t="str">
        <x:f>IF(Reviewer_2!L496="","",Reviewer_2!L496)</x:f>
      </x:c>
      <x:c r="F496" s="25"/>
      <x:c r="G496" s="20" t="str">
        <x:f>IF(Reviewer_1!M496="","",Reviewer_1!M496)</x:f>
      </x:c>
      <x:c r="H496" s="20" t="str">
        <x:f>IF(Reviewer_2!M496="","",Reviewer_2!M496)</x:f>
      </x:c>
      <x:c r="I496" s="25"/>
      <x:c r="J496" s="20" t="str">
        <x:f>IF(Reviewer_1!N496="","",Reviewer_1!N496)</x:f>
      </x:c>
      <x:c r="K496" s="20" t="str">
        <x:f>IF(Reviewer_2!N496="","",Reviewer_2!N496)</x:f>
      </x:c>
      <x:c r="L496" s="25"/>
      <x:c r="M496" s="25"/>
      <x:c r="N496" s="25"/>
      <x:c r="O496" s="20" t="str">
        <x:f>IF(OR(D496="",E496=""),"PENDING",IF(OR(D496&lt;&gt;E496,G496&lt;&gt;H496,J496&lt;&gt;K496),"CONFLICT","AGREE"))</x:f>
        <x:v>PENDING</x:v>
      </x:c>
    </x:row>
    <x:row r="497">
      <x:c r="A497" t="str">
        <x:v>ext-legacy-026</x:v>
      </x:c>
      <x:c r="B497" s="20" t="str">
        <x:v>Is the windshield covered?</x:v>
      </x:c>
      <x:c r="C497" s="20" t="str">
        <x:v>Yes, windshield glass damage is covered.</x:v>
      </x:c>
      <x:c r="D497" s="20" t="str">
        <x:f>IF(Reviewer_1!L497="","",Reviewer_1!L497)</x:f>
      </x:c>
      <x:c r="E497" s="20" t="str">
        <x:f>IF(Reviewer_2!L497="","",Reviewer_2!L497)</x:f>
      </x:c>
      <x:c r="F497" s="25"/>
      <x:c r="G497" s="20" t="str">
        <x:f>IF(Reviewer_1!M497="","",Reviewer_1!M497)</x:f>
      </x:c>
      <x:c r="H497" s="20" t="str">
        <x:f>IF(Reviewer_2!M497="","",Reviewer_2!M497)</x:f>
      </x:c>
      <x:c r="I497" s="25"/>
      <x:c r="J497" s="20" t="str">
        <x:f>IF(Reviewer_1!N497="","",Reviewer_1!N497)</x:f>
      </x:c>
      <x:c r="K497" s="20" t="str">
        <x:f>IF(Reviewer_2!N497="","",Reviewer_2!N497)</x:f>
      </x:c>
      <x:c r="L497" s="25"/>
      <x:c r="M497" s="25"/>
      <x:c r="N497" s="25"/>
      <x:c r="O497" s="20" t="str">
        <x:f>IF(OR(D497="",E497=""),"PENDING",IF(OR(D497&lt;&gt;E497,G497&lt;&gt;H497,J497&lt;&gt;K497),"CONFLICT","AGREE"))</x:f>
        <x:v>PENDING</x:v>
      </x:c>
    </x:row>
    <x:row r="498">
      <x:c r="A498" t="str">
        <x:v>ext-legacy-027</x:v>
      </x:c>
      <x:c r="B498" s="20" t="str">
        <x:v>Which motor coverage and contract cover windshield damage?</x:v>
      </x:c>
      <x:c r="C498" s="20" t="str">
        <x:v>Personal liability contract TEST-PHV-2026-2001 covers the windshield damage with no deductible.</x:v>
      </x:c>
      <x:c r="D498" s="20" t="str">
        <x:f>IF(Reviewer_1!L498="","",Reviewer_1!L498)</x:f>
      </x:c>
      <x:c r="E498" s="20" t="str">
        <x:f>IF(Reviewer_2!L498="","",Reviewer_2!L498)</x:f>
      </x:c>
      <x:c r="F498" s="25"/>
      <x:c r="G498" s="20" t="str">
        <x:f>IF(Reviewer_1!M498="","",Reviewer_1!M498)</x:f>
      </x:c>
      <x:c r="H498" s="20" t="str">
        <x:f>IF(Reviewer_2!M498="","",Reviewer_2!M498)</x:f>
      </x:c>
      <x:c r="I498" s="25"/>
      <x:c r="J498" s="20" t="str">
        <x:f>IF(Reviewer_1!N498="","",Reviewer_1!N498)</x:f>
      </x:c>
      <x:c r="K498" s="20" t="str">
        <x:f>IF(Reviewer_2!N498="","",Reviewer_2!N498)</x:f>
      </x:c>
      <x:c r="L498" s="25"/>
      <x:c r="M498" s="25"/>
      <x:c r="N498" s="25"/>
      <x:c r="O498" s="20" t="str">
        <x:f>IF(OR(D498="",E498=""),"PENDING",IF(OR(D498&lt;&gt;E498,G498&lt;&gt;H498,J498&lt;&gt;K498),"CONFLICT","AGREE"))</x:f>
        <x:v>PENDING</x:v>
      </x:c>
    </x:row>
    <x:row r="499">
      <x:c r="A499" t="str">
        <x:v>ext-legacy-028</x:v>
      </x:c>
      <x:c r="B499" s="20" t="str">
        <x:v>Is windshield damage covered and what deductible applies?</x:v>
      </x:c>
      <x:c r="C499" s="20" t="str">
        <x:v>The available documents do not state whether windshield damage is covered or whether a deductible applies.</x:v>
      </x:c>
      <x:c r="D499" s="20" t="str">
        <x:f>IF(Reviewer_1!L499="","",Reviewer_1!L499)</x:f>
      </x:c>
      <x:c r="E499" s="20" t="str">
        <x:f>IF(Reviewer_2!L499="","",Reviewer_2!L499)</x:f>
      </x:c>
      <x:c r="F499" s="25"/>
      <x:c r="G499" s="20" t="str">
        <x:f>IF(Reviewer_1!M499="","",Reviewer_1!M499)</x:f>
      </x:c>
      <x:c r="H499" s="20" t="str">
        <x:f>IF(Reviewer_2!M499="","",Reviewer_2!M499)</x:f>
      </x:c>
      <x:c r="I499" s="25"/>
      <x:c r="J499" s="20" t="str">
        <x:f>IF(Reviewer_1!N499="","",Reviewer_1!N499)</x:f>
      </x:c>
      <x:c r="K499" s="20" t="str">
        <x:f>IF(Reviewer_2!N499="","",Reviewer_2!N499)</x:f>
      </x:c>
      <x:c r="L499" s="25"/>
      <x:c r="M499" s="25"/>
      <x:c r="N499" s="25"/>
      <x:c r="O499" s="20" t="str">
        <x:f>IF(OR(D499="",E499=""),"PENDING",IF(OR(D499&lt;&gt;E499,G499&lt;&gt;H499,J499&lt;&gt;K499),"CONFLICT","AGREE"))</x:f>
        <x:v>PENDING</x:v>
      </x:c>
    </x:row>
  </x:sheetData>
  <x:dataValidations count="4">
    <x:dataValidation type="list" sqref="F2:F499">
      <x:formula1>"PASS,FAIL,AMBIGUOUS,EXCLUDE"</x:formula1>
    </x:dataValidation>
    <x:dataValidation type="list" sqref="I2:I499">
      <x:formula1>Data_Dictionary!$H$2:$H$25</x:formula1>
    </x:dataValidation>
    <x:dataValidation type="list" sqref="L2:L499">
      <x:formula1>"CRITICAL,NON_CRITICAL,REVIEW_REQUIRED"</x:formula1>
    </x:dataValidation>
    <x:dataValidation type="whole" operator="between" sqref="M2:M499">
      <x:formula1>1</x:formula1>
      <x:formula2>5</x:formula2>
    </x:dataValidation>
  </x:dataValidations>
  <x:pageMargins left="0.7" right="0.7" top="0.75" bottom="0.75" header="0.3" footer="0.3"/>
  <x:tableParts count="1">
    <x:tablePart xmlns:r="http://schemas.openxmlformats.org/officeDocument/2006/relationships" r:id="Rfd8741c87c43489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70" hidden="0" customWidth="1"/>
    <x:col min="5" max="5" width="20" hidden="0" customWidth="1"/>
    <x:col min="6" max="6" width="72" hidden="0" customWidth="1"/>
    <x:col min="8" max="8" width="38" hidden="0" customWidth="1"/>
  </x:cols>
  <x:sheetData>
    <x:row r="1">
      <x:c r="A1" s="15" t="str">
        <x:v>Annotation Codebook</x:v>
      </x:c>
      <x:c r="B1" s="15"/>
      <x:c r="C1" s="15"/>
      <x:c r="D1" s="15"/>
      <x:c r="E1" s="15"/>
      <x:c r="F1" s="15"/>
      <x:c r="H1" s="5" t="str">
        <x:v>error_category_values</x:v>
      </x:c>
    </x:row>
    <x:row r="2">
      <x:c r="A2" s="15"/>
      <x:c r="B2" s="15"/>
      <x:c r="C2" s="15"/>
      <x:c r="D2" s="15"/>
      <x:c r="E2" s="15"/>
      <x:c r="F2" s="15"/>
      <x:c r="H2" t="str">
        <x:v>wrong_customer</x:v>
      </x:c>
    </x:row>
    <x:row r="3">
      <x:c r="H3" t="str">
        <x:v>wrong_policy</x:v>
      </x:c>
    </x:row>
    <x:row r="4">
      <x:c r="A4" s="5" t="str">
        <x:v>Field</x:v>
      </x:c>
      <x:c r="B4" s="5" t="str">
        <x:v>Value</x:v>
      </x:c>
      <x:c r="C4" s="5" t="str">
        <x:v>Definition</x:v>
      </x:c>
      <x:c r="E4" s="5" t="str">
        <x:v>Rule</x:v>
      </x:c>
      <x:c r="F4" s="5" t="str">
        <x:v>Instruction</x:v>
      </x:c>
      <x:c r="H4" t="str">
        <x:v>wrong_current_policy</x:v>
      </x:c>
    </x:row>
    <x:row r="5">
      <x:c r="A5" s="20" t="str">
        <x:v>label</x:v>
      </x:c>
      <x:c r="B5" s="20" t="str">
        <x:v>PASS</x:v>
      </x:c>
      <x:c r="C5" s="20" t="str">
        <x:v>Every material claim in the candidate answer is supported by the supplied context.</x:v>
      </x:c>
      <x:c r="E5" s="20" t="str">
        <x:v>Independence</x:v>
      </x:c>
      <x:c r="F5" s="20" t="str">
        <x:v>Do not inspect the other reviewer's sheet before completing your own.</x:v>
      </x:c>
      <x:c r="H5" t="str">
        <x:v>wrong_policy_status</x:v>
      </x:c>
    </x:row>
    <x:row r="6">
      <x:c r="A6" s="20" t="str">
        <x:v>label</x:v>
      </x:c>
      <x:c r="B6" s="20" t="str">
        <x:v>FAIL</x:v>
      </x:c>
      <x:c r="C6" s="20" t="str">
        <x:v>At least one material claim is contradicted by or unsupported in the supplied context.</x:v>
      </x:c>
      <x:c r="E6" s="20" t="str">
        <x:v>Blindness</x:v>
      </x:c>
      <x:c r="F6" s="20" t="str">
        <x:v>Do not use technical generator expectations or groundedness scores.</x:v>
      </x:c>
      <x:c r="H6" t="str">
        <x:v>wrong_deductible</x:v>
      </x:c>
    </x:row>
    <x:row r="7">
      <x:c r="A7" s="20" t="str">
        <x:v>label</x:v>
      </x:c>
      <x:c r="B7" s="20" t="str">
        <x:v>AMBIGUOUS</x:v>
      </x:c>
      <x:c r="C7" s="20" t="str">
        <x:v>Evidence or wording is genuinely insufficient for a reliable binary decision.</x:v>
      </x:c>
      <x:c r="E7" s="20" t="str">
        <x:v>Materiality</x:v>
      </x:c>
      <x:c r="F7" s="20" t="str">
        <x:v>Judge all material claims, not only the main sentence.</x:v>
      </x:c>
      <x:c r="H7" t="str">
        <x:v>wrong_premium</x:v>
      </x:c>
    </x:row>
    <x:row r="8">
      <x:c r="A8" s="20" t="str">
        <x:v>label</x:v>
      </x:c>
      <x:c r="B8" s="20" t="str">
        <x:v>EXCLUDE</x:v>
      </x:c>
      <x:c r="C8" s="20" t="str">
        <x:v>The case is technically invalid, corrupt, duplicated beyond usefulness, or outside scope.</x:v>
      </x:c>
      <x:c r="E8" s="20" t="str">
        <x:v>Entity scope</x:v>
      </x:c>
      <x:c r="F8" s="20" t="str">
        <x:v>Correct facts tied to the wrong customer or policy are FAIL.</x:v>
      </x:c>
      <x:c r="H8" t="str">
        <x:v>wrong_coverage</x:v>
      </x:c>
    </x:row>
    <x:row r="9">
      <x:c r="A9" s="20" t="str">
        <x:v>criticality</x:v>
      </x:c>
      <x:c r="B9" s="20" t="str">
        <x:v>CRITICAL</x:v>
      </x:c>
      <x:c r="C9" s="20" t="str">
        <x:v>An unsupported claim could materially affect coverage, customer identity, policy status, money, dates, limits, exclusions, or claim decisions.</x:v>
      </x:c>
      <x:c r="E9" s="20" t="str">
        <x:v>Current policy</x:v>
      </x:c>
      <x:c r="F9" s="20" t="str">
        <x:v>An older policy is a hard negative when the question asks for the current policy.</x:v>
      </x:c>
      <x:c r="H9" t="str">
        <x:v>reversed_coverage</x:v>
      </x:c>
    </x:row>
    <x:row r="10">
      <x:c r="A10" s="20" t="str">
        <x:v>criticality</x:v>
      </x:c>
      <x:c r="B10" s="20" t="str">
        <x:v>NON_CRITICAL</x:v>
      </x:c>
      <x:c r="C10" s="20" t="str">
        <x:v>The error is unlikely to materially change an insurance decision or customer action.</x:v>
      </x:c>
      <x:c r="E10" s="20" t="str">
        <x:v>Notes</x:v>
      </x:c>
      <x:c r="F10" s="20" t="str">
        <x:v>Explain AMBIGUOUS/EXCLUDE and every low-confidence or conflict-prone decision.</x:v>
      </x:c>
      <x:c r="H10" t="str">
        <x:v>wrong_exclusion</x:v>
      </x:c>
    </x:row>
    <x:row r="11">
      <x:c r="A11" s="20" t="str">
        <x:v>criticality</x:v>
      </x:c>
      <x:c r="B11" s="20" t="str">
        <x:v>REVIEW_REQUIRED</x:v>
      </x:c>
      <x:c r="C11" s="20" t="str">
        <x:v>Criticality cannot be determined confidently and needs adjudication.</x:v>
      </x:c>
      <x:c r="H11" t="str">
        <x:v>wrong_limit</x:v>
      </x:c>
    </x:row>
    <x:row r="12">
      <x:c r="A12" s="20" t="str">
        <x:v>confidence</x:v>
      </x:c>
      <x:c r="B12" s="20" t="str">
        <x:v>1-5</x:v>
      </x:c>
      <x:c r="C12" s="20" t="str">
        <x:v>1 = very uncertain; 5 = highly confident. Confidence is not a label.</x:v>
      </x:c>
      <x:c r="H12" t="str">
        <x:v>wrong_percentage</x:v>
      </x:c>
    </x:row>
    <x:row r="13">
      <x:c r="H13" t="str">
        <x:v>wrong_date</x:v>
      </x:c>
    </x:row>
    <x:row r="14">
      <x:c r="H14" t="str">
        <x:v>unsupported_extra_claim</x:v>
      </x:c>
    </x:row>
    <x:row r="15">
      <x:c r="H15" t="str">
        <x:v>partially_supported_answer</x:v>
      </x:c>
    </x:row>
    <x:row r="16">
      <x:c r="H16" t="str">
        <x:v>answer_from_distractor_document</x:v>
      </x:c>
    </x:row>
    <x:row r="17">
      <x:c r="H17" t="str">
        <x:v>insufficient_evidence</x:v>
      </x:c>
    </x:row>
    <x:row r="18">
      <x:c r="H18" t="str">
        <x:v>citation_mismatch</x:v>
      </x:c>
    </x:row>
    <x:row r="19">
      <x:c r="H19" t="str">
        <x:v>cross_product_confusion</x:v>
      </x:c>
    </x:row>
    <x:row r="20">
      <x:c r="H20" t="str">
        <x:v>old_document_instead_of_current</x:v>
      </x:c>
    </x:row>
    <x:row r="21">
      <x:c r="H21" t="str">
        <x:v>correct_fact_but_wrong_entity</x:v>
      </x:c>
    </x:row>
    <x:row r="22">
      <x:c r="H22" t="str">
        <x:v>correct_number_but_wrong_policy</x:v>
      </x:c>
    </x:row>
    <x:row r="23">
      <x:c r="H23" t="str">
        <x:v>unsupported_claim_decision</x:v>
      </x:c>
    </x:row>
    <x:row r="24">
      <x:c r="H24" t="str">
        <x:v>other</x:v>
      </x:c>
    </x:row>
    <x:row r="25">
      <x:c r="H25" t="str">
        <x:v>none</x:v>
      </x:c>
    </x:row>
  </x:sheetData>
  <x:mergeCells>
    <x:mergeCell ref="A1:F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20" hidden="0" customWidth="1"/>
    <x:col min="3" max="3" width="20" hidden="0" customWidth="1"/>
  </x:cols>
  <x:sheetData>
    <x:row r="1">
      <x:c r="A1" s="15" t="str">
        <x:v>Annotation Completeness &amp; Conflict Checks</x:v>
      </x:c>
      <x:c r="B1" s="15"/>
      <x:c r="C1" s="15"/>
      <x:c r="D1" s="15"/>
      <x:c r="E1" s="15"/>
      <x:c r="F1" s="15"/>
    </x:row>
    <x:row r="2">
      <x:c r="A2" s="15"/>
      <x:c r="B2" s="15"/>
      <x:c r="C2" s="15"/>
      <x:c r="D2" s="15"/>
      <x:c r="E2" s="15"/>
      <x:c r="F2" s="15"/>
    </x:row>
    <x:row r="4">
      <x:c r="A4" s="5" t="str">
        <x:v>Check</x:v>
      </x:c>
      <x:c r="B4" s="5" t="str">
        <x:v>Formula result</x:v>
      </x:c>
      <x:c r="C4" s="5" t="str">
        <x:v>Required</x:v>
      </x:c>
    </x:row>
    <x:row r="5">
      <x:c r="A5" s="6" t="str">
        <x:v>Total cases</x:v>
      </x:c>
      <x:c r="B5" s="6" t="n">
        <x:f>COUNTA(Reviewer_1!A2:A499)</x:f>
        <x:v>498</x:v>
      </x:c>
      <x:c r="C5" s="6" t="n">
        <x:v>498</x:v>
      </x:c>
    </x:row>
    <x:row r="6">
      <x:c r="A6" s="6" t="str">
        <x:v>Reviewer 1 labels</x:v>
      </x:c>
      <x:c r="B6" s="6" t="n">
        <x:f>COUNTIF(Reviewer_1!L2:L499,"PASS")+COUNTIF(Reviewer_1!L2:L499,"FAIL")+COUNTIF(Reviewer_1!L2:L499,"AMBIGUOUS")+COUNTIF(Reviewer_1!L2:L499,"EXCLUDE")</x:f>
        <x:v>0</x:v>
      </x:c>
      <x:c r="C6" s="6" t="n">
        <x:v>498</x:v>
      </x:c>
    </x:row>
    <x:row r="7">
      <x:c r="A7" s="6" t="str">
        <x:v>Reviewer 2 labels</x:v>
      </x:c>
      <x:c r="B7" s="6" t="n">
        <x:f>COUNTIF(Reviewer_2!L2:L499,"PASS")+COUNTIF(Reviewer_2!L2:L499,"FAIL")+COUNTIF(Reviewer_2!L2:L499,"AMBIGUOUS")+COUNTIF(Reviewer_2!L2:L499,"EXCLUDE")</x:f>
        <x:v>0</x:v>
      </x:c>
      <x:c r="C7" s="6" t="n">
        <x:v>498</x:v>
      </x:c>
    </x:row>
    <x:row r="8">
      <x:c r="A8" s="6" t="str">
        <x:v>Adjudicated labels</x:v>
      </x:c>
      <x:c r="B8" s="6" t="n">
        <x:f>COUNTIF(Adjudication!F2:F499,"PASS")+COUNTIF(Adjudication!F2:F499,"FAIL")+COUNTIF(Adjudication!F2:F499,"AMBIGUOUS")+COUNTIF(Adjudication!F2:F499,"EXCLUDE")</x:f>
        <x:v>0</x:v>
      </x:c>
      <x:c r="C8" s="6" t="n">
        <x:v>498</x:v>
      </x:c>
    </x:row>
    <x:row r="9">
      <x:c r="A9" s="6" t="str">
        <x:v>Pending reviewer labels</x:v>
      </x:c>
      <x:c r="B9" s="6" t="n">
        <x:f>2*B5-B6-B7</x:f>
        <x:v>996</x:v>
      </x:c>
      <x:c r="C9" s="6" t="n">
        <x:v>0</x:v>
      </x:c>
    </x:row>
    <x:row r="10">
      <x:c r="A10" s="6" t="str">
        <x:v>Conflicts</x:v>
      </x:c>
      <x:c r="B10" s="6" t="n">
        <x:f>COUNTIF(Adjudication!O2:O499,"CONFLICT")</x:f>
        <x:v>0</x:v>
      </x:c>
      <x:c r="C10" s="6" t="str">
        <x:v>review</x:v>
      </x:c>
    </x:row>
    <x:row r="11">
      <x:c r="A11" s="6" t="str">
        <x:v>Conflicts without notes</x:v>
      </x:c>
      <x:c r="B11" s="6" t="n">
        <x:f>COUNTIFS(Adjudication!O2:O499,"CONFLICT",Adjudication!N2:N499,"")</x:f>
        <x:v>0</x:v>
      </x:c>
      <x:c r="C11" s="6" t="n">
        <x:v>0</x:v>
      </x:c>
    </x:row>
    <x:row r="12">
      <x:c r="A12" s="7" t="str">
        <x:v>Readiness</x:v>
      </x:c>
      <x:c r="B12" s="7" t="str">
        <x:f>IF(AND(B6=B5,B7=B5,B8=B5,B9=0,B11=0),"READY","PENDING")</x:f>
        <x:v>PENDING</x:v>
      </x:c>
      <x:c r="C12" s="7" t="str">
        <x:v>READY</x:v>
      </x:c>
    </x:row>
    <x:row r="14">
      <x:c r="A14" s="28" t="str">
        <x:v>This sheet checks completeness only. It does not assess correctness and does not compare human annotations with technical generator expectations.</x:v>
      </x:c>
      <x:c r="B14" s="28"/>
      <x:c r="C14" s="28"/>
      <x:c r="D14" s="28"/>
      <x:c r="E14" s="28"/>
      <x:c r="F14" s="28"/>
    </x:row>
    <x:row r="15">
      <x:c r="A15" s="28"/>
      <x:c r="B15" s="28"/>
      <x:c r="C15" s="28"/>
      <x:c r="D15" s="28"/>
      <x:c r="E15" s="28"/>
      <x:c r="F15" s="28"/>
    </x:row>
    <x:row r="16">
      <x:c r="A16" s="28"/>
      <x:c r="B16" s="28"/>
      <x:c r="C16" s="28"/>
      <x:c r="D16" s="28"/>
      <x:c r="E16" s="28"/>
      <x:c r="F16" s="28"/>
    </x:row>
  </x:sheetData>
  <x:mergeCells>
    <x:mergeCell ref="A1:F2"/>
    <x:mergeCell ref="A14:F14"/>
    <x:mergeCell ref="A15:F15"/>
    <x:mergeCell ref="A16:F16"/>
  </x:mergeCells>
  <x:pageMargins left="0.7" right="0.7" top="0.75" bottom="0.75" header="0.3" footer="0.3"/>
</x:worksheet>
</file>